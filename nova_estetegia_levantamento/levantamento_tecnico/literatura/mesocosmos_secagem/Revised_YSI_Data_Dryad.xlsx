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\Dropbox\WSU Grad Research\1_Ward Mesocosms 2021\Field Data\"/>
    </mc:Choice>
  </mc:AlternateContent>
  <xr:revisionPtr revIDLastSave="0" documentId="13_ncr:1_{DB222DB0-4697-4E36-9547-ABA1E82DE326}" xr6:coauthVersionLast="47" xr6:coauthVersionMax="47" xr10:uidLastSave="{00000000-0000-0000-0000-000000000000}"/>
  <bookViews>
    <workbookView xWindow="-96" yWindow="-96" windowWidth="19392" windowHeight="10392" xr2:uid="{A3DD0505-BF13-4CA5-B131-1F170391AD35}"/>
  </bookViews>
  <sheets>
    <sheet name="YSI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18" i="2" l="1"/>
  <c r="V599" i="2"/>
  <c r="V849" i="2"/>
  <c r="V109" i="2"/>
  <c r="V108" i="2"/>
  <c r="V500" i="2"/>
  <c r="V120" i="2"/>
  <c r="V125" i="2"/>
  <c r="V149" i="2"/>
  <c r="V48" i="2"/>
  <c r="V598" i="2"/>
  <c r="V268" i="2"/>
  <c r="V346" i="2"/>
  <c r="V836" i="2"/>
  <c r="V927" i="2"/>
  <c r="V807" i="2"/>
  <c r="V660" i="2"/>
  <c r="V797" i="2"/>
  <c r="V1235" i="2"/>
  <c r="V1181" i="2"/>
  <c r="V434" i="2"/>
  <c r="V1278" i="2"/>
  <c r="V1248" i="2"/>
  <c r="V1452" i="2"/>
  <c r="V1245" i="2"/>
  <c r="V1359" i="2"/>
  <c r="V1151" i="2"/>
  <c r="V1336" i="2"/>
  <c r="V967" i="2"/>
  <c r="V19" i="2"/>
  <c r="V1400" i="2"/>
  <c r="V1527" i="2"/>
  <c r="V1383" i="2"/>
  <c r="V264" i="2"/>
  <c r="V185" i="2"/>
  <c r="V840" i="2"/>
  <c r="V89" i="2"/>
  <c r="V427" i="2"/>
  <c r="V775" i="2"/>
  <c r="V941" i="2"/>
  <c r="V1061" i="2"/>
  <c r="V1069" i="2"/>
  <c r="V425" i="2"/>
  <c r="V728" i="2"/>
  <c r="V311" i="2"/>
  <c r="V241" i="2"/>
  <c r="V200" i="2"/>
  <c r="S649" i="2"/>
  <c r="S669" i="2"/>
  <c r="S878" i="2"/>
  <c r="V878" i="2" s="1"/>
  <c r="S321" i="2"/>
  <c r="V321" i="2" s="1"/>
  <c r="S553" i="2"/>
  <c r="S633" i="2"/>
  <c r="S827" i="2"/>
  <c r="V827" i="2" s="1"/>
  <c r="S940" i="2"/>
  <c r="S1052" i="2"/>
  <c r="S703" i="2"/>
  <c r="S814" i="2"/>
  <c r="V814" i="2" s="1"/>
  <c r="S1018" i="2"/>
  <c r="V1018" i="2" s="1"/>
  <c r="S764" i="2"/>
  <c r="S550" i="2"/>
  <c r="V550" i="2" s="1"/>
  <c r="S181" i="2"/>
  <c r="V181" i="2" s="1"/>
  <c r="S388" i="2"/>
  <c r="T388" i="2" s="1"/>
  <c r="S651" i="2"/>
  <c r="S464" i="2"/>
  <c r="S257" i="2"/>
  <c r="S189" i="2"/>
  <c r="V189" i="2" s="1"/>
  <c r="S24" i="2"/>
  <c r="V24" i="2" s="1"/>
  <c r="S11" i="2"/>
  <c r="V11" i="2" s="1"/>
  <c r="S421" i="2"/>
  <c r="V421" i="2" s="1"/>
  <c r="S380" i="2"/>
  <c r="S518" i="2"/>
  <c r="S698" i="2"/>
  <c r="S733" i="2"/>
  <c r="S808" i="2"/>
  <c r="V808" i="2" s="1"/>
  <c r="S900" i="2"/>
  <c r="V900" i="2" s="1"/>
  <c r="S596" i="2"/>
  <c r="S509" i="2"/>
  <c r="V509" i="2" s="1"/>
  <c r="S560" i="2"/>
  <c r="T560" i="2" s="1"/>
  <c r="S1106" i="2"/>
  <c r="V1106" i="2" s="1"/>
  <c r="S949" i="2"/>
  <c r="S656" i="2"/>
  <c r="V656" i="2" s="1"/>
  <c r="S772" i="2"/>
  <c r="V772" i="2" s="1"/>
  <c r="S693" i="2"/>
  <c r="S435" i="2"/>
  <c r="S813" i="2"/>
  <c r="V813" i="2" s="1"/>
  <c r="S478" i="2"/>
  <c r="S783" i="2"/>
  <c r="V783" i="2" s="1"/>
  <c r="S247" i="2"/>
  <c r="S438" i="2"/>
  <c r="S371" i="2"/>
  <c r="V371" i="2" s="1"/>
  <c r="S343" i="2"/>
  <c r="S539" i="2"/>
  <c r="S711" i="2"/>
  <c r="V711" i="2" s="1"/>
  <c r="S366" i="2"/>
  <c r="T366" i="2" s="1"/>
  <c r="S587" i="2"/>
  <c r="S904" i="2"/>
  <c r="S829" i="2"/>
  <c r="V829" i="2" s="1"/>
  <c r="S548" i="2"/>
  <c r="V548" i="2" s="1"/>
  <c r="S354" i="2"/>
  <c r="S858" i="2"/>
  <c r="S585" i="2"/>
  <c r="V585" i="2" s="1"/>
  <c r="S335" i="2"/>
  <c r="S896" i="2"/>
  <c r="V896" i="2" s="1"/>
  <c r="S404" i="2"/>
  <c r="S544" i="2"/>
  <c r="V544" i="2" s="1"/>
  <c r="S668" i="2"/>
  <c r="V668" i="2" s="1"/>
  <c r="S948" i="2"/>
  <c r="S689" i="2"/>
  <c r="S778" i="2"/>
  <c r="V778" i="2" s="1"/>
  <c r="S426" i="2"/>
  <c r="T426" i="2" s="1"/>
  <c r="S512" i="2"/>
  <c r="S631" i="2"/>
  <c r="V631" i="2" s="1"/>
  <c r="S657" i="2"/>
  <c r="V657" i="2" s="1"/>
  <c r="S186" i="2"/>
  <c r="V186" i="2" s="1"/>
  <c r="S653" i="2"/>
  <c r="S271" i="2"/>
  <c r="S448" i="2"/>
  <c r="V448" i="2" s="1"/>
  <c r="S524" i="2"/>
  <c r="S913" i="2"/>
  <c r="V913" i="2" s="1"/>
  <c r="S151" i="2"/>
  <c r="S222" i="2"/>
  <c r="V222" i="2" s="1"/>
  <c r="S508" i="2"/>
  <c r="V508" i="2" s="1"/>
  <c r="S862" i="2"/>
  <c r="V862" i="2" s="1"/>
  <c r="S593" i="2"/>
  <c r="S525" i="2"/>
  <c r="V525" i="2" s="1"/>
  <c r="S282" i="2"/>
  <c r="T282" i="2" s="1"/>
  <c r="S412" i="2"/>
  <c r="V412" i="2" s="1"/>
  <c r="S474" i="2"/>
  <c r="S347" i="2"/>
  <c r="V347" i="2" s="1"/>
  <c r="S146" i="2"/>
  <c r="V146" i="2" s="1"/>
  <c r="S475" i="2"/>
  <c r="V475" i="2" s="1"/>
  <c r="S238" i="2"/>
  <c r="S199" i="2"/>
  <c r="V199" i="2" s="1"/>
  <c r="S252" i="2"/>
  <c r="S575" i="2"/>
  <c r="S684" i="2"/>
  <c r="S898" i="2"/>
  <c r="V898" i="2" s="1"/>
  <c r="S686" i="2"/>
  <c r="V686" i="2" s="1"/>
  <c r="S690" i="2"/>
  <c r="S127" i="2"/>
  <c r="S277" i="2"/>
  <c r="V277" i="2" s="1"/>
  <c r="S418" i="2"/>
  <c r="T418" i="2" s="1"/>
  <c r="S504" i="2"/>
  <c r="V504" i="2" s="1"/>
  <c r="S571" i="2"/>
  <c r="S482" i="2"/>
  <c r="V482" i="2" s="1"/>
  <c r="S460" i="2"/>
  <c r="V460" i="2" s="1"/>
  <c r="S517" i="2"/>
  <c r="V517" i="2" s="1"/>
  <c r="S196" i="2"/>
  <c r="S1082" i="2"/>
  <c r="V1082" i="2" s="1"/>
  <c r="S415" i="2"/>
  <c r="S439" i="2"/>
  <c r="S132" i="2"/>
  <c r="V132" i="2" s="1"/>
  <c r="S206" i="2"/>
  <c r="V206" i="2" s="1"/>
  <c r="S98" i="2"/>
  <c r="V98" i="2" s="1"/>
  <c r="S453" i="2"/>
  <c r="S107" i="2"/>
  <c r="S386" i="2"/>
  <c r="V386" i="2" s="1"/>
  <c r="S387" i="2"/>
  <c r="T387" i="2" s="1"/>
  <c r="S523" i="2"/>
  <c r="V523" i="2" s="1"/>
  <c r="S706" i="2"/>
  <c r="S688" i="2"/>
  <c r="V688" i="2" s="1"/>
  <c r="S126" i="2"/>
  <c r="V126" i="2" s="1"/>
  <c r="S187" i="2"/>
  <c r="V187" i="2" s="1"/>
  <c r="S700" i="2"/>
  <c r="S208" i="2"/>
  <c r="V208" i="2" s="1"/>
  <c r="S356" i="2"/>
  <c r="S299" i="2"/>
  <c r="S81" i="2"/>
  <c r="V81" i="2" s="1"/>
  <c r="S154" i="2"/>
  <c r="V154" i="2" s="1"/>
  <c r="S23" i="2"/>
  <c r="V23" i="2" s="1"/>
  <c r="S731" i="2"/>
  <c r="S174" i="2"/>
  <c r="S274" i="2"/>
  <c r="V274" i="2" s="1"/>
  <c r="S599" i="2"/>
  <c r="T599" i="2" s="1"/>
  <c r="S236" i="2"/>
  <c r="V236" i="2" s="1"/>
  <c r="S141" i="2"/>
  <c r="S562" i="2"/>
  <c r="V562" i="2" s="1"/>
  <c r="S156" i="2"/>
  <c r="V156" i="2" s="1"/>
  <c r="S168" i="2"/>
  <c r="V168" i="2" s="1"/>
  <c r="S184" i="2"/>
  <c r="S73" i="2"/>
  <c r="S123" i="2"/>
  <c r="S768" i="2"/>
  <c r="V768" i="2" s="1"/>
  <c r="S224" i="2"/>
  <c r="S383" i="2"/>
  <c r="V383" i="2" s="1"/>
  <c r="S925" i="2"/>
  <c r="V925" i="2" s="1"/>
  <c r="S650" i="2"/>
  <c r="V650" i="2" s="1"/>
  <c r="S505" i="2"/>
  <c r="S230" i="2"/>
  <c r="S176" i="2"/>
  <c r="T176" i="2" s="1"/>
  <c r="S233" i="2"/>
  <c r="V233" i="2" s="1"/>
  <c r="S661" i="2"/>
  <c r="S317" i="2"/>
  <c r="V317" i="2" s="1"/>
  <c r="S259" i="2"/>
  <c r="V259" i="2" s="1"/>
  <c r="S195" i="2"/>
  <c r="V195" i="2" s="1"/>
  <c r="S375" i="2"/>
  <c r="S218" i="2"/>
  <c r="S183" i="2"/>
  <c r="S408" i="2"/>
  <c r="V408" i="2" s="1"/>
  <c r="S870" i="2"/>
  <c r="V870" i="2" s="1"/>
  <c r="S864" i="2"/>
  <c r="V864" i="2" s="1"/>
  <c r="S465" i="2"/>
  <c r="V465" i="2" s="1"/>
  <c r="S852" i="2"/>
  <c r="V852" i="2" s="1"/>
  <c r="S301" i="2"/>
  <c r="V301" i="2" s="1"/>
  <c r="S157" i="2"/>
  <c r="S292" i="2"/>
  <c r="T292" i="2" s="1"/>
  <c r="S1046" i="2"/>
  <c r="V1046" i="2" s="1"/>
  <c r="S374" i="2"/>
  <c r="S538" i="2"/>
  <c r="V538" i="2" s="1"/>
  <c r="S391" i="2"/>
  <c r="V391" i="2" s="1"/>
  <c r="S569" i="2"/>
  <c r="V569" i="2" s="1"/>
  <c r="S179" i="2"/>
  <c r="S793" i="2"/>
  <c r="V793" i="2" s="1"/>
  <c r="S266" i="2"/>
  <c r="S618" i="2"/>
  <c r="V618" i="2" s="1"/>
  <c r="S47" i="2"/>
  <c r="S143" i="2"/>
  <c r="V143" i="2" s="1"/>
  <c r="S117" i="2"/>
  <c r="V117" i="2" s="1"/>
  <c r="S205" i="2"/>
  <c r="V205" i="2" s="1"/>
  <c r="S437" i="2"/>
  <c r="S635" i="2"/>
  <c r="V635" i="2" s="1"/>
  <c r="S42" i="2"/>
  <c r="T42" i="2" s="1"/>
  <c r="S378" i="2"/>
  <c r="V378" i="2" s="1"/>
  <c r="S1097" i="2"/>
  <c r="S494" i="2"/>
  <c r="V494" i="2" s="1"/>
  <c r="S351" i="2"/>
  <c r="V351" i="2" s="1"/>
  <c r="S33" i="2"/>
  <c r="V33" i="2" s="1"/>
  <c r="S773" i="2"/>
  <c r="S289" i="2"/>
  <c r="S169" i="2"/>
  <c r="S1163" i="2"/>
  <c r="V1163" i="2" s="1"/>
  <c r="S36" i="2"/>
  <c r="S304" i="2"/>
  <c r="V304" i="2" s="1"/>
  <c r="S27" i="2"/>
  <c r="V27" i="2" s="1"/>
  <c r="S628" i="2"/>
  <c r="V628" i="2" s="1"/>
  <c r="S322" i="2"/>
  <c r="S401" i="2"/>
  <c r="S297" i="2"/>
  <c r="T297" i="2" s="1"/>
  <c r="S395" i="2"/>
  <c r="S568" i="2"/>
  <c r="S521" i="2"/>
  <c r="V521" i="2" s="1"/>
  <c r="S527" i="2"/>
  <c r="V527" i="2" s="1"/>
  <c r="S499" i="2"/>
  <c r="S480" i="2"/>
  <c r="S490" i="2"/>
  <c r="V490" i="2" s="1"/>
  <c r="S430" i="2"/>
  <c r="S787" i="2"/>
  <c r="V787" i="2" s="1"/>
  <c r="S510" i="2"/>
  <c r="V510" i="2" s="1"/>
  <c r="S723" i="2"/>
  <c r="V723" i="2" s="1"/>
  <c r="S591" i="2"/>
  <c r="V591" i="2" s="1"/>
  <c r="S576" i="2"/>
  <c r="S659" i="2"/>
  <c r="S173" i="2"/>
  <c r="V173" i="2" s="1"/>
  <c r="S367" i="2"/>
  <c r="T367" i="2" s="1"/>
  <c r="S3" i="2"/>
  <c r="V3" i="2" s="1"/>
  <c r="S543" i="2"/>
  <c r="V543" i="2" s="1"/>
  <c r="S710" i="2"/>
  <c r="V710" i="2" s="1"/>
  <c r="S729" i="2"/>
  <c r="V729" i="2" s="1"/>
  <c r="S444" i="2"/>
  <c r="S462" i="2"/>
  <c r="S532" i="2"/>
  <c r="V532" i="2" s="1"/>
  <c r="S416" i="2"/>
  <c r="S491" i="2"/>
  <c r="V491" i="2" s="1"/>
  <c r="S615" i="2"/>
  <c r="S735" i="2"/>
  <c r="V735" i="2" s="1"/>
  <c r="S537" i="2"/>
  <c r="V537" i="2" s="1"/>
  <c r="S570" i="2"/>
  <c r="S716" i="2"/>
  <c r="S712" i="2"/>
  <c r="V712" i="2" s="1"/>
  <c r="S849" i="2"/>
  <c r="T849" i="2" s="1"/>
  <c r="S1098" i="2"/>
  <c r="S671" i="2"/>
  <c r="V671" i="2" s="1"/>
  <c r="S269" i="2"/>
  <c r="V269" i="2" s="1"/>
  <c r="S493" i="2"/>
  <c r="V493" i="2" s="1"/>
  <c r="S397" i="2"/>
  <c r="S487" i="2"/>
  <c r="S258" i="2"/>
  <c r="V258" i="2" s="1"/>
  <c r="S565" i="2"/>
  <c r="S588" i="2"/>
  <c r="V588" i="2" s="1"/>
  <c r="S229" i="2"/>
  <c r="S541" i="2"/>
  <c r="V541" i="2" s="1"/>
  <c r="S428" i="2"/>
  <c r="V428" i="2" s="1"/>
  <c r="S447" i="2"/>
  <c r="V447" i="2" s="1"/>
  <c r="S155" i="2"/>
  <c r="S355" i="2"/>
  <c r="V355" i="2" s="1"/>
  <c r="S342" i="2"/>
  <c r="T342" i="2" s="1"/>
  <c r="S463" i="2"/>
  <c r="V463" i="2" s="1"/>
  <c r="S745" i="2"/>
  <c r="S540" i="2"/>
  <c r="V540" i="2" s="1"/>
  <c r="S133" i="2"/>
  <c r="V133" i="2" s="1"/>
  <c r="S294" i="2"/>
  <c r="V294" i="2" s="1"/>
  <c r="S580" i="2"/>
  <c r="S469" i="2"/>
  <c r="V469" i="2" s="1"/>
  <c r="S305" i="2"/>
  <c r="S51" i="2"/>
  <c r="V51" i="2" s="1"/>
  <c r="S166" i="2"/>
  <c r="V166" i="2" s="1"/>
  <c r="S581" i="2"/>
  <c r="V581" i="2" s="1"/>
  <c r="S574" i="2"/>
  <c r="V574" i="2" s="1"/>
  <c r="S449" i="2"/>
  <c r="S673" i="2"/>
  <c r="S319" i="2"/>
  <c r="V319" i="2" s="1"/>
  <c r="S109" i="2"/>
  <c r="T109" i="2" s="1"/>
  <c r="S750" i="2"/>
  <c r="V750" i="2" s="1"/>
  <c r="S417" i="2"/>
  <c r="S489" i="2"/>
  <c r="S680" i="2"/>
  <c r="V680" i="2" s="1"/>
  <c r="S549" i="2"/>
  <c r="V549" i="2" s="1"/>
  <c r="S492" i="2"/>
  <c r="S227" i="2"/>
  <c r="V227" i="2" s="1"/>
  <c r="S488" i="2"/>
  <c r="S626" i="2"/>
  <c r="S495" i="2"/>
  <c r="V495" i="2" s="1"/>
  <c r="S392" i="2"/>
  <c r="V392" i="2" s="1"/>
  <c r="S934" i="2"/>
  <c r="V934" i="2" s="1"/>
  <c r="S777" i="2"/>
  <c r="S708" i="2"/>
  <c r="V708" i="2" s="1"/>
  <c r="S639" i="2"/>
  <c r="V639" i="2" s="1"/>
  <c r="S344" i="2"/>
  <c r="T344" i="2" s="1"/>
  <c r="S136" i="2"/>
  <c r="V136" i="2" s="1"/>
  <c r="S393" i="2"/>
  <c r="S296" i="2"/>
  <c r="V296" i="2" s="1"/>
  <c r="S341" i="2"/>
  <c r="V341" i="2" s="1"/>
  <c r="S64" i="2"/>
  <c r="V64" i="2" s="1"/>
  <c r="S61" i="2"/>
  <c r="S170" i="2"/>
  <c r="V170" i="2" s="1"/>
  <c r="S211" i="2"/>
  <c r="S65" i="2"/>
  <c r="S436" i="2"/>
  <c r="S226" i="2"/>
  <c r="V226" i="2" s="1"/>
  <c r="S262" i="2"/>
  <c r="V262" i="2" s="1"/>
  <c r="S458" i="2"/>
  <c r="S471" i="2"/>
  <c r="S108" i="2"/>
  <c r="S472" i="2"/>
  <c r="S1192" i="2"/>
  <c r="V1192" i="2" s="1"/>
  <c r="S479" i="2"/>
  <c r="S295" i="2"/>
  <c r="V295" i="2" s="1"/>
  <c r="S579" i="2"/>
  <c r="V579" i="2" s="1"/>
  <c r="S369" i="2"/>
  <c r="V369" i="2" s="1"/>
  <c r="S219" i="2"/>
  <c r="S500" i="2"/>
  <c r="S348" i="2"/>
  <c r="S917" i="2"/>
  <c r="S159" i="2"/>
  <c r="S362" i="2"/>
  <c r="T362" i="2" s="1"/>
  <c r="S119" i="2"/>
  <c r="V119" i="2" s="1"/>
  <c r="S152" i="2"/>
  <c r="V152" i="2" s="1"/>
  <c r="S655" i="2"/>
  <c r="S120" i="2"/>
  <c r="S62" i="2"/>
  <c r="S101" i="2"/>
  <c r="S520" i="2"/>
  <c r="S327" i="2"/>
  <c r="V327" i="2" s="1"/>
  <c r="S105" i="2"/>
  <c r="V105" i="2" s="1"/>
  <c r="S69" i="2"/>
  <c r="V69" i="2" s="1"/>
  <c r="S70" i="2"/>
  <c r="S83" i="2"/>
  <c r="V83" i="2" s="1"/>
  <c r="S99" i="2"/>
  <c r="S165" i="2"/>
  <c r="V165" i="2" s="1"/>
  <c r="S111" i="2"/>
  <c r="S209" i="2"/>
  <c r="S63" i="2"/>
  <c r="V63" i="2" s="1"/>
  <c r="S644" i="2"/>
  <c r="S315" i="2"/>
  <c r="S125" i="2"/>
  <c r="T125" i="2" s="1"/>
  <c r="S249" i="2"/>
  <c r="S496" i="2"/>
  <c r="V496" i="2" s="1"/>
  <c r="S190" i="2"/>
  <c r="V190" i="2" s="1"/>
  <c r="S627" i="2"/>
  <c r="V627" i="2" s="1"/>
  <c r="S288" i="2"/>
  <c r="V288" i="2" s="1"/>
  <c r="S284" i="2"/>
  <c r="V284" i="2" s="1"/>
  <c r="S110" i="2"/>
  <c r="V110" i="2" s="1"/>
  <c r="S90" i="2"/>
  <c r="V90" i="2" s="1"/>
  <c r="S94" i="2"/>
  <c r="S337" i="2"/>
  <c r="V337" i="2" s="1"/>
  <c r="S250" i="2"/>
  <c r="V250" i="2" s="1"/>
  <c r="S516" i="2"/>
  <c r="V516" i="2" s="1"/>
  <c r="S890" i="2"/>
  <c r="V890" i="2" s="1"/>
  <c r="S612" i="2"/>
  <c r="V612" i="2" s="1"/>
  <c r="S530" i="2"/>
  <c r="V530" i="2" s="1"/>
  <c r="S171" i="2"/>
  <c r="V171" i="2" s="1"/>
  <c r="S214" i="2"/>
  <c r="S385" i="2"/>
  <c r="S561" i="2"/>
  <c r="S17" i="2"/>
  <c r="V17" i="2" s="1"/>
  <c r="S451" i="2"/>
  <c r="V451" i="2" s="1"/>
  <c r="S251" i="2"/>
  <c r="V251" i="2" s="1"/>
  <c r="S216" i="2"/>
  <c r="S32" i="2"/>
  <c r="T32" i="2" s="1"/>
  <c r="S103" i="2"/>
  <c r="S737" i="2"/>
  <c r="V737" i="2" s="1"/>
  <c r="S794" i="2"/>
  <c r="S66" i="2"/>
  <c r="V66" i="2" s="1"/>
  <c r="S678" i="2"/>
  <c r="V678" i="2" s="1"/>
  <c r="S158" i="2"/>
  <c r="S45" i="2"/>
  <c r="V45" i="2" s="1"/>
  <c r="S149" i="2"/>
  <c r="T149" i="2" s="1"/>
  <c r="S44" i="2"/>
  <c r="S992" i="2"/>
  <c r="V992" i="2" s="1"/>
  <c r="S300" i="2"/>
  <c r="S121" i="2"/>
  <c r="V121" i="2" s="1"/>
  <c r="S642" i="2"/>
  <c r="V642" i="2" s="1"/>
  <c r="S188" i="2"/>
  <c r="V188" i="2" s="1"/>
  <c r="S72" i="2"/>
  <c r="S908" i="2"/>
  <c r="V908" i="2" s="1"/>
  <c r="S403" i="2"/>
  <c r="S379" i="2"/>
  <c r="V379" i="2" s="1"/>
  <c r="S87" i="2"/>
  <c r="V87" i="2" s="1"/>
  <c r="S363" i="2"/>
  <c r="V363" i="2" s="1"/>
  <c r="S77" i="2"/>
  <c r="V77" i="2" s="1"/>
  <c r="S191" i="2"/>
  <c r="V191" i="2" s="1"/>
  <c r="S59" i="2"/>
  <c r="V59" i="2" s="1"/>
  <c r="S97" i="2"/>
  <c r="V97" i="2" s="1"/>
  <c r="S71" i="2"/>
  <c r="S228" i="2"/>
  <c r="S545" i="2"/>
  <c r="S204" i="2"/>
  <c r="V204" i="2" s="1"/>
  <c r="S102" i="2"/>
  <c r="V102" i="2" s="1"/>
  <c r="S193" i="2"/>
  <c r="V193" i="2" s="1"/>
  <c r="S212" i="2"/>
  <c r="S244" i="2"/>
  <c r="T244" i="2" s="1"/>
  <c r="S60" i="2"/>
  <c r="S180" i="2"/>
  <c r="V180" i="2" s="1"/>
  <c r="S291" i="2"/>
  <c r="S368" i="2"/>
  <c r="V368" i="2" s="1"/>
  <c r="S34" i="2"/>
  <c r="V34" i="2" s="1"/>
  <c r="S1382" i="2"/>
  <c r="V1382" i="2" s="1"/>
  <c r="S52" i="2"/>
  <c r="S48" i="2"/>
  <c r="T48" i="2" s="1"/>
  <c r="S8" i="2"/>
  <c r="S333" i="2"/>
  <c r="V333" i="2" s="1"/>
  <c r="S779" i="2"/>
  <c r="S513" i="2"/>
  <c r="V513" i="2" s="1"/>
  <c r="S323" i="2"/>
  <c r="V323" i="2" s="1"/>
  <c r="S717" i="2"/>
  <c r="S677" i="2"/>
  <c r="V677" i="2" s="1"/>
  <c r="S501" i="2"/>
  <c r="V501" i="2" s="1"/>
  <c r="S724" i="2"/>
  <c r="S1100" i="2"/>
  <c r="S654" i="2"/>
  <c r="S961" i="2"/>
  <c r="S897" i="2"/>
  <c r="V897" i="2" s="1"/>
  <c r="S1322" i="2"/>
  <c r="S1229" i="2"/>
  <c r="S582" i="2"/>
  <c r="V582" i="2" s="1"/>
  <c r="S970" i="2"/>
  <c r="S1306" i="2"/>
  <c r="S1214" i="2"/>
  <c r="S1037" i="2"/>
  <c r="V1037" i="2" s="1"/>
  <c r="S977" i="2"/>
  <c r="V977" i="2" s="1"/>
  <c r="S939" i="2"/>
  <c r="V939" i="2" s="1"/>
  <c r="S55" i="2"/>
  <c r="S551" i="2"/>
  <c r="T551" i="2" s="1"/>
  <c r="S310" i="2"/>
  <c r="S789" i="2"/>
  <c r="V789" i="2" s="1"/>
  <c r="S987" i="2"/>
  <c r="S558" i="2"/>
  <c r="S1027" i="2"/>
  <c r="V1027" i="2" s="1"/>
  <c r="S552" i="2"/>
  <c r="V552" i="2" s="1"/>
  <c r="S255" i="2"/>
  <c r="V255" i="2" s="1"/>
  <c r="S776" i="2"/>
  <c r="T776" i="2" s="1"/>
  <c r="S303" i="2"/>
  <c r="S1330" i="2"/>
  <c r="S1294" i="2"/>
  <c r="V1294" i="2" s="1"/>
  <c r="S730" i="2"/>
  <c r="S1147" i="2"/>
  <c r="V1147" i="2" s="1"/>
  <c r="S1118" i="2"/>
  <c r="V1118" i="2" s="1"/>
  <c r="S732" i="2"/>
  <c r="S830" i="2"/>
  <c r="V830" i="2" s="1"/>
  <c r="S1083" i="2"/>
  <c r="S709" i="2"/>
  <c r="S529" i="2"/>
  <c r="V529" i="2" s="1"/>
  <c r="S805" i="2"/>
  <c r="V805" i="2" s="1"/>
  <c r="S372" i="2"/>
  <c r="V372" i="2" s="1"/>
  <c r="S839" i="2"/>
  <c r="V839" i="2" s="1"/>
  <c r="S467" i="2"/>
  <c r="S736" i="2"/>
  <c r="V736" i="2" s="1"/>
  <c r="S445" i="2"/>
  <c r="S293" i="2"/>
  <c r="S1335" i="2"/>
  <c r="S1216" i="2"/>
  <c r="V1216" i="2" s="1"/>
  <c r="S640" i="2"/>
  <c r="V640" i="2" s="1"/>
  <c r="S483" i="2"/>
  <c r="V483" i="2" s="1"/>
  <c r="S6" i="2"/>
  <c r="S923" i="2"/>
  <c r="V923" i="2" s="1"/>
  <c r="S835" i="2"/>
  <c r="S1186" i="2"/>
  <c r="S1079" i="2"/>
  <c r="S376" i="2"/>
  <c r="V376" i="2" s="1"/>
  <c r="S384" i="2"/>
  <c r="V384" i="2" s="1"/>
  <c r="S817" i="2"/>
  <c r="V817" i="2" s="1"/>
  <c r="S943" i="2"/>
  <c r="S598" i="2"/>
  <c r="T598" i="2" s="1"/>
  <c r="S795" i="2"/>
  <c r="S542" i="2"/>
  <c r="S240" i="2"/>
  <c r="S740" i="2"/>
  <c r="V740" i="2" s="1"/>
  <c r="S202" i="2"/>
  <c r="V202" i="2" s="1"/>
  <c r="S243" i="2"/>
  <c r="V243" i="2" s="1"/>
  <c r="S603" i="2"/>
  <c r="S381" i="2"/>
  <c r="V381" i="2" s="1"/>
  <c r="S816" i="2"/>
  <c r="S608" i="2"/>
  <c r="S96" i="2"/>
  <c r="V96" i="2" s="1"/>
  <c r="S431" i="2"/>
  <c r="V431" i="2" s="1"/>
  <c r="S945" i="2"/>
  <c r="V945" i="2" s="1"/>
  <c r="S851" i="2"/>
  <c r="V851" i="2" s="1"/>
  <c r="S691" i="2"/>
  <c r="S409" i="2"/>
  <c r="T409" i="2" s="1"/>
  <c r="S697" i="2"/>
  <c r="S528" i="2"/>
  <c r="V528" i="2" s="1"/>
  <c r="S799" i="2"/>
  <c r="V799" i="2" s="1"/>
  <c r="S194" i="2"/>
  <c r="V194" i="2" s="1"/>
  <c r="S747" i="2"/>
  <c r="V747" i="2" s="1"/>
  <c r="S267" i="2"/>
  <c r="V267" i="2" s="1"/>
  <c r="S314" i="2"/>
  <c r="S398" i="2"/>
  <c r="V398" i="2" s="1"/>
  <c r="S232" i="2"/>
  <c r="S130" i="2"/>
  <c r="V130" i="2" s="1"/>
  <c r="S742" i="2"/>
  <c r="V742" i="2" s="1"/>
  <c r="S424" i="2"/>
  <c r="V424" i="2" s="1"/>
  <c r="S620" i="2"/>
  <c r="V620" i="2" s="1"/>
  <c r="S441" i="2"/>
  <c r="V441" i="2" s="1"/>
  <c r="S164" i="2"/>
  <c r="S268" i="2"/>
  <c r="T268" i="2" s="1"/>
  <c r="S629" i="2"/>
  <c r="S1138" i="2"/>
  <c r="V1138" i="2" s="1"/>
  <c r="S577" i="2"/>
  <c r="V577" i="2" s="1"/>
  <c r="S1197" i="2"/>
  <c r="V1197" i="2" s="1"/>
  <c r="S1002" i="2"/>
  <c r="V1002" i="2" s="1"/>
  <c r="S921" i="2"/>
  <c r="V921" i="2" s="1"/>
  <c r="S413" i="2"/>
  <c r="S922" i="2"/>
  <c r="V922" i="2" s="1"/>
  <c r="S741" i="2"/>
  <c r="S1105" i="2"/>
  <c r="V1105" i="2" s="1"/>
  <c r="S752" i="2"/>
  <c r="V752" i="2" s="1"/>
  <c r="S1028" i="2"/>
  <c r="V1028" i="2" s="1"/>
  <c r="S365" i="2"/>
  <c r="V365" i="2" s="1"/>
  <c r="S613" i="2"/>
  <c r="V613" i="2" s="1"/>
  <c r="S476" i="2"/>
  <c r="S755" i="2"/>
  <c r="V755" i="2" s="1"/>
  <c r="S547" i="2"/>
  <c r="S555" i="2"/>
  <c r="V555" i="2" s="1"/>
  <c r="S942" i="2"/>
  <c r="V942" i="2" s="1"/>
  <c r="S601" i="2"/>
  <c r="V601" i="2" s="1"/>
  <c r="S751" i="2"/>
  <c r="V751" i="2" s="1"/>
  <c r="S402" i="2"/>
  <c r="V402" i="2" s="1"/>
  <c r="S824" i="2"/>
  <c r="S160" i="2"/>
  <c r="T160" i="2" s="1"/>
  <c r="S91" i="2"/>
  <c r="S287" i="2"/>
  <c r="V287" i="2" s="1"/>
  <c r="S113" i="2"/>
  <c r="V113" i="2" s="1"/>
  <c r="S407" i="2"/>
  <c r="V407" i="2" s="1"/>
  <c r="S340" i="2"/>
  <c r="V340" i="2" s="1"/>
  <c r="S767" i="2"/>
  <c r="V767" i="2" s="1"/>
  <c r="S364" i="2"/>
  <c r="S346" i="2"/>
  <c r="S1206" i="2"/>
  <c r="S867" i="2"/>
  <c r="V867" i="2" s="1"/>
  <c r="S253" i="2"/>
  <c r="S1152" i="2"/>
  <c r="V1152" i="2" s="1"/>
  <c r="S330" i="2"/>
  <c r="V330" i="2" s="1"/>
  <c r="S150" i="2"/>
  <c r="V150" i="2" s="1"/>
  <c r="S959" i="2"/>
  <c r="V959" i="2" s="1"/>
  <c r="S526" i="2"/>
  <c r="V526" i="2" s="1"/>
  <c r="S1394" i="2"/>
  <c r="S1326" i="2"/>
  <c r="V1326" i="2" s="1"/>
  <c r="S763" i="2"/>
  <c r="S390" i="2"/>
  <c r="V390" i="2" s="1"/>
  <c r="S1348" i="2"/>
  <c r="V1348" i="2" s="1"/>
  <c r="S1303" i="2"/>
  <c r="V1303" i="2" s="1"/>
  <c r="S1413" i="2"/>
  <c r="V1413" i="2" s="1"/>
  <c r="S514" i="2"/>
  <c r="T514" i="2" s="1"/>
  <c r="S1153" i="2"/>
  <c r="S895" i="2"/>
  <c r="V895" i="2" s="1"/>
  <c r="S1265" i="2"/>
  <c r="S1247" i="2"/>
  <c r="V1247" i="2" s="1"/>
  <c r="S1253" i="2"/>
  <c r="V1253" i="2" s="1"/>
  <c r="S610" i="2"/>
  <c r="V610" i="2" s="1"/>
  <c r="S320" i="2"/>
  <c r="V320" i="2" s="1"/>
  <c r="S498" i="2"/>
  <c r="V498" i="2" s="1"/>
  <c r="S536" i="2"/>
  <c r="S682" i="2"/>
  <c r="V682" i="2" s="1"/>
  <c r="S1204" i="2"/>
  <c r="V1204" i="2" s="1"/>
  <c r="S1273" i="2"/>
  <c r="V1273" i="2" s="1"/>
  <c r="S743" i="2"/>
  <c r="V743" i="2" s="1"/>
  <c r="S1323" i="2"/>
  <c r="V1323" i="2" s="1"/>
  <c r="S245" i="2"/>
  <c r="V245" i="2" s="1"/>
  <c r="S443" i="2"/>
  <c r="V443" i="2" s="1"/>
  <c r="S881" i="2"/>
  <c r="S1465" i="2"/>
  <c r="V1465" i="2" s="1"/>
  <c r="S800" i="2"/>
  <c r="S1364" i="2"/>
  <c r="V1364" i="2" s="1"/>
  <c r="S1189" i="2"/>
  <c r="V1189" i="2" s="1"/>
  <c r="S1276" i="2"/>
  <c r="V1276" i="2" s="1"/>
  <c r="S931" i="2"/>
  <c r="V931" i="2" s="1"/>
  <c r="S1316" i="2"/>
  <c r="V1316" i="2" s="1"/>
  <c r="S1187" i="2"/>
  <c r="S1221" i="2"/>
  <c r="V1221" i="2" s="1"/>
  <c r="S519" i="2"/>
  <c r="S1356" i="2"/>
  <c r="V1356" i="2" s="1"/>
  <c r="S1022" i="2"/>
  <c r="V1022" i="2" s="1"/>
  <c r="S454" i="2"/>
  <c r="V454" i="2" s="1"/>
  <c r="S144" i="2"/>
  <c r="V144" i="2" s="1"/>
  <c r="S1191" i="2"/>
  <c r="T1191" i="2" s="1"/>
  <c r="S326" i="2"/>
  <c r="S926" i="2"/>
  <c r="V926" i="2" s="1"/>
  <c r="S983" i="2"/>
  <c r="S846" i="2"/>
  <c r="V846" i="2" s="1"/>
  <c r="S1350" i="2"/>
  <c r="V1350" i="2" s="1"/>
  <c r="S201" i="2"/>
  <c r="V201" i="2" s="1"/>
  <c r="S1227" i="2"/>
  <c r="S720" i="2"/>
  <c r="V720" i="2" s="1"/>
  <c r="S843" i="2"/>
  <c r="S1020" i="2"/>
  <c r="V1020" i="2" s="1"/>
  <c r="S739" i="2"/>
  <c r="V739" i="2" s="1"/>
  <c r="S637" i="2"/>
  <c r="V637" i="2" s="1"/>
  <c r="S614" i="2"/>
  <c r="V614" i="2" s="1"/>
  <c r="S1320" i="2"/>
  <c r="V1320" i="2" s="1"/>
  <c r="S556" i="2"/>
  <c r="V556" i="2" s="1"/>
  <c r="S433" i="2"/>
  <c r="V433" i="2" s="1"/>
  <c r="S1412" i="2"/>
  <c r="S770" i="2"/>
  <c r="S595" i="2"/>
  <c r="S1023" i="2"/>
  <c r="S410" i="2"/>
  <c r="V410" i="2" s="1"/>
  <c r="S308" i="2"/>
  <c r="V308" i="2" s="1"/>
  <c r="S762" i="2"/>
  <c r="V762" i="2" s="1"/>
  <c r="S442" i="2"/>
  <c r="V442" i="2" s="1"/>
  <c r="S1000" i="2"/>
  <c r="S1066" i="2"/>
  <c r="V1066" i="2" s="1"/>
  <c r="S792" i="2"/>
  <c r="V792" i="2" s="1"/>
  <c r="S1012" i="2"/>
  <c r="S1281" i="2"/>
  <c r="V1281" i="2" s="1"/>
  <c r="S1275" i="2"/>
  <c r="V1275" i="2" s="1"/>
  <c r="S546" i="2"/>
  <c r="S46" i="2"/>
  <c r="V46" i="2" s="1"/>
  <c r="S1269" i="2"/>
  <c r="S1304" i="2"/>
  <c r="V1304" i="2" s="1"/>
  <c r="S2" i="2"/>
  <c r="V2" i="2" s="1"/>
  <c r="S623" i="2"/>
  <c r="V623" i="2" s="1"/>
  <c r="S1040" i="2"/>
  <c r="V1040" i="2" s="1"/>
  <c r="S221" i="2"/>
  <c r="V221" i="2" s="1"/>
  <c r="S167" i="2"/>
  <c r="V167" i="2" s="1"/>
  <c r="S84" i="2"/>
  <c r="V84" i="2" s="1"/>
  <c r="S621" i="2"/>
  <c r="S1015" i="2"/>
  <c r="V1015" i="2" s="1"/>
  <c r="S1384" i="2"/>
  <c r="S1211" i="2"/>
  <c r="V1211" i="2" s="1"/>
  <c r="S1123" i="2"/>
  <c r="V1123" i="2" s="1"/>
  <c r="S1372" i="2"/>
  <c r="V1372" i="2" s="1"/>
  <c r="S796" i="2"/>
  <c r="S836" i="2"/>
  <c r="T836" i="2" s="1"/>
  <c r="S1340" i="2"/>
  <c r="S1447" i="2"/>
  <c r="S1056" i="2"/>
  <c r="V1056" i="2" s="1"/>
  <c r="S1464" i="2"/>
  <c r="V1464" i="2" s="1"/>
  <c r="S1455" i="2"/>
  <c r="V1455" i="2" s="1"/>
  <c r="S1416" i="2"/>
  <c r="V1416" i="2" s="1"/>
  <c r="S1114" i="2"/>
  <c r="S1367" i="2"/>
  <c r="V1367" i="2" s="1"/>
  <c r="S1162" i="2"/>
  <c r="S1352" i="2"/>
  <c r="V1352" i="2" s="1"/>
  <c r="S316" i="2"/>
  <c r="S1185" i="2"/>
  <c r="V1185" i="2" s="1"/>
  <c r="S522" i="2"/>
  <c r="V522" i="2" s="1"/>
  <c r="S887" i="2"/>
  <c r="V887" i="2" s="1"/>
  <c r="S809" i="2"/>
  <c r="V809" i="2" s="1"/>
  <c r="S1385" i="2"/>
  <c r="V1385" i="2" s="1"/>
  <c r="S432" i="2"/>
  <c r="S1088" i="2"/>
  <c r="S1310" i="2"/>
  <c r="S974" i="2"/>
  <c r="S667" i="2"/>
  <c r="V667" i="2" s="1"/>
  <c r="S803" i="2"/>
  <c r="V803" i="2" s="1"/>
  <c r="S1231" i="2"/>
  <c r="V1231" i="2" s="1"/>
  <c r="S765" i="2"/>
  <c r="T765" i="2" s="1"/>
  <c r="S679" i="2"/>
  <c r="S1436" i="2"/>
  <c r="S784" i="2"/>
  <c r="S774" i="2"/>
  <c r="V774" i="2" s="1"/>
  <c r="S1047" i="2"/>
  <c r="V1047" i="2" s="1"/>
  <c r="S1378" i="2"/>
  <c r="V1378" i="2" s="1"/>
  <c r="S841" i="2"/>
  <c r="S927" i="2"/>
  <c r="T927" i="2" s="1"/>
  <c r="S1477" i="2"/>
  <c r="S1104" i="2"/>
  <c r="V1104" i="2" s="1"/>
  <c r="S114" i="2"/>
  <c r="V114" i="2" s="1"/>
  <c r="S1208" i="2"/>
  <c r="V1208" i="2" s="1"/>
  <c r="S1078" i="2"/>
  <c r="V1078" i="2" s="1"/>
  <c r="S788" i="2"/>
  <c r="V788" i="2" s="1"/>
  <c r="S1169" i="2"/>
  <c r="S429" i="2"/>
  <c r="V429" i="2" s="1"/>
  <c r="S1136" i="2"/>
  <c r="S1263" i="2"/>
  <c r="V1263" i="2" s="1"/>
  <c r="S1180" i="2"/>
  <c r="V1180" i="2" s="1"/>
  <c r="S714" i="2"/>
  <c r="V714" i="2" s="1"/>
  <c r="S1318" i="2"/>
  <c r="V1318" i="2" s="1"/>
  <c r="S1446" i="2"/>
  <c r="V1446" i="2" s="1"/>
  <c r="S1087" i="2"/>
  <c r="S312" i="2"/>
  <c r="V312" i="2" s="1"/>
  <c r="S1129" i="2"/>
  <c r="S1178" i="2"/>
  <c r="V1178" i="2" s="1"/>
  <c r="S1261" i="2"/>
  <c r="S968" i="2"/>
  <c r="V968" i="2" s="1"/>
  <c r="S1369" i="2"/>
  <c r="V1369" i="2" s="1"/>
  <c r="S1091" i="2"/>
  <c r="V1091" i="2" s="1"/>
  <c r="S725" i="2"/>
  <c r="S329" i="2"/>
  <c r="V329" i="2" s="1"/>
  <c r="S589" i="2"/>
  <c r="S7" i="2"/>
  <c r="V7" i="2" s="1"/>
  <c r="S1207" i="2"/>
  <c r="V1207" i="2" s="1"/>
  <c r="S1102" i="2"/>
  <c r="V1102" i="2" s="1"/>
  <c r="S999" i="2"/>
  <c r="V999" i="2" s="1"/>
  <c r="S1501" i="2"/>
  <c r="V1501" i="2" s="1"/>
  <c r="S1293" i="2"/>
  <c r="S993" i="2"/>
  <c r="T993" i="2" s="1"/>
  <c r="S1233" i="2"/>
  <c r="S1417" i="2"/>
  <c r="V1417" i="2" s="1"/>
  <c r="S1267" i="2"/>
  <c r="V1267" i="2" s="1"/>
  <c r="S1444" i="2"/>
  <c r="V1444" i="2" s="1"/>
  <c r="S1422" i="2"/>
  <c r="V1422" i="2" s="1"/>
  <c r="S1498" i="2"/>
  <c r="V1498" i="2" s="1"/>
  <c r="S1284" i="2"/>
  <c r="S1504" i="2"/>
  <c r="V1504" i="2" s="1"/>
  <c r="S1374" i="2"/>
  <c r="S1324" i="2"/>
  <c r="V1324" i="2" s="1"/>
  <c r="S893" i="2"/>
  <c r="V893" i="2" s="1"/>
  <c r="S1292" i="2"/>
  <c r="V1292" i="2" s="1"/>
  <c r="S1026" i="2"/>
  <c r="V1026" i="2" s="1"/>
  <c r="S1093" i="2"/>
  <c r="V1093" i="2" s="1"/>
  <c r="S990" i="2"/>
  <c r="V990" i="2" s="1"/>
  <c r="S1418" i="2"/>
  <c r="V1418" i="2" s="1"/>
  <c r="S1200" i="2"/>
  <c r="S1064" i="2"/>
  <c r="V1064" i="2" s="1"/>
  <c r="S1437" i="2"/>
  <c r="S1302" i="2"/>
  <c r="V1302" i="2" s="1"/>
  <c r="S1183" i="2"/>
  <c r="V1183" i="2" s="1"/>
  <c r="S1117" i="2"/>
  <c r="V1117" i="2" s="1"/>
  <c r="S1295" i="2"/>
  <c r="S1171" i="2"/>
  <c r="V1171" i="2" s="1"/>
  <c r="S1135" i="2"/>
  <c r="S1423" i="2"/>
  <c r="V1423" i="2" s="1"/>
  <c r="S1077" i="2"/>
  <c r="S936" i="2"/>
  <c r="V936" i="2" s="1"/>
  <c r="S1031" i="2"/>
  <c r="V1031" i="2" s="1"/>
  <c r="S1434" i="2"/>
  <c r="V1434" i="2" s="1"/>
  <c r="S1199" i="2"/>
  <c r="V1199" i="2" s="1"/>
  <c r="S1190" i="2"/>
  <c r="T1190" i="2" s="1"/>
  <c r="S1485" i="2"/>
  <c r="S423" i="2"/>
  <c r="V423" i="2" s="1"/>
  <c r="S104" i="2"/>
  <c r="S966" i="2"/>
  <c r="V966" i="2" s="1"/>
  <c r="S672" i="2"/>
  <c r="V672" i="2" s="1"/>
  <c r="S278" i="2"/>
  <c r="V278" i="2" s="1"/>
  <c r="S74" i="2"/>
  <c r="S1041" i="2"/>
  <c r="V1041" i="2" s="1"/>
  <c r="S722" i="2"/>
  <c r="S38" i="2"/>
  <c r="V38" i="2" s="1"/>
  <c r="S39" i="2"/>
  <c r="S578" i="2"/>
  <c r="V578" i="2" s="1"/>
  <c r="S1299" i="2"/>
  <c r="V1299" i="2" s="1"/>
  <c r="S1380" i="2"/>
  <c r="V1380" i="2" s="1"/>
  <c r="S937" i="2"/>
  <c r="S625" i="2"/>
  <c r="V625" i="2" s="1"/>
  <c r="S812" i="2"/>
  <c r="S1034" i="2"/>
  <c r="V1034" i="2" s="1"/>
  <c r="S461" i="2"/>
  <c r="V461" i="2" s="1"/>
  <c r="S859" i="2"/>
  <c r="V859" i="2" s="1"/>
  <c r="S1044" i="2"/>
  <c r="V1044" i="2" s="1"/>
  <c r="S1006" i="2"/>
  <c r="V1006" i="2" s="1"/>
  <c r="S586" i="2"/>
  <c r="S503" i="2"/>
  <c r="T503" i="2" s="1"/>
  <c r="S53" i="2"/>
  <c r="S1155" i="2"/>
  <c r="V1155" i="2" s="1"/>
  <c r="S1003" i="2"/>
  <c r="S609" i="2"/>
  <c r="V609" i="2" s="1"/>
  <c r="S718" i="2"/>
  <c r="V718" i="2" s="1"/>
  <c r="S857" i="2"/>
  <c r="V857" i="2" s="1"/>
  <c r="S1286" i="2"/>
  <c r="S807" i="2"/>
  <c r="S868" i="2"/>
  <c r="S825" i="2"/>
  <c r="V825" i="2" s="1"/>
  <c r="S1373" i="2"/>
  <c r="S1121" i="2"/>
  <c r="V1121" i="2" s="1"/>
  <c r="S1259" i="2"/>
  <c r="V1259" i="2" s="1"/>
  <c r="S1344" i="2"/>
  <c r="V1344" i="2" s="1"/>
  <c r="S758" i="2"/>
  <c r="S1067" i="2"/>
  <c r="V1067" i="2" s="1"/>
  <c r="S318" i="2"/>
  <c r="S1071" i="2"/>
  <c r="V1071" i="2" s="1"/>
  <c r="S828" i="2"/>
  <c r="S1165" i="2"/>
  <c r="V1165" i="2" s="1"/>
  <c r="S531" i="2"/>
  <c r="V531" i="2" s="1"/>
  <c r="S511" i="2"/>
  <c r="V511" i="2" s="1"/>
  <c r="S446" i="2"/>
  <c r="S1219" i="2"/>
  <c r="T1219" i="2" s="1"/>
  <c r="S721" i="2"/>
  <c r="S481" i="2"/>
  <c r="V481" i="2" s="1"/>
  <c r="S1325" i="2"/>
  <c r="S975" i="2"/>
  <c r="V975" i="2" s="1"/>
  <c r="S396" i="2"/>
  <c r="V396" i="2" s="1"/>
  <c r="S138" i="2"/>
  <c r="V138" i="2" s="1"/>
  <c r="S782" i="2"/>
  <c r="S801" i="2"/>
  <c r="V801" i="2" s="1"/>
  <c r="S647" i="2"/>
  <c r="S981" i="2"/>
  <c r="V981" i="2" s="1"/>
  <c r="S699" i="2"/>
  <c r="S583" i="2"/>
  <c r="V583" i="2" s="1"/>
  <c r="S605" i="2"/>
  <c r="V605" i="2" s="1"/>
  <c r="S1427" i="2"/>
  <c r="V1427" i="2" s="1"/>
  <c r="S594" i="2"/>
  <c r="S660" i="2"/>
  <c r="T660" i="2" s="1"/>
  <c r="S1198" i="2"/>
  <c r="S929" i="2"/>
  <c r="S533" i="2"/>
  <c r="S1092" i="2"/>
  <c r="V1092" i="2" s="1"/>
  <c r="S477" i="2"/>
  <c r="V477" i="2" s="1"/>
  <c r="S804" i="2"/>
  <c r="V804" i="2" s="1"/>
  <c r="S1217" i="2"/>
  <c r="S791" i="2"/>
  <c r="V791" i="2" s="1"/>
  <c r="S1193" i="2"/>
  <c r="S1387" i="2"/>
  <c r="V1387" i="2" s="1"/>
  <c r="S1398" i="2"/>
  <c r="V1398" i="2" s="1"/>
  <c r="S1218" i="2"/>
  <c r="V1218" i="2" s="1"/>
  <c r="S1490" i="2"/>
  <c r="V1490" i="2" s="1"/>
  <c r="S1506" i="2"/>
  <c r="V1506" i="2" s="1"/>
  <c r="S1260" i="2"/>
  <c r="S883" i="2"/>
  <c r="T883" i="2" s="1"/>
  <c r="S928" i="2"/>
  <c r="S486" i="2"/>
  <c r="V486" i="2" s="1"/>
  <c r="S1242" i="2"/>
  <c r="V1242" i="2" s="1"/>
  <c r="S1473" i="2"/>
  <c r="V1473" i="2" s="1"/>
  <c r="S1518" i="2"/>
  <c r="V1518" i="2" s="1"/>
  <c r="S994" i="2"/>
  <c r="V994" i="2" s="1"/>
  <c r="S636" i="2"/>
  <c r="V636" i="2" s="1"/>
  <c r="S1347" i="2"/>
  <c r="T1347" i="2" s="1"/>
  <c r="S1017" i="2"/>
  <c r="S683" i="2"/>
  <c r="V683" i="2" s="1"/>
  <c r="S1013" i="2"/>
  <c r="S1228" i="2"/>
  <c r="V1228" i="2" s="1"/>
  <c r="S1433" i="2"/>
  <c r="V1433" i="2" s="1"/>
  <c r="S1510" i="2"/>
  <c r="V1510" i="2" s="1"/>
  <c r="S1125" i="2"/>
  <c r="V1125" i="2" s="1"/>
  <c r="S692" i="2"/>
  <c r="T692" i="2" s="1"/>
  <c r="S894" i="2"/>
  <c r="S1503" i="2"/>
  <c r="V1503" i="2" s="1"/>
  <c r="S1236" i="2"/>
  <c r="S1486" i="2"/>
  <c r="V1486" i="2" s="1"/>
  <c r="S1497" i="2"/>
  <c r="V1497" i="2" s="1"/>
  <c r="S1456" i="2"/>
  <c r="V1456" i="2" s="1"/>
  <c r="S1298" i="2"/>
  <c r="V1298" i="2" s="1"/>
  <c r="S1495" i="2"/>
  <c r="T1495" i="2" s="1"/>
  <c r="S1288" i="2"/>
  <c r="S1438" i="2"/>
  <c r="V1438" i="2" s="1"/>
  <c r="S935" i="2"/>
  <c r="S1237" i="2"/>
  <c r="V1237" i="2" s="1"/>
  <c r="S856" i="2"/>
  <c r="V856" i="2" s="1"/>
  <c r="S687" i="2"/>
  <c r="V687" i="2" s="1"/>
  <c r="S1238" i="2"/>
  <c r="V1238" i="2" s="1"/>
  <c r="S1361" i="2"/>
  <c r="T1361" i="2" s="1"/>
  <c r="S473" i="2"/>
  <c r="S871" i="2"/>
  <c r="V871" i="2" s="1"/>
  <c r="S1492" i="2"/>
  <c r="S1164" i="2"/>
  <c r="V1164" i="2" s="1"/>
  <c r="S705" i="2"/>
  <c r="V705" i="2" s="1"/>
  <c r="S332" i="2"/>
  <c r="V332" i="2" s="1"/>
  <c r="S819" i="2"/>
  <c r="S978" i="2"/>
  <c r="T978" i="2" s="1"/>
  <c r="S1033" i="2"/>
  <c r="S1321" i="2"/>
  <c r="V1321" i="2" s="1"/>
  <c r="S1103" i="2"/>
  <c r="V1103" i="2" s="1"/>
  <c r="S1226" i="2"/>
  <c r="V1226" i="2" s="1"/>
  <c r="S1337" i="2"/>
  <c r="V1337" i="2" s="1"/>
  <c r="S1526" i="2"/>
  <c r="V1526" i="2" s="1"/>
  <c r="S837" i="2"/>
  <c r="S1004" i="2"/>
  <c r="T1004" i="2" s="1"/>
  <c r="S1213" i="2"/>
  <c r="S645" i="2"/>
  <c r="V645" i="2" s="1"/>
  <c r="S590" i="2"/>
  <c r="V590" i="2" s="1"/>
  <c r="S1332" i="2"/>
  <c r="S634" i="2"/>
  <c r="V634" i="2" s="1"/>
  <c r="S131" i="2"/>
  <c r="V131" i="2" s="1"/>
  <c r="S1142" i="2"/>
  <c r="S946" i="2"/>
  <c r="T946" i="2" s="1"/>
  <c r="S1478" i="2"/>
  <c r="S1205" i="2"/>
  <c r="V1205" i="2" s="1"/>
  <c r="S1403" i="2"/>
  <c r="V1403" i="2" s="1"/>
  <c r="S754" i="2"/>
  <c r="S1479" i="2"/>
  <c r="V1479" i="2" s="1"/>
  <c r="S1481" i="2"/>
  <c r="V1481" i="2" s="1"/>
  <c r="S1404" i="2"/>
  <c r="S681" i="2"/>
  <c r="T681" i="2" s="1"/>
  <c r="S1279" i="2"/>
  <c r="S963" i="2"/>
  <c r="V963" i="2" s="1"/>
  <c r="S1512" i="2"/>
  <c r="V1512" i="2" s="1"/>
  <c r="S1410" i="2"/>
  <c r="V1410" i="2" s="1"/>
  <c r="S1314" i="2"/>
  <c r="V1314" i="2" s="1"/>
  <c r="S455" i="2"/>
  <c r="V455" i="2" s="1"/>
  <c r="S399" i="2"/>
  <c r="S702" i="2"/>
  <c r="V702" i="2" s="1"/>
  <c r="S1362" i="2"/>
  <c r="S124" i="2"/>
  <c r="V124" i="2" s="1"/>
  <c r="S1424" i="2"/>
  <c r="S1296" i="2"/>
  <c r="S1466" i="2"/>
  <c r="V1466" i="2" s="1"/>
  <c r="S1488" i="2"/>
  <c r="V1488" i="2" s="1"/>
  <c r="S884" i="2"/>
  <c r="V884" i="2" s="1"/>
  <c r="S797" i="2"/>
  <c r="T797" i="2" s="1"/>
  <c r="S930" i="2"/>
  <c r="S1291" i="2"/>
  <c r="V1291" i="2" s="1"/>
  <c r="S960" i="2"/>
  <c r="S1313" i="2"/>
  <c r="V1313" i="2" s="1"/>
  <c r="S1307" i="2"/>
  <c r="V1307" i="2" s="1"/>
  <c r="S1453" i="2"/>
  <c r="V1453" i="2" s="1"/>
  <c r="S1130" i="2"/>
  <c r="V1130" i="2" s="1"/>
  <c r="S1399" i="2"/>
  <c r="T1399" i="2" s="1"/>
  <c r="S1122" i="2"/>
  <c r="S1493" i="2"/>
  <c r="V1493" i="2" s="1"/>
  <c r="S907" i="2"/>
  <c r="S1420" i="2"/>
  <c r="V1420" i="2" s="1"/>
  <c r="S834" i="2"/>
  <c r="V834" i="2" s="1"/>
  <c r="S815" i="2"/>
  <c r="V815" i="2" s="1"/>
  <c r="S920" i="2"/>
  <c r="V920" i="2" s="1"/>
  <c r="S1053" i="2"/>
  <c r="T1053" i="2" s="1"/>
  <c r="S1008" i="2"/>
  <c r="S1035" i="2"/>
  <c r="V1035" i="2" s="1"/>
  <c r="S1388" i="2"/>
  <c r="S1235" i="2"/>
  <c r="S313" i="2"/>
  <c r="V313" i="2" s="1"/>
  <c r="S470" i="2"/>
  <c r="V470" i="2" s="1"/>
  <c r="S902" i="2"/>
  <c r="S969" i="2"/>
  <c r="T969" i="2" s="1"/>
  <c r="S950" i="2"/>
  <c r="S1255" i="2"/>
  <c r="V1255" i="2" s="1"/>
  <c r="S1240" i="2"/>
  <c r="V1240" i="2" s="1"/>
  <c r="S1032" i="2"/>
  <c r="T1032" i="2" s="1"/>
  <c r="S1146" i="2"/>
  <c r="V1146" i="2" s="1"/>
  <c r="S1334" i="2"/>
  <c r="V1334" i="2" s="1"/>
  <c r="S1157" i="2"/>
  <c r="S1133" i="2"/>
  <c r="T1133" i="2" s="1"/>
  <c r="S1341" i="2"/>
  <c r="S771" i="2"/>
  <c r="V771" i="2" s="1"/>
  <c r="S869" i="2"/>
  <c r="V869" i="2" s="1"/>
  <c r="S1095" i="2"/>
  <c r="V1095" i="2" s="1"/>
  <c r="S665" i="2"/>
  <c r="V665" i="2" s="1"/>
  <c r="S749" i="2"/>
  <c r="V749" i="2" s="1"/>
  <c r="S984" i="2"/>
  <c r="V984" i="2" s="1"/>
  <c r="S1055" i="2"/>
  <c r="V1055" i="2" s="1"/>
  <c r="S1212" i="2"/>
  <c r="S1283" i="2"/>
  <c r="V1283" i="2" s="1"/>
  <c r="S1170" i="2"/>
  <c r="S916" i="2"/>
  <c r="V916" i="2" s="1"/>
  <c r="S1375" i="2"/>
  <c r="V1375" i="2" s="1"/>
  <c r="S1194" i="2"/>
  <c r="V1194" i="2" s="1"/>
  <c r="S874" i="2"/>
  <c r="V874" i="2" s="1"/>
  <c r="S28" i="2"/>
  <c r="T28" i="2" s="1"/>
  <c r="S882" i="2"/>
  <c r="S676" i="2"/>
  <c r="V676" i="2" s="1"/>
  <c r="S1474" i="2"/>
  <c r="S818" i="2"/>
  <c r="T818" i="2" s="1"/>
  <c r="S1057" i="2"/>
  <c r="V1057" i="2" s="1"/>
  <c r="S753" i="2"/>
  <c r="V753" i="2" s="1"/>
  <c r="S810" i="2"/>
  <c r="V810" i="2" s="1"/>
  <c r="S1145" i="2"/>
  <c r="V1145" i="2" s="1"/>
  <c r="S997" i="2"/>
  <c r="S1327" i="2"/>
  <c r="V1327" i="2" s="1"/>
  <c r="S1346" i="2"/>
  <c r="S1112" i="2"/>
  <c r="V1112" i="2" s="1"/>
  <c r="S1342" i="2"/>
  <c r="V1342" i="2" s="1"/>
  <c r="S1094" i="2"/>
  <c r="V1094" i="2" s="1"/>
  <c r="S704" i="2"/>
  <c r="S694" i="2"/>
  <c r="V694" i="2" s="1"/>
  <c r="S1059" i="2"/>
  <c r="S1414" i="2"/>
  <c r="V1414" i="2" s="1"/>
  <c r="S1058" i="2"/>
  <c r="V1058" i="2" s="1"/>
  <c r="S1181" i="2"/>
  <c r="S1319" i="2"/>
  <c r="V1319" i="2" s="1"/>
  <c r="S1287" i="2"/>
  <c r="V1287" i="2" s="1"/>
  <c r="S658" i="2"/>
  <c r="V658" i="2" s="1"/>
  <c r="S1160" i="2"/>
  <c r="V1160" i="2" s="1"/>
  <c r="S982" i="2"/>
  <c r="S933" i="2"/>
  <c r="V933" i="2" s="1"/>
  <c r="S756" i="2"/>
  <c r="V756" i="2" s="1"/>
  <c r="S972" i="2"/>
  <c r="V972" i="2" s="1"/>
  <c r="S339" i="2"/>
  <c r="V339" i="2" s="1"/>
  <c r="S43" i="2"/>
  <c r="V43" i="2" s="1"/>
  <c r="S422" i="2"/>
  <c r="S16" i="2"/>
  <c r="T16" i="2" s="1"/>
  <c r="S92" i="2"/>
  <c r="S873" i="2"/>
  <c r="V873" i="2" s="1"/>
  <c r="S1168" i="2"/>
  <c r="V1168" i="2" s="1"/>
  <c r="S434" i="2"/>
  <c r="T434" i="2" s="1"/>
  <c r="S1353" i="2"/>
  <c r="V1353" i="2" s="1"/>
  <c r="S231" i="2"/>
  <c r="V231" i="2" s="1"/>
  <c r="S879" i="2"/>
  <c r="S616" i="2"/>
  <c r="V616" i="2" s="1"/>
  <c r="S604" i="2"/>
  <c r="S1305" i="2"/>
  <c r="V1305" i="2" s="1"/>
  <c r="S924" i="2"/>
  <c r="V924" i="2" s="1"/>
  <c r="S1126" i="2"/>
  <c r="V1126" i="2" s="1"/>
  <c r="S832" i="2"/>
  <c r="V832" i="2" s="1"/>
  <c r="S1280" i="2"/>
  <c r="V1280" i="2" s="1"/>
  <c r="S534" i="2"/>
  <c r="S484" i="2"/>
  <c r="V484" i="2" s="1"/>
  <c r="S696" i="2"/>
  <c r="S507" i="2"/>
  <c r="V507" i="2" s="1"/>
  <c r="S260" i="2"/>
  <c r="S1065" i="2"/>
  <c r="V1065" i="2" s="1"/>
  <c r="S572" i="2"/>
  <c r="V572" i="2" s="1"/>
  <c r="S234" i="2"/>
  <c r="V234" i="2" s="1"/>
  <c r="S142" i="2"/>
  <c r="S785" i="2"/>
  <c r="V785" i="2" s="1"/>
  <c r="S979" i="2"/>
  <c r="S1036" i="2"/>
  <c r="V1036" i="2" s="1"/>
  <c r="S842" i="2"/>
  <c r="S844" i="2"/>
  <c r="T844" i="2" s="1"/>
  <c r="S1258" i="2"/>
  <c r="V1258" i="2" s="1"/>
  <c r="S1045" i="2"/>
  <c r="V1045" i="2" s="1"/>
  <c r="S237" i="2"/>
  <c r="S128" i="2"/>
  <c r="V128" i="2" s="1"/>
  <c r="S359" i="2"/>
  <c r="S638" i="2"/>
  <c r="V638" i="2" s="1"/>
  <c r="S600" i="2"/>
  <c r="V600" i="2" s="1"/>
  <c r="S854" i="2"/>
  <c r="V854" i="2" s="1"/>
  <c r="S1150" i="2"/>
  <c r="V1150" i="2" s="1"/>
  <c r="S57" i="2"/>
  <c r="V57" i="2" s="1"/>
  <c r="S145" i="2"/>
  <c r="S377" i="2"/>
  <c r="V377" i="2" s="1"/>
  <c r="S901" i="2"/>
  <c r="S719" i="2"/>
  <c r="V719" i="2" s="1"/>
  <c r="S1139" i="2"/>
  <c r="S1116" i="2"/>
  <c r="V1116" i="2" s="1"/>
  <c r="S1469" i="2"/>
  <c r="V1469" i="2" s="1"/>
  <c r="S1358" i="2"/>
  <c r="V1358" i="2" s="1"/>
  <c r="S1277" i="2"/>
  <c r="S860" i="2"/>
  <c r="V860" i="2" s="1"/>
  <c r="S1174" i="2"/>
  <c r="S1360" i="2"/>
  <c r="V1360" i="2" s="1"/>
  <c r="S991" i="2"/>
  <c r="V991" i="2" s="1"/>
  <c r="S1278" i="2"/>
  <c r="T1278" i="2" s="1"/>
  <c r="S1158" i="2"/>
  <c r="V1158" i="2" s="1"/>
  <c r="S1201" i="2"/>
  <c r="V1201" i="2" s="1"/>
  <c r="S452" i="2"/>
  <c r="S1184" i="2"/>
  <c r="V1184" i="2" s="1"/>
  <c r="S695" i="2"/>
  <c r="S1149" i="2"/>
  <c r="V1149" i="2" s="1"/>
  <c r="S911" i="2"/>
  <c r="S15" i="2"/>
  <c r="V15" i="2" s="1"/>
  <c r="S86" i="2"/>
  <c r="V86" i="2" s="1"/>
  <c r="S382" i="2"/>
  <c r="V382" i="2" s="1"/>
  <c r="S876" i="2"/>
  <c r="S1010" i="2"/>
  <c r="V1010" i="2" s="1"/>
  <c r="S279" i="2"/>
  <c r="S1156" i="2"/>
  <c r="V1156" i="2" s="1"/>
  <c r="S1366" i="2"/>
  <c r="S1248" i="2"/>
  <c r="T1248" i="2" s="1"/>
  <c r="S584" i="2"/>
  <c r="V584" i="2" s="1"/>
  <c r="S701" i="2"/>
  <c r="V701" i="2" s="1"/>
  <c r="S998" i="2"/>
  <c r="S1016" i="2"/>
  <c r="V1016" i="2" s="1"/>
  <c r="S1075" i="2"/>
  <c r="S1209" i="2"/>
  <c r="V1209" i="2" s="1"/>
  <c r="S918" i="2"/>
  <c r="S1073" i="2"/>
  <c r="V1073" i="2" s="1"/>
  <c r="S1159" i="2"/>
  <c r="V1159" i="2" s="1"/>
  <c r="S1355" i="2"/>
  <c r="V1355" i="2" s="1"/>
  <c r="S1119" i="2"/>
  <c r="S1137" i="2"/>
  <c r="T1137" i="2" s="1"/>
  <c r="S1134" i="2"/>
  <c r="S1072" i="2"/>
  <c r="V1072" i="2" s="1"/>
  <c r="S781" i="2"/>
  <c r="V781" i="2" s="1"/>
  <c r="S1234" i="2"/>
  <c r="T1234" i="2" s="1"/>
  <c r="S670" i="2"/>
  <c r="V670" i="2" s="1"/>
  <c r="S872" i="2"/>
  <c r="V872" i="2" s="1"/>
  <c r="S1487" i="2"/>
  <c r="S986" i="2"/>
  <c r="T986" i="2" s="1"/>
  <c r="S1386" i="2"/>
  <c r="S1460" i="2"/>
  <c r="V1460" i="2" s="1"/>
  <c r="S1462" i="2"/>
  <c r="V1462" i="2" s="1"/>
  <c r="S958" i="2"/>
  <c r="V958" i="2" s="1"/>
  <c r="S1529" i="2"/>
  <c r="V1529" i="2" s="1"/>
  <c r="S1505" i="2"/>
  <c r="V1505" i="2" s="1"/>
  <c r="S1331" i="2"/>
  <c r="S838" i="2"/>
  <c r="T838" i="2" s="1"/>
  <c r="S1290" i="2"/>
  <c r="S1349" i="2"/>
  <c r="V1349" i="2" s="1"/>
  <c r="S1523" i="2"/>
  <c r="V1523" i="2" s="1"/>
  <c r="S1406" i="2"/>
  <c r="V1406" i="2" s="1"/>
  <c r="S1309" i="2"/>
  <c r="V1309" i="2" s="1"/>
  <c r="S1011" i="2"/>
  <c r="V1011" i="2" s="1"/>
  <c r="S1054" i="2"/>
  <c r="V1054" i="2" s="1"/>
  <c r="S955" i="2"/>
  <c r="T955" i="2" s="1"/>
  <c r="S1379" i="2"/>
  <c r="S1315" i="2"/>
  <c r="V1315" i="2" s="1"/>
  <c r="S1499" i="2"/>
  <c r="S1458" i="2"/>
  <c r="V1458" i="2" s="1"/>
  <c r="S1530" i="2"/>
  <c r="V1530" i="2" s="1"/>
  <c r="S1511" i="2"/>
  <c r="V1511" i="2" s="1"/>
  <c r="S1411" i="2"/>
  <c r="S1177" i="2"/>
  <c r="T1177" i="2" s="1"/>
  <c r="S1161" i="2"/>
  <c r="S1516" i="2"/>
  <c r="V1516" i="2" s="1"/>
  <c r="S1425" i="2"/>
  <c r="V1425" i="2" s="1"/>
  <c r="S1452" i="2"/>
  <c r="S1500" i="2"/>
  <c r="V1500" i="2" s="1"/>
  <c r="S1528" i="2"/>
  <c r="V1528" i="2" s="1"/>
  <c r="S1489" i="2"/>
  <c r="V1489" i="2" s="1"/>
  <c r="S1521" i="2"/>
  <c r="T1521" i="2" s="1"/>
  <c r="S1140" i="2"/>
  <c r="S1397" i="2"/>
  <c r="V1397" i="2" s="1"/>
  <c r="S806" i="2"/>
  <c r="S1524" i="2"/>
  <c r="T1524" i="2" s="1"/>
  <c r="S947" i="2"/>
  <c r="V947" i="2" s="1"/>
  <c r="S1111" i="2"/>
  <c r="V1111" i="2" s="1"/>
  <c r="S1308" i="2"/>
  <c r="V1308" i="2" s="1"/>
  <c r="S1345" i="2"/>
  <c r="T1345" i="2" s="1"/>
  <c r="S850" i="2"/>
  <c r="S1429" i="2"/>
  <c r="V1429" i="2" s="1"/>
  <c r="S1491" i="2"/>
  <c r="S1245" i="2"/>
  <c r="S886" i="2"/>
  <c r="V886" i="2" s="1"/>
  <c r="S1019" i="2"/>
  <c r="V1019" i="2" s="1"/>
  <c r="S1176" i="2"/>
  <c r="S1203" i="2"/>
  <c r="V1203" i="2" s="1"/>
  <c r="S1101" i="2"/>
  <c r="S1329" i="2"/>
  <c r="V1329" i="2" s="1"/>
  <c r="S1030" i="2"/>
  <c r="V1030" i="2" s="1"/>
  <c r="S1311" i="2"/>
  <c r="V1311" i="2" s="1"/>
  <c r="S1354" i="2"/>
  <c r="V1354" i="2" s="1"/>
  <c r="S1196" i="2"/>
  <c r="V1196" i="2" s="1"/>
  <c r="S1009" i="2"/>
  <c r="S1120" i="2"/>
  <c r="T1120" i="2" s="1"/>
  <c r="S1070" i="2"/>
  <c r="S833" i="2"/>
  <c r="V833" i="2" s="1"/>
  <c r="S213" i="2"/>
  <c r="S892" i="2"/>
  <c r="V892" i="2" s="1"/>
  <c r="S254" i="2"/>
  <c r="V254" i="2" s="1"/>
  <c r="S261" i="2"/>
  <c r="V261" i="2" s="1"/>
  <c r="S1239" i="2"/>
  <c r="V1239" i="2" s="1"/>
  <c r="S290" i="2"/>
  <c r="V290" i="2" s="1"/>
  <c r="S1222" i="2"/>
  <c r="S1241" i="2"/>
  <c r="V1241" i="2" s="1"/>
  <c r="S1428" i="2"/>
  <c r="V1428" i="2" s="1"/>
  <c r="S515" i="2"/>
  <c r="V515" i="2" s="1"/>
  <c r="S1496" i="2"/>
  <c r="V1496" i="2" s="1"/>
  <c r="S1480" i="2"/>
  <c r="V1480" i="2" s="1"/>
  <c r="S1401" i="2"/>
  <c r="V1401" i="2" s="1"/>
  <c r="S535" i="2"/>
  <c r="V535" i="2" s="1"/>
  <c r="S1195" i="2"/>
  <c r="S646" i="2"/>
  <c r="V646" i="2" s="1"/>
  <c r="S1391" i="2"/>
  <c r="S1285" i="2"/>
  <c r="T1285" i="2" s="1"/>
  <c r="S1272" i="2"/>
  <c r="V1272" i="2" s="1"/>
  <c r="S822" i="2"/>
  <c r="V822" i="2" s="1"/>
  <c r="S632" i="2"/>
  <c r="V632" i="2" s="1"/>
  <c r="S602" i="2"/>
  <c r="V602" i="2" s="1"/>
  <c r="S952" i="2"/>
  <c r="S726" i="2"/>
  <c r="V726" i="2" s="1"/>
  <c r="S1426" i="2"/>
  <c r="S1301" i="2"/>
  <c r="T1301" i="2" s="1"/>
  <c r="S1365" i="2"/>
  <c r="V1365" i="2" s="1"/>
  <c r="S1468" i="2"/>
  <c r="V1468" i="2" s="1"/>
  <c r="S1251" i="2"/>
  <c r="V1251" i="2" s="1"/>
  <c r="S1289" i="2"/>
  <c r="T1289" i="2" s="1"/>
  <c r="S1173" i="2"/>
  <c r="S1502" i="2"/>
  <c r="V1502" i="2" s="1"/>
  <c r="S1124" i="2"/>
  <c r="S1359" i="2"/>
  <c r="S1472" i="2"/>
  <c r="V1472" i="2" s="1"/>
  <c r="S1463" i="2"/>
  <c r="V1463" i="2" s="1"/>
  <c r="S1128" i="2"/>
  <c r="S1451" i="2"/>
  <c r="V1451" i="2" s="1"/>
  <c r="S652" i="2"/>
  <c r="S1376" i="2"/>
  <c r="V1376" i="2" s="1"/>
  <c r="S973" i="2"/>
  <c r="V973" i="2" s="1"/>
  <c r="S1381" i="2"/>
  <c r="V1381" i="2" s="1"/>
  <c r="S855" i="2"/>
  <c r="V855" i="2" s="1"/>
  <c r="S905" i="2"/>
  <c r="V905" i="2" s="1"/>
  <c r="S985" i="2"/>
  <c r="V985" i="2" s="1"/>
  <c r="S1262" i="2"/>
  <c r="V1262" i="2" s="1"/>
  <c r="S996" i="2"/>
  <c r="S1089" i="2"/>
  <c r="V1089" i="2" s="1"/>
  <c r="S1210" i="2"/>
  <c r="V1210" i="2" s="1"/>
  <c r="S1151" i="2"/>
  <c r="T1151" i="2" s="1"/>
  <c r="S557" i="2"/>
  <c r="V557" i="2" s="1"/>
  <c r="S685" i="2"/>
  <c r="V685" i="2" s="1"/>
  <c r="S906" i="2"/>
  <c r="S1085" i="2"/>
  <c r="V1085" i="2" s="1"/>
  <c r="S1084" i="2"/>
  <c r="S1266" i="2"/>
  <c r="V1266" i="2" s="1"/>
  <c r="S971" i="2"/>
  <c r="V971" i="2" s="1"/>
  <c r="S1175" i="2"/>
  <c r="T1175" i="2" s="1"/>
  <c r="S1257" i="2"/>
  <c r="V1257" i="2" s="1"/>
  <c r="S1457" i="2"/>
  <c r="V1457" i="2" s="1"/>
  <c r="S1333" i="2"/>
  <c r="S1096" i="2"/>
  <c r="T1096" i="2" s="1"/>
  <c r="S1357" i="2"/>
  <c r="S1005" i="2"/>
  <c r="V1005" i="2" s="1"/>
  <c r="S853" i="2"/>
  <c r="V853" i="2" s="1"/>
  <c r="S748" i="2"/>
  <c r="V748" i="2" s="1"/>
  <c r="S865" i="2"/>
  <c r="V865" i="2" s="1"/>
  <c r="S567" i="2"/>
  <c r="V567" i="2" s="1"/>
  <c r="S1115" i="2"/>
  <c r="S1110" i="2"/>
  <c r="V1110" i="2" s="1"/>
  <c r="S1370" i="2"/>
  <c r="S1188" i="2"/>
  <c r="V1188" i="2" s="1"/>
  <c r="S1368" i="2"/>
  <c r="S954" i="2"/>
  <c r="V954" i="2" s="1"/>
  <c r="S1419" i="2"/>
  <c r="V1419" i="2" s="1"/>
  <c r="S1407" i="2"/>
  <c r="V1407" i="2" s="1"/>
  <c r="S957" i="2"/>
  <c r="S207" i="2"/>
  <c r="V207" i="2" s="1"/>
  <c r="S1148" i="2"/>
  <c r="S863" i="2"/>
  <c r="V863" i="2" s="1"/>
  <c r="S1232" i="2"/>
  <c r="V1232" i="2" s="1"/>
  <c r="S1220" i="2"/>
  <c r="T1220" i="2" s="1"/>
  <c r="S1131" i="2"/>
  <c r="V1131" i="2" s="1"/>
  <c r="S938" i="2"/>
  <c r="V938" i="2" s="1"/>
  <c r="S903" i="2"/>
  <c r="S866" i="2"/>
  <c r="V866" i="2" s="1"/>
  <c r="S912" i="2"/>
  <c r="S891" i="2"/>
  <c r="V891" i="2" s="1"/>
  <c r="S1390" i="2"/>
  <c r="V1390" i="2" s="1"/>
  <c r="S1062" i="2"/>
  <c r="T1062" i="2" s="1"/>
  <c r="S1230" i="2"/>
  <c r="V1230" i="2" s="1"/>
  <c r="S1377" i="2"/>
  <c r="V1377" i="2" s="1"/>
  <c r="S1141" i="2"/>
  <c r="S1051" i="2"/>
  <c r="T1051" i="2" s="1"/>
  <c r="S1090" i="2"/>
  <c r="S1439" i="2"/>
  <c r="V1439" i="2" s="1"/>
  <c r="S1297" i="2"/>
  <c r="V1297" i="2" s="1"/>
  <c r="S1336" i="2"/>
  <c r="S1408" i="2"/>
  <c r="V1408" i="2" s="1"/>
  <c r="S1402" i="2"/>
  <c r="V1402" i="2" s="1"/>
  <c r="S1264" i="2"/>
  <c r="V1264" i="2" s="1"/>
  <c r="S1060" i="2"/>
  <c r="V1060" i="2" s="1"/>
  <c r="S988" i="2"/>
  <c r="S1038" i="2"/>
  <c r="V1038" i="2" s="1"/>
  <c r="S622" i="2"/>
  <c r="S1274" i="2"/>
  <c r="V1274" i="2" s="1"/>
  <c r="S845" i="2"/>
  <c r="V845" i="2" s="1"/>
  <c r="S956" i="2"/>
  <c r="V956" i="2" s="1"/>
  <c r="S826" i="2"/>
  <c r="S1215" i="2"/>
  <c r="V1215" i="2" s="1"/>
  <c r="S980" i="2"/>
  <c r="S1167" i="2"/>
  <c r="V1167" i="2" s="1"/>
  <c r="S1351" i="2"/>
  <c r="S967" i="2"/>
  <c r="T967" i="2" s="1"/>
  <c r="S1172" i="2"/>
  <c r="V1172" i="2" s="1"/>
  <c r="S861" i="2"/>
  <c r="V861" i="2" s="1"/>
  <c r="S965" i="2"/>
  <c r="V965" i="2" s="1"/>
  <c r="S1144" i="2"/>
  <c r="V1144" i="2" s="1"/>
  <c r="S757" i="2"/>
  <c r="S1223" i="2"/>
  <c r="V1223" i="2" s="1"/>
  <c r="S889" i="2"/>
  <c r="S919" i="2"/>
  <c r="T919" i="2" s="1"/>
  <c r="S1108" i="2"/>
  <c r="V1108" i="2" s="1"/>
  <c r="S1246" i="2"/>
  <c r="V1246" i="2" s="1"/>
  <c r="S1113" i="2"/>
  <c r="V1113" i="2" s="1"/>
  <c r="S643" i="2"/>
  <c r="T643" i="2" s="1"/>
  <c r="S820" i="2"/>
  <c r="S554" i="2"/>
  <c r="V554" i="2" s="1"/>
  <c r="S178" i="2"/>
  <c r="S760" i="2"/>
  <c r="V760" i="2" s="1"/>
  <c r="S573" i="2"/>
  <c r="V573" i="2" s="1"/>
  <c r="S744" i="2"/>
  <c r="V744" i="2" s="1"/>
  <c r="S1270" i="2"/>
  <c r="V1270" i="2" s="1"/>
  <c r="S19" i="2"/>
  <c r="T19" i="2" s="1"/>
  <c r="S1029" i="2"/>
  <c r="S1021" i="2"/>
  <c r="V1021" i="2" s="1"/>
  <c r="S1442" i="2"/>
  <c r="S1042" i="2"/>
  <c r="V1042" i="2" s="1"/>
  <c r="S1508" i="2"/>
  <c r="V1508" i="2" s="1"/>
  <c r="S1409" i="2"/>
  <c r="V1409" i="2" s="1"/>
  <c r="S1254" i="2"/>
  <c r="V1254" i="2" s="1"/>
  <c r="S875" i="2"/>
  <c r="T875" i="2" s="1"/>
  <c r="S1392" i="2"/>
  <c r="S182" i="2"/>
  <c r="V182" i="2" s="1"/>
  <c r="S1371" i="2"/>
  <c r="S1389" i="2"/>
  <c r="V1389" i="2" s="1"/>
  <c r="S1484" i="2"/>
  <c r="V1484" i="2" s="1"/>
  <c r="S1300" i="2"/>
  <c r="V1300" i="2" s="1"/>
  <c r="S1461" i="2"/>
  <c r="T1461" i="2" s="1"/>
  <c r="S1400" i="2"/>
  <c r="T1400" i="2" s="1"/>
  <c r="S1535" i="2"/>
  <c r="S1393" i="2"/>
  <c r="V1393" i="2" s="1"/>
  <c r="S1537" i="2"/>
  <c r="V1537" i="2" s="1"/>
  <c r="S1519" i="2"/>
  <c r="V1519" i="2" s="1"/>
  <c r="S1532" i="2"/>
  <c r="V1532" i="2" s="1"/>
  <c r="S1522" i="2"/>
  <c r="V1522" i="2" s="1"/>
  <c r="S848" i="2"/>
  <c r="S1536" i="2"/>
  <c r="T1536" i="2" s="1"/>
  <c r="S1448" i="2"/>
  <c r="S1063" i="2"/>
  <c r="V1063" i="2" s="1"/>
  <c r="S1395" i="2"/>
  <c r="V1395" i="2" s="1"/>
  <c r="S1507" i="2"/>
  <c r="V1507" i="2" s="1"/>
  <c r="S1514" i="2"/>
  <c r="V1514" i="2" s="1"/>
  <c r="S1509" i="2"/>
  <c r="V1509" i="2" s="1"/>
  <c r="S1483" i="2"/>
  <c r="S1527" i="2"/>
  <c r="S944" i="2"/>
  <c r="S1494" i="2"/>
  <c r="V1494" i="2" s="1"/>
  <c r="S802" i="2"/>
  <c r="S1515" i="2"/>
  <c r="V1515" i="2" s="1"/>
  <c r="S1282" i="2"/>
  <c r="V1282" i="2" s="1"/>
  <c r="S1396" i="2"/>
  <c r="V1396" i="2" s="1"/>
  <c r="S1482" i="2"/>
  <c r="S1440" i="2"/>
  <c r="V1440" i="2" s="1"/>
  <c r="S1268" i="2"/>
  <c r="S1525" i="2"/>
  <c r="V1525" i="2" s="1"/>
  <c r="S1517" i="2"/>
  <c r="V1517" i="2" s="1"/>
  <c r="S1441" i="2"/>
  <c r="V1441" i="2" s="1"/>
  <c r="S419" i="2"/>
  <c r="V419" i="2" s="1"/>
  <c r="S1127" i="2"/>
  <c r="V1127" i="2" s="1"/>
  <c r="S1249" i="2"/>
  <c r="T1249" i="2" s="1"/>
  <c r="S1383" i="2"/>
  <c r="T1383" i="2" s="1"/>
  <c r="S1454" i="2"/>
  <c r="S1520" i="2"/>
  <c r="V1520" i="2" s="1"/>
  <c r="S1443" i="2"/>
  <c r="V1443" i="2" s="1"/>
  <c r="S1533" i="2"/>
  <c r="V1533" i="2" s="1"/>
  <c r="S1531" i="2"/>
  <c r="V1531" i="2" s="1"/>
  <c r="S1513" i="2"/>
  <c r="V1513" i="2" s="1"/>
  <c r="S1475" i="2"/>
  <c r="V1475" i="2" s="1"/>
  <c r="S1470" i="2"/>
  <c r="T1470" i="2" s="1"/>
  <c r="S1450" i="2"/>
  <c r="S307" i="2"/>
  <c r="V307" i="2" s="1"/>
  <c r="S246" i="2"/>
  <c r="S406" i="2"/>
  <c r="V406" i="2" s="1"/>
  <c r="S80" i="2"/>
  <c r="V80" i="2" s="1"/>
  <c r="S135" i="2"/>
  <c r="V135" i="2" s="1"/>
  <c r="S995" i="2"/>
  <c r="V995" i="2" s="1"/>
  <c r="S264" i="2"/>
  <c r="T264" i="2" s="1"/>
  <c r="S559" i="2"/>
  <c r="S459" i="2"/>
  <c r="S324" i="2"/>
  <c r="V324" i="2" s="1"/>
  <c r="S78" i="2"/>
  <c r="V78" i="2" s="1"/>
  <c r="S888" i="2"/>
  <c r="V888" i="2" s="1"/>
  <c r="S607" i="2"/>
  <c r="V607" i="2" s="1"/>
  <c r="S10" i="2"/>
  <c r="S26" i="2"/>
  <c r="V26" i="2" s="1"/>
  <c r="S203" i="2"/>
  <c r="S12" i="2"/>
  <c r="V12" i="2" s="1"/>
  <c r="S506" i="2"/>
  <c r="T506" i="2" s="1"/>
  <c r="S502" i="2"/>
  <c r="T502" i="2" s="1"/>
  <c r="S780" i="2"/>
  <c r="V780" i="2" s="1"/>
  <c r="S192" i="2"/>
  <c r="V192" i="2" s="1"/>
  <c r="S263" i="2"/>
  <c r="T263" i="2" s="1"/>
  <c r="S185" i="2"/>
  <c r="T185" i="2" s="1"/>
  <c r="S360" i="2"/>
  <c r="S350" i="2"/>
  <c r="V350" i="2" s="1"/>
  <c r="S766" i="2"/>
  <c r="V766" i="2" s="1"/>
  <c r="S485" i="2"/>
  <c r="T485" i="2" s="1"/>
  <c r="S663" i="2"/>
  <c r="V663" i="2" s="1"/>
  <c r="S675" i="2"/>
  <c r="V675" i="2" s="1"/>
  <c r="S31" i="2"/>
  <c r="V31" i="2" s="1"/>
  <c r="S790" i="2"/>
  <c r="V790" i="2" s="1"/>
  <c r="S235" i="2"/>
  <c r="S821" i="2"/>
  <c r="S746" i="2"/>
  <c r="S1043" i="2"/>
  <c r="T1043" i="2" s="1"/>
  <c r="S1256" i="2"/>
  <c r="V1256" i="2" s="1"/>
  <c r="S1363" i="2"/>
  <c r="V1363" i="2" s="1"/>
  <c r="S1080" i="2"/>
  <c r="V1080" i="2" s="1"/>
  <c r="S840" i="2"/>
  <c r="T840" i="2" s="1"/>
  <c r="S411" i="2"/>
  <c r="S1068" i="2"/>
  <c r="V1068" i="2" s="1"/>
  <c r="S298" i="2"/>
  <c r="T298" i="2" s="1"/>
  <c r="S989" i="2"/>
  <c r="V989" i="2" s="1"/>
  <c r="S68" i="2"/>
  <c r="V68" i="2" s="1"/>
  <c r="S58" i="2"/>
  <c r="V58" i="2" s="1"/>
  <c r="S75" i="2"/>
  <c r="V75" i="2" s="1"/>
  <c r="S172" i="2"/>
  <c r="V172" i="2" s="1"/>
  <c r="S40" i="2"/>
  <c r="S256" i="2"/>
  <c r="V256" i="2" s="1"/>
  <c r="S147" i="2"/>
  <c r="V147" i="2" s="1"/>
  <c r="S79" i="2"/>
  <c r="T79" i="2" s="1"/>
  <c r="S49" i="2"/>
  <c r="V49" i="2" s="1"/>
  <c r="S25" i="2"/>
  <c r="V25" i="2" s="1"/>
  <c r="S89" i="2"/>
  <c r="T89" i="2" s="1"/>
  <c r="S427" i="2"/>
  <c r="S82" i="2"/>
  <c r="S899" i="2"/>
  <c r="V899" i="2" s="1"/>
  <c r="S118" i="2"/>
  <c r="V118" i="2" s="1"/>
  <c r="S466" i="2"/>
  <c r="V466" i="2" s="1"/>
  <c r="S210" i="2"/>
  <c r="V210" i="2" s="1"/>
  <c r="S349" i="2"/>
  <c r="V349" i="2" s="1"/>
  <c r="S14" i="2"/>
  <c r="V14" i="2" s="1"/>
  <c r="S20" i="2"/>
  <c r="V20" i="2" s="1"/>
  <c r="S5" i="2"/>
  <c r="S162" i="2"/>
  <c r="V162" i="2" s="1"/>
  <c r="S115" i="2"/>
  <c r="V115" i="2" s="1"/>
  <c r="S358" i="2"/>
  <c r="V358" i="2" s="1"/>
  <c r="S389" i="2"/>
  <c r="V389" i="2" s="1"/>
  <c r="S276" i="2"/>
  <c r="V276" i="2" s="1"/>
  <c r="S1081" i="2"/>
  <c r="V1081" i="2" s="1"/>
  <c r="S775" i="2"/>
  <c r="T775" i="2" s="1"/>
  <c r="S914" i="2"/>
  <c r="S880" i="2"/>
  <c r="V880" i="2" s="1"/>
  <c r="S1328" i="2"/>
  <c r="V1328" i="2" s="1"/>
  <c r="S1132" i="2"/>
  <c r="T1132" i="2" s="1"/>
  <c r="S1430" i="2"/>
  <c r="V1430" i="2" s="1"/>
  <c r="S1405" i="2"/>
  <c r="V1405" i="2" s="1"/>
  <c r="S910" i="2"/>
  <c r="V910" i="2" s="1"/>
  <c r="S394" i="2"/>
  <c r="T394" i="2" s="1"/>
  <c r="S1271" i="2"/>
  <c r="S1014" i="2"/>
  <c r="V1014" i="2" s="1"/>
  <c r="S1317" i="2"/>
  <c r="V1317" i="2" s="1"/>
  <c r="S1074" i="2"/>
  <c r="V1074" i="2" s="1"/>
  <c r="S1312" i="2"/>
  <c r="V1312" i="2" s="1"/>
  <c r="S648" i="2"/>
  <c r="V648" i="2" s="1"/>
  <c r="S734" i="2"/>
  <c r="T734" i="2" s="1"/>
  <c r="S941" i="2"/>
  <c r="S1049" i="2"/>
  <c r="S619" i="2"/>
  <c r="V619" i="2" s="1"/>
  <c r="S1415" i="2"/>
  <c r="V1415" i="2" s="1"/>
  <c r="S1024" i="2"/>
  <c r="V1024" i="2" s="1"/>
  <c r="S1476" i="2"/>
  <c r="V1476" i="2" s="1"/>
  <c r="S1435" i="2"/>
  <c r="V1435" i="2" s="1"/>
  <c r="S1007" i="2"/>
  <c r="V1007" i="2" s="1"/>
  <c r="S1534" i="2"/>
  <c r="V1534" i="2" s="1"/>
  <c r="S1224" i="2"/>
  <c r="S1467" i="2"/>
  <c r="V1467" i="2" s="1"/>
  <c r="S1202" i="2"/>
  <c r="V1202" i="2" s="1"/>
  <c r="S1252" i="2"/>
  <c r="V1252" i="2" s="1"/>
  <c r="S1459" i="2"/>
  <c r="V1459" i="2" s="1"/>
  <c r="S1445" i="2"/>
  <c r="V1445" i="2" s="1"/>
  <c r="S1432" i="2"/>
  <c r="S1061" i="2"/>
  <c r="T1061" i="2" s="1"/>
  <c r="S759" i="2"/>
  <c r="S1421" i="2"/>
  <c r="V1421" i="2" s="1"/>
  <c r="S715" i="2"/>
  <c r="V715" i="2" s="1"/>
  <c r="S1471" i="2"/>
  <c r="T1471" i="2" s="1"/>
  <c r="S951" i="2"/>
  <c r="V951" i="2" s="1"/>
  <c r="S1048" i="2"/>
  <c r="V1048" i="2" s="1"/>
  <c r="S1225" i="2"/>
  <c r="S1449" i="2"/>
  <c r="T1449" i="2" s="1"/>
  <c r="S414" i="2"/>
  <c r="S1431" i="2"/>
  <c r="V1431" i="2" s="1"/>
  <c r="S1339" i="2"/>
  <c r="V1339" i="2" s="1"/>
  <c r="S1039" i="2"/>
  <c r="V1039" i="2" s="1"/>
  <c r="S497" i="2"/>
  <c r="V497" i="2" s="1"/>
  <c r="S1001" i="2"/>
  <c r="V1001" i="2" s="1"/>
  <c r="S909" i="2"/>
  <c r="V909" i="2" s="1"/>
  <c r="S1069" i="2"/>
  <c r="S1076" i="2"/>
  <c r="S1243" i="2"/>
  <c r="V1243" i="2" s="1"/>
  <c r="S420" i="2"/>
  <c r="S847" i="2"/>
  <c r="V847" i="2" s="1"/>
  <c r="S1143" i="2"/>
  <c r="V1143" i="2" s="1"/>
  <c r="S1338" i="2"/>
  <c r="V1338" i="2" s="1"/>
  <c r="S976" i="2"/>
  <c r="S1109" i="2"/>
  <c r="V1109" i="2" s="1"/>
  <c r="S1179" i="2"/>
  <c r="S674" i="2"/>
  <c r="V674" i="2" s="1"/>
  <c r="S457" i="2"/>
  <c r="V457" i="2" s="1"/>
  <c r="S811" i="2"/>
  <c r="V811" i="2" s="1"/>
  <c r="S357" i="2"/>
  <c r="V357" i="2" s="1"/>
  <c r="S353" i="2"/>
  <c r="V353" i="2" s="1"/>
  <c r="S1050" i="2"/>
  <c r="V1050" i="2" s="1"/>
  <c r="S425" i="2"/>
  <c r="T425" i="2" s="1"/>
  <c r="S597" i="2"/>
  <c r="S707" i="2"/>
  <c r="V707" i="2" s="1"/>
  <c r="S953" i="2"/>
  <c r="V953" i="2" s="1"/>
  <c r="S885" i="2"/>
  <c r="T885" i="2" s="1"/>
  <c r="S1154" i="2"/>
  <c r="V1154" i="2" s="1"/>
  <c r="S1025" i="2"/>
  <c r="V1025" i="2" s="1"/>
  <c r="S798" i="2"/>
  <c r="V798" i="2" s="1"/>
  <c r="S302" i="2"/>
  <c r="T302" i="2" s="1"/>
  <c r="S1244" i="2"/>
  <c r="S769" i="2"/>
  <c r="V769" i="2" s="1"/>
  <c r="S962" i="2"/>
  <c r="V962" i="2" s="1"/>
  <c r="S713" i="2"/>
  <c r="V713" i="2" s="1"/>
  <c r="S932" i="2"/>
  <c r="V932" i="2" s="1"/>
  <c r="S468" i="2"/>
  <c r="V468" i="2" s="1"/>
  <c r="S662" i="2"/>
  <c r="V662" i="2" s="1"/>
  <c r="S728" i="2"/>
  <c r="S606" i="2"/>
  <c r="S352" i="2"/>
  <c r="V352" i="2" s="1"/>
  <c r="S1182" i="2"/>
  <c r="V1182" i="2" s="1"/>
  <c r="S630" i="2"/>
  <c r="V630" i="2" s="1"/>
  <c r="S1166" i="2"/>
  <c r="V1166" i="2" s="1"/>
  <c r="S1107" i="2"/>
  <c r="V1107" i="2" s="1"/>
  <c r="S664" i="2"/>
  <c r="V664" i="2" s="1"/>
  <c r="S1343" i="2"/>
  <c r="V1343" i="2" s="1"/>
  <c r="S738" i="2"/>
  <c r="S1250" i="2"/>
  <c r="V1250" i="2" s="1"/>
  <c r="S761" i="2"/>
  <c r="S915" i="2"/>
  <c r="V915" i="2" s="1"/>
  <c r="S1086" i="2"/>
  <c r="V1086" i="2" s="1"/>
  <c r="S1099" i="2"/>
  <c r="V1099" i="2" s="1"/>
  <c r="S964" i="2"/>
  <c r="V964" i="2" s="1"/>
  <c r="S311" i="2"/>
  <c r="T311" i="2" s="1"/>
  <c r="S400" i="2"/>
  <c r="S592" i="2"/>
  <c r="V592" i="2" s="1"/>
  <c r="S727" i="2"/>
  <c r="S877" i="2"/>
  <c r="T877" i="2" s="1"/>
  <c r="S242" i="2"/>
  <c r="V242" i="2" s="1"/>
  <c r="S325" i="2"/>
  <c r="V325" i="2" s="1"/>
  <c r="S450" i="2"/>
  <c r="V450" i="2" s="1"/>
  <c r="S373" i="2"/>
  <c r="T373" i="2" s="1"/>
  <c r="S285" i="2"/>
  <c r="S641" i="2"/>
  <c r="V641" i="2" s="1"/>
  <c r="S666" i="2"/>
  <c r="S281" i="2"/>
  <c r="V281" i="2" s="1"/>
  <c r="S265" i="2"/>
  <c r="V265" i="2" s="1"/>
  <c r="S112" i="2"/>
  <c r="V112" i="2" s="1"/>
  <c r="S241" i="2"/>
  <c r="S200" i="2"/>
  <c r="S88" i="2"/>
  <c r="S248" i="2"/>
  <c r="V248" i="2" s="1"/>
  <c r="S30" i="2"/>
  <c r="V30" i="2" s="1"/>
  <c r="S35" i="2"/>
  <c r="V35" i="2" s="1"/>
  <c r="S56" i="2"/>
  <c r="V56" i="2" s="1"/>
  <c r="S67" i="2"/>
  <c r="V67" i="2" s="1"/>
  <c r="S21" i="2"/>
  <c r="V21" i="2" s="1"/>
  <c r="S13" i="2"/>
  <c r="V13" i="2" s="1"/>
  <c r="S9" i="2"/>
  <c r="T878" i="2"/>
  <c r="T321" i="2"/>
  <c r="T827" i="2"/>
  <c r="T814" i="2"/>
  <c r="T1018" i="2"/>
  <c r="T550" i="2"/>
  <c r="T181" i="2"/>
  <c r="T189" i="2"/>
  <c r="T24" i="2"/>
  <c r="T11" i="2"/>
  <c r="T421" i="2"/>
  <c r="T808" i="2"/>
  <c r="T900" i="2"/>
  <c r="T509" i="2"/>
  <c r="T1106" i="2"/>
  <c r="T656" i="2"/>
  <c r="T772" i="2"/>
  <c r="T813" i="2"/>
  <c r="T783" i="2"/>
  <c r="T371" i="2"/>
  <c r="T711" i="2"/>
  <c r="T829" i="2"/>
  <c r="T548" i="2"/>
  <c r="T585" i="2"/>
  <c r="T896" i="2"/>
  <c r="T544" i="2"/>
  <c r="T668" i="2"/>
  <c r="T778" i="2"/>
  <c r="T657" i="2"/>
  <c r="T186" i="2"/>
  <c r="T448" i="2"/>
  <c r="T913" i="2"/>
  <c r="T222" i="2"/>
  <c r="T508" i="2"/>
  <c r="T862" i="2"/>
  <c r="T525" i="2"/>
  <c r="T412" i="2"/>
  <c r="T347" i="2"/>
  <c r="T146" i="2"/>
  <c r="T475" i="2"/>
  <c r="T199" i="2"/>
  <c r="T898" i="2"/>
  <c r="T686" i="2"/>
  <c r="T277" i="2"/>
  <c r="T504" i="2"/>
  <c r="T482" i="2"/>
  <c r="T460" i="2"/>
  <c r="T517" i="2"/>
  <c r="T1082" i="2"/>
  <c r="T132" i="2"/>
  <c r="T206" i="2"/>
  <c r="T98" i="2"/>
  <c r="T386" i="2"/>
  <c r="T523" i="2"/>
  <c r="T688" i="2"/>
  <c r="T126" i="2"/>
  <c r="T187" i="2"/>
  <c r="T208" i="2"/>
  <c r="T154" i="2"/>
  <c r="T23" i="2"/>
  <c r="T274" i="2"/>
  <c r="T236" i="2"/>
  <c r="T562" i="2"/>
  <c r="T156" i="2"/>
  <c r="T168" i="2"/>
  <c r="T768" i="2"/>
  <c r="T383" i="2"/>
  <c r="T925" i="2"/>
  <c r="T650" i="2"/>
  <c r="T233" i="2"/>
  <c r="T317" i="2"/>
  <c r="T259" i="2"/>
  <c r="T408" i="2"/>
  <c r="T864" i="2"/>
  <c r="T465" i="2"/>
  <c r="T852" i="2"/>
  <c r="T1046" i="2"/>
  <c r="T538" i="2"/>
  <c r="T391" i="2"/>
  <c r="T569" i="2"/>
  <c r="T793" i="2"/>
  <c r="T143" i="2"/>
  <c r="T117" i="2"/>
  <c r="T635" i="2"/>
  <c r="T378" i="2"/>
  <c r="T494" i="2"/>
  <c r="T351" i="2"/>
  <c r="T33" i="2"/>
  <c r="T1163" i="2"/>
  <c r="T304" i="2"/>
  <c r="T27" i="2"/>
  <c r="T521" i="2"/>
  <c r="T527" i="2"/>
  <c r="T490" i="2"/>
  <c r="T787" i="2"/>
  <c r="T723" i="2"/>
  <c r="T591" i="2"/>
  <c r="T173" i="2"/>
  <c r="T3" i="2"/>
  <c r="T710" i="2"/>
  <c r="T729" i="2"/>
  <c r="T532" i="2"/>
  <c r="T491" i="2"/>
  <c r="T735" i="2"/>
  <c r="T537" i="2"/>
  <c r="T712" i="2"/>
  <c r="T269" i="2"/>
  <c r="T493" i="2"/>
  <c r="T258" i="2"/>
  <c r="T588" i="2"/>
  <c r="T541" i="2"/>
  <c r="T428" i="2"/>
  <c r="T447" i="2"/>
  <c r="T355" i="2"/>
  <c r="T463" i="2"/>
  <c r="T540" i="2"/>
  <c r="T133" i="2"/>
  <c r="T469" i="2"/>
  <c r="T51" i="2"/>
  <c r="T166" i="2"/>
  <c r="T581" i="2"/>
  <c r="T574" i="2"/>
  <c r="T319" i="2"/>
  <c r="T750" i="2"/>
  <c r="T680" i="2"/>
  <c r="T549" i="2"/>
  <c r="T227" i="2"/>
  <c r="T495" i="2"/>
  <c r="T392" i="2"/>
  <c r="T934" i="2"/>
  <c r="T708" i="2"/>
  <c r="T639" i="2"/>
  <c r="T296" i="2"/>
  <c r="T341" i="2"/>
  <c r="T64" i="2"/>
  <c r="T170" i="2"/>
  <c r="T226" i="2"/>
  <c r="T262" i="2"/>
  <c r="T108" i="2"/>
  <c r="T1192" i="2"/>
  <c r="T295" i="2"/>
  <c r="T579" i="2"/>
  <c r="T500" i="2"/>
  <c r="T119" i="2"/>
  <c r="T120" i="2"/>
  <c r="T327" i="2"/>
  <c r="T105" i="2"/>
  <c r="T69" i="2"/>
  <c r="T83" i="2"/>
  <c r="T165" i="2"/>
  <c r="T63" i="2"/>
  <c r="T496" i="2"/>
  <c r="T627" i="2"/>
  <c r="T288" i="2"/>
  <c r="T284" i="2"/>
  <c r="T90" i="2"/>
  <c r="T337" i="2"/>
  <c r="T250" i="2"/>
  <c r="T516" i="2"/>
  <c r="T890" i="2"/>
  <c r="T612" i="2"/>
  <c r="T530" i="2"/>
  <c r="T171" i="2"/>
  <c r="T451" i="2"/>
  <c r="T251" i="2"/>
  <c r="T737" i="2"/>
  <c r="T678" i="2"/>
  <c r="T992" i="2"/>
  <c r="T121" i="2"/>
  <c r="T642" i="2"/>
  <c r="T188" i="2"/>
  <c r="T908" i="2"/>
  <c r="T379" i="2"/>
  <c r="T363" i="2"/>
  <c r="T77" i="2"/>
  <c r="T191" i="2"/>
  <c r="T97" i="2"/>
  <c r="T102" i="2"/>
  <c r="T193" i="2"/>
  <c r="T1382" i="2"/>
  <c r="T333" i="2"/>
  <c r="T513" i="2"/>
  <c r="T323" i="2"/>
  <c r="T501" i="2"/>
  <c r="T582" i="2"/>
  <c r="T939" i="2"/>
  <c r="T552" i="2"/>
  <c r="T1294" i="2"/>
  <c r="T830" i="2"/>
  <c r="T839" i="2"/>
  <c r="T483" i="2"/>
  <c r="T923" i="2"/>
  <c r="T740" i="2"/>
  <c r="T202" i="2"/>
  <c r="T381" i="2"/>
  <c r="T96" i="2"/>
  <c r="T528" i="2"/>
  <c r="T194" i="2"/>
  <c r="T398" i="2"/>
  <c r="T130" i="2"/>
  <c r="T1138" i="2"/>
  <c r="T577" i="2"/>
  <c r="T1197" i="2"/>
  <c r="T922" i="2"/>
  <c r="T1105" i="2"/>
  <c r="T752" i="2"/>
  <c r="T555" i="2"/>
  <c r="T287" i="2"/>
  <c r="T113" i="2"/>
  <c r="T407" i="2"/>
  <c r="T767" i="2"/>
  <c r="T346" i="2"/>
  <c r="T867" i="2"/>
  <c r="T150" i="2"/>
  <c r="T1326" i="2"/>
  <c r="T1303" i="2"/>
  <c r="T895" i="2"/>
  <c r="T1247" i="2"/>
  <c r="T610" i="2"/>
  <c r="T498" i="2"/>
  <c r="T682" i="2"/>
  <c r="T1204" i="2"/>
  <c r="T1273" i="2"/>
  <c r="T743" i="2"/>
  <c r="T1323" i="2"/>
  <c r="T245" i="2"/>
  <c r="T443" i="2"/>
  <c r="T1276" i="2"/>
  <c r="T931" i="2"/>
  <c r="T454" i="2"/>
  <c r="T846" i="2"/>
  <c r="T201" i="2"/>
  <c r="T720" i="2"/>
  <c r="T1020" i="2"/>
  <c r="T637" i="2"/>
  <c r="T614" i="2"/>
  <c r="T1320" i="2"/>
  <c r="T433" i="2"/>
  <c r="T410" i="2"/>
  <c r="T308" i="2"/>
  <c r="T442" i="2"/>
  <c r="T1066" i="2"/>
  <c r="T1275" i="2"/>
  <c r="T46" i="2"/>
  <c r="T1304" i="2"/>
  <c r="T623" i="2"/>
  <c r="T1040" i="2"/>
  <c r="T221" i="2"/>
  <c r="T84" i="2"/>
  <c r="T1372" i="2"/>
  <c r="T1056" i="2"/>
  <c r="T1464" i="2"/>
  <c r="T1455" i="2"/>
  <c r="T1416" i="2"/>
  <c r="T1352" i="2"/>
  <c r="T1185" i="2"/>
  <c r="T887" i="2"/>
  <c r="T809" i="2"/>
  <c r="T1385" i="2"/>
  <c r="T803" i="2"/>
  <c r="T1378" i="2"/>
  <c r="T1104" i="2"/>
  <c r="T788" i="2"/>
  <c r="T1263" i="2"/>
  <c r="T1180" i="2"/>
  <c r="T714" i="2"/>
  <c r="T312" i="2"/>
  <c r="T1178" i="2"/>
  <c r="T968" i="2"/>
  <c r="T1369" i="2"/>
  <c r="T1091" i="2"/>
  <c r="T329" i="2"/>
  <c r="T7" i="2"/>
  <c r="T1417" i="2"/>
  <c r="T1267" i="2"/>
  <c r="T1324" i="2"/>
  <c r="T1292" i="2"/>
  <c r="T1093" i="2"/>
  <c r="T990" i="2"/>
  <c r="T1418" i="2"/>
  <c r="T1302" i="2"/>
  <c r="T1183" i="2"/>
  <c r="T1171" i="2"/>
  <c r="T1423" i="2"/>
  <c r="T1434" i="2"/>
  <c r="T1199" i="2"/>
  <c r="T423" i="2"/>
  <c r="T966" i="2"/>
  <c r="T278" i="2"/>
  <c r="T1041" i="2"/>
  <c r="T38" i="2"/>
  <c r="T625" i="2"/>
  <c r="T1034" i="2"/>
  <c r="T461" i="2"/>
  <c r="T859" i="2"/>
  <c r="T1044" i="2"/>
  <c r="T1006" i="2"/>
  <c r="T1155" i="2"/>
  <c r="T609" i="2"/>
  <c r="T857" i="2"/>
  <c r="T807" i="2"/>
  <c r="T825" i="2"/>
  <c r="T1067" i="2"/>
  <c r="T1071" i="2"/>
  <c r="T511" i="2"/>
  <c r="T975" i="2"/>
  <c r="T138" i="2"/>
  <c r="T801" i="2"/>
  <c r="T981" i="2"/>
  <c r="T1427" i="2"/>
  <c r="T1092" i="2"/>
  <c r="T477" i="2"/>
  <c r="T804" i="2"/>
  <c r="T791" i="2"/>
  <c r="T1387" i="2"/>
  <c r="T486" i="2"/>
  <c r="T1242" i="2"/>
  <c r="T1473" i="2"/>
  <c r="T994" i="2"/>
  <c r="T683" i="2"/>
  <c r="T1510" i="2"/>
  <c r="T1503" i="2"/>
  <c r="T1486" i="2"/>
  <c r="T1456" i="2"/>
  <c r="T687" i="2"/>
  <c r="T1238" i="2"/>
  <c r="T1164" i="2"/>
  <c r="T332" i="2"/>
  <c r="T1321" i="2"/>
  <c r="T1103" i="2"/>
  <c r="T1526" i="2"/>
  <c r="T645" i="2"/>
  <c r="T131" i="2"/>
  <c r="T1205" i="2"/>
  <c r="T1481" i="2"/>
  <c r="T963" i="2"/>
  <c r="T1512" i="2"/>
  <c r="T1410" i="2"/>
  <c r="T702" i="2"/>
  <c r="T124" i="2"/>
  <c r="T1488" i="2"/>
  <c r="T1291" i="2"/>
  <c r="T1313" i="2"/>
  <c r="T1453" i="2"/>
  <c r="T815" i="2"/>
  <c r="T920" i="2"/>
  <c r="T1235" i="2"/>
  <c r="T470" i="2"/>
  <c r="T1255" i="2"/>
  <c r="T1240" i="2"/>
  <c r="T1334" i="2"/>
  <c r="T771" i="2"/>
  <c r="T1095" i="2"/>
  <c r="T665" i="2"/>
  <c r="T749" i="2"/>
  <c r="T1055" i="2"/>
  <c r="T1194" i="2"/>
  <c r="T753" i="2"/>
  <c r="T810" i="2"/>
  <c r="T1112" i="2"/>
  <c r="T1094" i="2"/>
  <c r="T694" i="2"/>
  <c r="T1414" i="2"/>
  <c r="T1058" i="2"/>
  <c r="T1181" i="2"/>
  <c r="T1319" i="2"/>
  <c r="T1287" i="2"/>
  <c r="T658" i="2"/>
  <c r="T1160" i="2"/>
  <c r="T933" i="2"/>
  <c r="T756" i="2"/>
  <c r="T43" i="2"/>
  <c r="T873" i="2"/>
  <c r="T231" i="2"/>
  <c r="T1305" i="2"/>
  <c r="T1126" i="2"/>
  <c r="T484" i="2"/>
  <c r="T507" i="2"/>
  <c r="T1065" i="2"/>
  <c r="T572" i="2"/>
  <c r="T234" i="2"/>
  <c r="T785" i="2"/>
  <c r="T1036" i="2"/>
  <c r="T1045" i="2"/>
  <c r="T128" i="2"/>
  <c r="T638" i="2"/>
  <c r="T854" i="2"/>
  <c r="T1150" i="2"/>
  <c r="T57" i="2"/>
  <c r="T719" i="2"/>
  <c r="T1116" i="2"/>
  <c r="T860" i="2"/>
  <c r="T1360" i="2"/>
  <c r="T1149" i="2"/>
  <c r="T15" i="2"/>
  <c r="T1010" i="2"/>
  <c r="T1156" i="2"/>
  <c r="T701" i="2"/>
  <c r="T1209" i="2"/>
  <c r="T1073" i="2"/>
  <c r="T1159" i="2"/>
  <c r="T1072" i="2"/>
  <c r="T781" i="2"/>
  <c r="T872" i="2"/>
  <c r="T1460" i="2"/>
  <c r="T958" i="2"/>
  <c r="T1529" i="2"/>
  <c r="T1505" i="2"/>
  <c r="T1349" i="2"/>
  <c r="T1523" i="2"/>
  <c r="T1406" i="2"/>
  <c r="T1011" i="2"/>
  <c r="T1315" i="2"/>
  <c r="T1511" i="2"/>
  <c r="T1516" i="2"/>
  <c r="T1452" i="2"/>
  <c r="T1500" i="2"/>
  <c r="T1528" i="2"/>
  <c r="T1111" i="2"/>
  <c r="T1308" i="2"/>
  <c r="T1245" i="2"/>
  <c r="T1019" i="2"/>
  <c r="T1203" i="2"/>
  <c r="T1329" i="2"/>
  <c r="T1311" i="2"/>
  <c r="T1354" i="2"/>
  <c r="T1196" i="2"/>
  <c r="T833" i="2"/>
  <c r="T892" i="2"/>
  <c r="T261" i="2"/>
  <c r="T1239" i="2"/>
  <c r="T290" i="2"/>
  <c r="T1241" i="2"/>
  <c r="T1428" i="2"/>
  <c r="T515" i="2"/>
  <c r="T1496" i="2"/>
  <c r="T1480" i="2"/>
  <c r="T1401" i="2"/>
  <c r="T535" i="2"/>
  <c r="T822" i="2"/>
  <c r="T1468" i="2"/>
  <c r="T1251" i="2"/>
  <c r="T1359" i="2"/>
  <c r="T1463" i="2"/>
  <c r="T1451" i="2"/>
  <c r="T1376" i="2"/>
  <c r="T1381" i="2"/>
  <c r="T855" i="2"/>
  <c r="T905" i="2"/>
  <c r="T1262" i="2"/>
  <c r="T1089" i="2"/>
  <c r="T1210" i="2"/>
  <c r="T685" i="2"/>
  <c r="T1266" i="2"/>
  <c r="T971" i="2"/>
  <c r="T1457" i="2"/>
  <c r="T1005" i="2"/>
  <c r="T748" i="2"/>
  <c r="T1110" i="2"/>
  <c r="T1188" i="2"/>
  <c r="T954" i="2"/>
  <c r="T1419" i="2"/>
  <c r="T1407" i="2"/>
  <c r="T207" i="2"/>
  <c r="T863" i="2"/>
  <c r="T1232" i="2"/>
  <c r="T891" i="2"/>
  <c r="T1439" i="2"/>
  <c r="T1297" i="2"/>
  <c r="T1336" i="2"/>
  <c r="T1402" i="2"/>
  <c r="T1060" i="2"/>
  <c r="T1274" i="2"/>
  <c r="T845" i="2"/>
  <c r="T1215" i="2"/>
  <c r="T1167" i="2"/>
  <c r="T861" i="2"/>
  <c r="T1223" i="2"/>
  <c r="T1246" i="2"/>
  <c r="T1113" i="2"/>
  <c r="T554" i="2"/>
  <c r="T760" i="2"/>
  <c r="T744" i="2"/>
  <c r="T1270" i="2"/>
  <c r="T1409" i="2"/>
  <c r="T1389" i="2"/>
  <c r="T1300" i="2"/>
  <c r="T1393" i="2"/>
  <c r="T1522" i="2"/>
  <c r="T1063" i="2"/>
  <c r="T1507" i="2"/>
  <c r="T1527" i="2"/>
  <c r="T1494" i="2"/>
  <c r="T1515" i="2"/>
  <c r="T1282" i="2"/>
  <c r="T1396" i="2"/>
  <c r="T1440" i="2"/>
  <c r="T1525" i="2"/>
  <c r="T1520" i="2"/>
  <c r="T1443" i="2"/>
  <c r="T1533" i="2"/>
  <c r="T1513" i="2"/>
  <c r="T1475" i="2"/>
  <c r="T307" i="2"/>
  <c r="T135" i="2"/>
  <c r="T324" i="2"/>
  <c r="T78" i="2"/>
  <c r="T607" i="2"/>
  <c r="T26" i="2"/>
  <c r="T12" i="2"/>
  <c r="T350" i="2"/>
  <c r="T663" i="2"/>
  <c r="T675" i="2"/>
  <c r="T31" i="2"/>
  <c r="T790" i="2"/>
  <c r="T1363" i="2"/>
  <c r="T1080" i="2"/>
  <c r="T1068" i="2"/>
  <c r="T989" i="2"/>
  <c r="T68" i="2"/>
  <c r="T58" i="2"/>
  <c r="T75" i="2"/>
  <c r="T172" i="2"/>
  <c r="T256" i="2"/>
  <c r="T147" i="2"/>
  <c r="T25" i="2"/>
  <c r="T427" i="2"/>
  <c r="T899" i="2"/>
  <c r="T118" i="2"/>
  <c r="T466" i="2"/>
  <c r="T210" i="2"/>
  <c r="T349" i="2"/>
  <c r="T14" i="2"/>
  <c r="T20" i="2"/>
  <c r="T276" i="2"/>
  <c r="T1081" i="2"/>
  <c r="T1328" i="2"/>
  <c r="T1405" i="2"/>
  <c r="T1317" i="2"/>
  <c r="T1074" i="2"/>
  <c r="T648" i="2"/>
  <c r="T941" i="2"/>
  <c r="T619" i="2"/>
  <c r="T1415" i="2"/>
  <c r="T1024" i="2"/>
  <c r="T1476" i="2"/>
  <c r="T1435" i="2"/>
  <c r="T1007" i="2"/>
  <c r="T1534" i="2"/>
  <c r="T1467" i="2"/>
  <c r="T1202" i="2"/>
  <c r="T1445" i="2"/>
  <c r="T1421" i="2"/>
  <c r="T1048" i="2"/>
  <c r="T1431" i="2"/>
  <c r="T1039" i="2"/>
  <c r="T909" i="2"/>
  <c r="T1069" i="2"/>
  <c r="T1243" i="2"/>
  <c r="T847" i="2"/>
  <c r="T1143" i="2"/>
  <c r="T1338" i="2"/>
  <c r="T1109" i="2"/>
  <c r="T674" i="2"/>
  <c r="T457" i="2"/>
  <c r="T1050" i="2"/>
  <c r="T707" i="2"/>
  <c r="T798" i="2"/>
  <c r="T769" i="2"/>
  <c r="T713" i="2"/>
  <c r="T468" i="2"/>
  <c r="T662" i="2"/>
  <c r="T728" i="2"/>
  <c r="T630" i="2"/>
  <c r="T1166" i="2"/>
  <c r="T1343" i="2"/>
  <c r="T1250" i="2"/>
  <c r="T1099" i="2"/>
  <c r="T592" i="2"/>
  <c r="T325" i="2"/>
  <c r="T450" i="2"/>
  <c r="T641" i="2"/>
  <c r="T281" i="2"/>
  <c r="T112" i="2"/>
  <c r="T241" i="2"/>
  <c r="T200" i="2"/>
  <c r="T248" i="2"/>
  <c r="T30" i="2"/>
  <c r="T35" i="2"/>
  <c r="T56" i="2"/>
  <c r="T67" i="2"/>
  <c r="T21" i="2"/>
  <c r="T13" i="2"/>
  <c r="S76" i="2"/>
  <c r="V76" i="2" s="1"/>
  <c r="S617" i="2"/>
  <c r="V617" i="2" s="1"/>
  <c r="S220" i="2"/>
  <c r="S50" i="2"/>
  <c r="V50" i="2" s="1"/>
  <c r="S116" i="2"/>
  <c r="V116" i="2" s="1"/>
  <c r="S85" i="2"/>
  <c r="V85" i="2" s="1"/>
  <c r="S148" i="2"/>
  <c r="S280" i="2"/>
  <c r="S54" i="2"/>
  <c r="V54" i="2" s="1"/>
  <c r="S100" i="2"/>
  <c r="V100" i="2" s="1"/>
  <c r="S440" i="2"/>
  <c r="V440" i="2" s="1"/>
  <c r="S286" i="2"/>
  <c r="S273" i="2"/>
  <c r="V273" i="2" s="1"/>
  <c r="S566" i="2"/>
  <c r="V566" i="2" s="1"/>
  <c r="S272" i="2"/>
  <c r="S309" i="2"/>
  <c r="S41" i="2"/>
  <c r="V41" i="2" s="1"/>
  <c r="S334" i="2"/>
  <c r="V334" i="2" s="1"/>
  <c r="S198" i="2"/>
  <c r="S225" i="2"/>
  <c r="V225" i="2" s="1"/>
  <c r="S137" i="2"/>
  <c r="V137" i="2" s="1"/>
  <c r="S93" i="2"/>
  <c r="V93" i="2" s="1"/>
  <c r="S106" i="2"/>
  <c r="S270" i="2"/>
  <c r="S153" i="2"/>
  <c r="V153" i="2" s="1"/>
  <c r="S37" i="2"/>
  <c r="V37" i="2" s="1"/>
  <c r="S29" i="2"/>
  <c r="V29" i="2" s="1"/>
  <c r="S306" i="2"/>
  <c r="S139" i="2"/>
  <c r="V139" i="2" s="1"/>
  <c r="S129" i="2"/>
  <c r="V129" i="2" s="1"/>
  <c r="S361" i="2"/>
  <c r="S786" i="2"/>
  <c r="S823" i="2"/>
  <c r="V823" i="2" s="1"/>
  <c r="S370" i="2"/>
  <c r="V370" i="2" s="1"/>
  <c r="S239" i="2"/>
  <c r="S405" i="2"/>
  <c r="V405" i="2" s="1"/>
  <c r="S215" i="2"/>
  <c r="V215" i="2" s="1"/>
  <c r="S223" i="2"/>
  <c r="V223" i="2" s="1"/>
  <c r="S177" i="2"/>
  <c r="S456" i="2"/>
  <c r="S217" i="2"/>
  <c r="V217" i="2" s="1"/>
  <c r="S175" i="2"/>
  <c r="V175" i="2" s="1"/>
  <c r="S197" i="2"/>
  <c r="V197" i="2" s="1"/>
  <c r="S345" i="2"/>
  <c r="S283" i="2"/>
  <c r="V283" i="2" s="1"/>
  <c r="S624" i="2"/>
  <c r="V624" i="2" s="1"/>
  <c r="S336" i="2"/>
  <c r="S134" i="2"/>
  <c r="S563" i="2"/>
  <c r="V563" i="2" s="1"/>
  <c r="S564" i="2"/>
  <c r="V564" i="2" s="1"/>
  <c r="S275" i="2"/>
  <c r="S328" i="2"/>
  <c r="V328" i="2" s="1"/>
  <c r="S611" i="2"/>
  <c r="V611" i="2" s="1"/>
  <c r="S163" i="2"/>
  <c r="V163" i="2" s="1"/>
  <c r="S95" i="2"/>
  <c r="S331" i="2"/>
  <c r="S4" i="2"/>
  <c r="V4" i="2" s="1"/>
  <c r="S18" i="2"/>
  <c r="V18" i="2" s="1"/>
  <c r="S22" i="2"/>
  <c r="V22" i="2" s="1"/>
  <c r="S338" i="2"/>
  <c r="S161" i="2"/>
  <c r="V161" i="2" s="1"/>
  <c r="S140" i="2"/>
  <c r="V140" i="2" s="1"/>
  <c r="S831" i="2"/>
  <c r="S122" i="2"/>
  <c r="V306" i="2" l="1"/>
  <c r="T306" i="2"/>
  <c r="V270" i="2"/>
  <c r="T270" i="2"/>
  <c r="V309" i="2"/>
  <c r="T309" i="2"/>
  <c r="T225" i="2"/>
  <c r="V239" i="2"/>
  <c r="T239" i="2"/>
  <c r="V361" i="2"/>
  <c r="T361" i="2"/>
  <c r="V106" i="2"/>
  <c r="T106" i="2"/>
  <c r="V148" i="2"/>
  <c r="T148" i="2"/>
  <c r="V727" i="2"/>
  <c r="T727" i="2"/>
  <c r="V420" i="2"/>
  <c r="T420" i="2"/>
  <c r="V1225" i="2"/>
  <c r="T1225" i="2"/>
  <c r="V746" i="2"/>
  <c r="T746" i="2"/>
  <c r="V802" i="2"/>
  <c r="T802" i="2"/>
  <c r="V1483" i="2"/>
  <c r="T1483" i="2"/>
  <c r="V1442" i="2"/>
  <c r="T1442" i="2"/>
  <c r="V889" i="2"/>
  <c r="T889" i="2"/>
  <c r="V826" i="2"/>
  <c r="T826" i="2"/>
  <c r="V1141" i="2"/>
  <c r="T1141" i="2"/>
  <c r="V1368" i="2"/>
  <c r="T1368" i="2"/>
  <c r="V1333" i="2"/>
  <c r="T1333" i="2"/>
  <c r="V906" i="2"/>
  <c r="T906" i="2"/>
  <c r="V1128" i="2"/>
  <c r="T1128" i="2"/>
  <c r="V1124" i="2"/>
  <c r="T1124" i="2"/>
  <c r="V1391" i="2"/>
  <c r="T1391" i="2"/>
  <c r="V213" i="2"/>
  <c r="T213" i="2"/>
  <c r="V1487" i="2"/>
  <c r="T1487" i="2"/>
  <c r="V452" i="2"/>
  <c r="T452" i="2"/>
  <c r="V260" i="2"/>
  <c r="T260" i="2"/>
  <c r="V534" i="2"/>
  <c r="T534" i="2"/>
  <c r="V422" i="2"/>
  <c r="T422" i="2"/>
  <c r="V1474" i="2"/>
  <c r="T1474" i="2"/>
  <c r="V907" i="2"/>
  <c r="T907" i="2"/>
  <c r="V1404" i="2"/>
  <c r="T1404" i="2"/>
  <c r="V837" i="2"/>
  <c r="T837" i="2"/>
  <c r="V819" i="2"/>
  <c r="T819" i="2"/>
  <c r="V1492" i="2"/>
  <c r="T1492" i="2"/>
  <c r="V1236" i="2"/>
  <c r="T1236" i="2"/>
  <c r="V1013" i="2"/>
  <c r="T1013" i="2"/>
  <c r="V1260" i="2"/>
  <c r="T1260" i="2"/>
  <c r="V533" i="2"/>
  <c r="T533" i="2"/>
  <c r="V1325" i="2"/>
  <c r="T1325" i="2"/>
  <c r="V1295" i="2"/>
  <c r="T1295" i="2"/>
  <c r="V1284" i="2"/>
  <c r="T1284" i="2"/>
  <c r="V1261" i="2"/>
  <c r="T1261" i="2"/>
  <c r="V1087" i="2"/>
  <c r="T1087" i="2"/>
  <c r="V1310" i="2"/>
  <c r="T1310" i="2"/>
  <c r="V1227" i="2"/>
  <c r="T1227" i="2"/>
  <c r="V983" i="2"/>
  <c r="T983" i="2"/>
  <c r="V519" i="2"/>
  <c r="T519" i="2"/>
  <c r="V1265" i="2"/>
  <c r="T1265" i="2"/>
  <c r="V476" i="2"/>
  <c r="T476" i="2"/>
  <c r="V603" i="2"/>
  <c r="T603" i="2"/>
  <c r="V467" i="2"/>
  <c r="T467" i="2"/>
  <c r="V55" i="2"/>
  <c r="T55" i="2"/>
  <c r="V1229" i="2"/>
  <c r="T1229" i="2"/>
  <c r="V654" i="2"/>
  <c r="T654" i="2"/>
  <c r="V212" i="2"/>
  <c r="T212" i="2"/>
  <c r="V545" i="2"/>
  <c r="T545" i="2"/>
  <c r="V561" i="2"/>
  <c r="T561" i="2"/>
  <c r="V159" i="2"/>
  <c r="T159" i="2"/>
  <c r="V436" i="2"/>
  <c r="T436" i="2"/>
  <c r="V393" i="2"/>
  <c r="T393" i="2"/>
  <c r="V580" i="2"/>
  <c r="T580" i="2"/>
  <c r="V229" i="2"/>
  <c r="T229" i="2"/>
  <c r="V568" i="2"/>
  <c r="T568" i="2"/>
  <c r="V36" i="2"/>
  <c r="T36" i="2"/>
  <c r="V1097" i="2"/>
  <c r="T1097" i="2"/>
  <c r="V47" i="2"/>
  <c r="T47" i="2"/>
  <c r="V374" i="2"/>
  <c r="T374" i="2"/>
  <c r="V661" i="2"/>
  <c r="T661" i="2"/>
  <c r="V224" i="2"/>
  <c r="T224" i="2"/>
  <c r="V141" i="2"/>
  <c r="T141" i="2"/>
  <c r="V571" i="2"/>
  <c r="T571" i="2"/>
  <c r="V684" i="2"/>
  <c r="T684" i="2"/>
  <c r="V474" i="2"/>
  <c r="T474" i="2"/>
  <c r="V151" i="2"/>
  <c r="T151" i="2"/>
  <c r="V404" i="2"/>
  <c r="T404" i="2"/>
  <c r="V904" i="2"/>
  <c r="T904" i="2"/>
  <c r="V247" i="2"/>
  <c r="T247" i="2"/>
  <c r="V698" i="2"/>
  <c r="T698" i="2"/>
  <c r="V633" i="2"/>
  <c r="T633" i="2"/>
  <c r="V1461" i="2"/>
  <c r="T1182" i="2"/>
  <c r="T953" i="2"/>
  <c r="T715" i="2"/>
  <c r="T910" i="2"/>
  <c r="T995" i="2"/>
  <c r="T1517" i="2"/>
  <c r="T1537" i="2"/>
  <c r="T1254" i="2"/>
  <c r="T1264" i="2"/>
  <c r="T853" i="2"/>
  <c r="T632" i="2"/>
  <c r="T1489" i="2"/>
  <c r="T1425" i="2"/>
  <c r="T1054" i="2"/>
  <c r="T1462" i="2"/>
  <c r="T1168" i="2"/>
  <c r="T984" i="2"/>
  <c r="T869" i="2"/>
  <c r="T590" i="2"/>
  <c r="T636" i="2"/>
  <c r="T1231" i="2"/>
  <c r="T762" i="2"/>
  <c r="T556" i="2"/>
  <c r="T739" i="2"/>
  <c r="T959" i="2"/>
  <c r="T942" i="2"/>
  <c r="T742" i="2"/>
  <c r="T799" i="2"/>
  <c r="T255" i="2"/>
  <c r="T45" i="2"/>
  <c r="T671" i="2"/>
  <c r="T543" i="2"/>
  <c r="T631" i="2"/>
  <c r="T405" i="2"/>
  <c r="T50" i="2"/>
  <c r="V1249" i="2"/>
  <c r="V338" i="2"/>
  <c r="T338" i="2"/>
  <c r="V331" i="2"/>
  <c r="T331" i="2"/>
  <c r="V134" i="2"/>
  <c r="T134" i="2"/>
  <c r="V345" i="2"/>
  <c r="T345" i="2"/>
  <c r="V456" i="2"/>
  <c r="T456" i="2"/>
  <c r="V786" i="2"/>
  <c r="T786" i="2"/>
  <c r="V286" i="2"/>
  <c r="T286" i="2"/>
  <c r="V280" i="2"/>
  <c r="T280" i="2"/>
  <c r="T328" i="2"/>
  <c r="V831" i="2"/>
  <c r="T831" i="2"/>
  <c r="V95" i="2"/>
  <c r="T95" i="2"/>
  <c r="V275" i="2"/>
  <c r="T275" i="2"/>
  <c r="V336" i="2"/>
  <c r="T336" i="2"/>
  <c r="V177" i="2"/>
  <c r="T177" i="2"/>
  <c r="V198" i="2"/>
  <c r="T198" i="2"/>
  <c r="V272" i="2"/>
  <c r="T272" i="2"/>
  <c r="V220" i="2"/>
  <c r="T220" i="2"/>
  <c r="T197" i="2"/>
  <c r="T440" i="2"/>
  <c r="V666" i="2"/>
  <c r="T666" i="2"/>
  <c r="V761" i="2"/>
  <c r="T761" i="2"/>
  <c r="V976" i="2"/>
  <c r="T976" i="2"/>
  <c r="T1432" i="2"/>
  <c r="V1432" i="2"/>
  <c r="T10" i="2"/>
  <c r="V10" i="2"/>
  <c r="V246" i="2"/>
  <c r="T246" i="2"/>
  <c r="V1482" i="2"/>
  <c r="T1482" i="2"/>
  <c r="V848" i="2"/>
  <c r="T848" i="2"/>
  <c r="V1371" i="2"/>
  <c r="T1371" i="2"/>
  <c r="V178" i="2"/>
  <c r="T178" i="2"/>
  <c r="V1351" i="2"/>
  <c r="T1351" i="2"/>
  <c r="V622" i="2"/>
  <c r="T622" i="2"/>
  <c r="V903" i="2"/>
  <c r="T903" i="2"/>
  <c r="V957" i="2"/>
  <c r="T957" i="2"/>
  <c r="V1115" i="2"/>
  <c r="T1115" i="2"/>
  <c r="V1426" i="2"/>
  <c r="T1426" i="2"/>
  <c r="V1176" i="2"/>
  <c r="T1176" i="2"/>
  <c r="V1491" i="2"/>
  <c r="T1491" i="2"/>
  <c r="V806" i="2"/>
  <c r="T806" i="2"/>
  <c r="V1499" i="2"/>
  <c r="T1499" i="2"/>
  <c r="V998" i="2"/>
  <c r="T998" i="2"/>
  <c r="V142" i="2"/>
  <c r="T142" i="2"/>
  <c r="V879" i="2"/>
  <c r="T879" i="2"/>
  <c r="V704" i="2"/>
  <c r="T704" i="2"/>
  <c r="V1346" i="2"/>
  <c r="T1346" i="2"/>
  <c r="V1170" i="2"/>
  <c r="T1170" i="2"/>
  <c r="V1157" i="2"/>
  <c r="T1157" i="2"/>
  <c r="V902" i="2"/>
  <c r="T902" i="2"/>
  <c r="V1388" i="2"/>
  <c r="T1388" i="2"/>
  <c r="V960" i="2"/>
  <c r="T960" i="2"/>
  <c r="V1424" i="2"/>
  <c r="T1424" i="2"/>
  <c r="V399" i="2"/>
  <c r="T399" i="2"/>
  <c r="V1142" i="2"/>
  <c r="T1142" i="2"/>
  <c r="V935" i="2"/>
  <c r="T935" i="2"/>
  <c r="V1217" i="2"/>
  <c r="T1217" i="2"/>
  <c r="V782" i="2"/>
  <c r="T782" i="2"/>
  <c r="V1077" i="2"/>
  <c r="T1077" i="2"/>
  <c r="V1437" i="2"/>
  <c r="T1437" i="2"/>
  <c r="V1293" i="2"/>
  <c r="T1293" i="2"/>
  <c r="V725" i="2"/>
  <c r="T725" i="2"/>
  <c r="V1169" i="2"/>
  <c r="T1169" i="2"/>
  <c r="V841" i="2"/>
  <c r="T841" i="2"/>
  <c r="V1384" i="2"/>
  <c r="T1384" i="2"/>
  <c r="V800" i="2"/>
  <c r="T800" i="2"/>
  <c r="V763" i="2"/>
  <c r="T763" i="2"/>
  <c r="V253" i="2"/>
  <c r="T253" i="2"/>
  <c r="V824" i="2"/>
  <c r="T824" i="2"/>
  <c r="V240" i="2"/>
  <c r="T240" i="2"/>
  <c r="V1079" i="2"/>
  <c r="T1079" i="2"/>
  <c r="V1335" i="2"/>
  <c r="T1335" i="2"/>
  <c r="V52" i="2"/>
  <c r="T52" i="2"/>
  <c r="V291" i="2"/>
  <c r="T291" i="2"/>
  <c r="V72" i="2"/>
  <c r="T72" i="2"/>
  <c r="V300" i="2"/>
  <c r="T300" i="2"/>
  <c r="V794" i="2"/>
  <c r="T794" i="2"/>
  <c r="V216" i="2"/>
  <c r="T216" i="2"/>
  <c r="V315" i="2"/>
  <c r="T315" i="2"/>
  <c r="V70" i="2"/>
  <c r="T70" i="2"/>
  <c r="V655" i="2"/>
  <c r="T655" i="2"/>
  <c r="V219" i="2"/>
  <c r="T219" i="2"/>
  <c r="V417" i="2"/>
  <c r="T417" i="2"/>
  <c r="V745" i="2"/>
  <c r="T745" i="2"/>
  <c r="V615" i="2"/>
  <c r="T615" i="2"/>
  <c r="V773" i="2"/>
  <c r="T773" i="2"/>
  <c r="V437" i="2"/>
  <c r="T437" i="2"/>
  <c r="V179" i="2"/>
  <c r="T179" i="2"/>
  <c r="V375" i="2"/>
  <c r="T375" i="2"/>
  <c r="V505" i="2"/>
  <c r="T505" i="2"/>
  <c r="V184" i="2"/>
  <c r="T184" i="2"/>
  <c r="V706" i="2"/>
  <c r="T706" i="2"/>
  <c r="V127" i="2"/>
  <c r="T127" i="2"/>
  <c r="V593" i="2"/>
  <c r="T593" i="2"/>
  <c r="V689" i="2"/>
  <c r="T689" i="2"/>
  <c r="V858" i="2"/>
  <c r="T858" i="2"/>
  <c r="V539" i="2"/>
  <c r="T539" i="2"/>
  <c r="V435" i="2"/>
  <c r="T435" i="2"/>
  <c r="V596" i="2"/>
  <c r="T596" i="2"/>
  <c r="V669" i="2"/>
  <c r="T669" i="2"/>
  <c r="V734" i="2"/>
  <c r="T964" i="2"/>
  <c r="T664" i="2"/>
  <c r="T962" i="2"/>
  <c r="T1339" i="2"/>
  <c r="T115" i="2"/>
  <c r="T766" i="2"/>
  <c r="T1395" i="2"/>
  <c r="T965" i="2"/>
  <c r="T1390" i="2"/>
  <c r="T985" i="2"/>
  <c r="T973" i="2"/>
  <c r="T1030" i="2"/>
  <c r="T991" i="2"/>
  <c r="T600" i="2"/>
  <c r="T924" i="2"/>
  <c r="T874" i="2"/>
  <c r="T1130" i="2"/>
  <c r="T884" i="2"/>
  <c r="T1403" i="2"/>
  <c r="T1298" i="2"/>
  <c r="T1125" i="2"/>
  <c r="T1398" i="2"/>
  <c r="T893" i="2"/>
  <c r="T1207" i="2"/>
  <c r="T114" i="2"/>
  <c r="T167" i="2"/>
  <c r="T2" i="2"/>
  <c r="T792" i="2"/>
  <c r="T144" i="2"/>
  <c r="T320" i="2"/>
  <c r="T1413" i="2"/>
  <c r="T529" i="2"/>
  <c r="T677" i="2"/>
  <c r="T59" i="2"/>
  <c r="T87" i="2"/>
  <c r="T110" i="2"/>
  <c r="T190" i="2"/>
  <c r="T510" i="2"/>
  <c r="T301" i="2"/>
  <c r="T870" i="2"/>
  <c r="T81" i="2"/>
  <c r="T22" i="2"/>
  <c r="T29" i="2"/>
  <c r="V263" i="2"/>
  <c r="V608" i="2"/>
  <c r="T608" i="2"/>
  <c r="V293" i="2"/>
  <c r="T293" i="2"/>
  <c r="V709" i="2"/>
  <c r="T709" i="2"/>
  <c r="V1330" i="2"/>
  <c r="T1330" i="2"/>
  <c r="V1322" i="2"/>
  <c r="T1322" i="2"/>
  <c r="V717" i="2"/>
  <c r="T717" i="2"/>
  <c r="V228" i="2"/>
  <c r="T228" i="2"/>
  <c r="V158" i="2"/>
  <c r="T158" i="2"/>
  <c r="V385" i="2"/>
  <c r="T385" i="2"/>
  <c r="V644" i="2"/>
  <c r="T644" i="2"/>
  <c r="V458" i="2"/>
  <c r="T458" i="2"/>
  <c r="V777" i="2"/>
  <c r="T777" i="2"/>
  <c r="V626" i="2"/>
  <c r="T626" i="2"/>
  <c r="V1098" i="2"/>
  <c r="T1098" i="2"/>
  <c r="V395" i="2"/>
  <c r="T395" i="2"/>
  <c r="V731" i="2"/>
  <c r="T731" i="2"/>
  <c r="V299" i="2"/>
  <c r="T299" i="2"/>
  <c r="V453" i="2"/>
  <c r="T453" i="2"/>
  <c r="V439" i="2"/>
  <c r="T439" i="2"/>
  <c r="V690" i="2"/>
  <c r="T690" i="2"/>
  <c r="V575" i="2"/>
  <c r="T575" i="2"/>
  <c r="V653" i="2"/>
  <c r="T653" i="2"/>
  <c r="V512" i="2"/>
  <c r="T512" i="2"/>
  <c r="V354" i="2"/>
  <c r="T354" i="2"/>
  <c r="V587" i="2"/>
  <c r="T587" i="2"/>
  <c r="V651" i="2"/>
  <c r="T651" i="2"/>
  <c r="V764" i="2"/>
  <c r="T764" i="2"/>
  <c r="V553" i="2"/>
  <c r="T553" i="2"/>
  <c r="T1107" i="2"/>
  <c r="T352" i="2"/>
  <c r="T1025" i="2"/>
  <c r="T353" i="2"/>
  <c r="T1001" i="2"/>
  <c r="T1014" i="2"/>
  <c r="T880" i="2"/>
  <c r="T162" i="2"/>
  <c r="T192" i="2"/>
  <c r="T1127" i="2"/>
  <c r="T1509" i="2"/>
  <c r="T182" i="2"/>
  <c r="T1021" i="2"/>
  <c r="T956" i="2"/>
  <c r="T1038" i="2"/>
  <c r="T1377" i="2"/>
  <c r="T938" i="2"/>
  <c r="T567" i="2"/>
  <c r="T1502" i="2"/>
  <c r="T726" i="2"/>
  <c r="T646" i="2"/>
  <c r="T1429" i="2"/>
  <c r="T1397" i="2"/>
  <c r="T1355" i="2"/>
  <c r="T382" i="2"/>
  <c r="T1201" i="2"/>
  <c r="T1358" i="2"/>
  <c r="T1280" i="2"/>
  <c r="T1327" i="2"/>
  <c r="T676" i="2"/>
  <c r="T1283" i="2"/>
  <c r="T1035" i="2"/>
  <c r="T1493" i="2"/>
  <c r="T455" i="2"/>
  <c r="T871" i="2"/>
  <c r="T1438" i="2"/>
  <c r="T1506" i="2"/>
  <c r="T481" i="2"/>
  <c r="T1344" i="2"/>
  <c r="T1380" i="2"/>
  <c r="T1117" i="2"/>
  <c r="T1064" i="2"/>
  <c r="T1498" i="2"/>
  <c r="T1501" i="2"/>
  <c r="T1446" i="2"/>
  <c r="T1015" i="2"/>
  <c r="T926" i="2"/>
  <c r="T1221" i="2"/>
  <c r="T1465" i="2"/>
  <c r="T402" i="2"/>
  <c r="T613" i="2"/>
  <c r="T921" i="2"/>
  <c r="T441" i="2"/>
  <c r="T267" i="2"/>
  <c r="T851" i="2"/>
  <c r="T243" i="2"/>
  <c r="T817" i="2"/>
  <c r="T1118" i="2"/>
  <c r="T789" i="2"/>
  <c r="T180" i="2"/>
  <c r="T152" i="2"/>
  <c r="T369" i="2"/>
  <c r="T136" i="2"/>
  <c r="T294" i="2"/>
  <c r="T628" i="2"/>
  <c r="T205" i="2"/>
  <c r="T618" i="2"/>
  <c r="T195" i="2"/>
  <c r="V373" i="2"/>
  <c r="V302" i="2"/>
  <c r="V1449" i="2"/>
  <c r="V394" i="2"/>
  <c r="V1470" i="2"/>
  <c r="V1536" i="2"/>
  <c r="V875" i="2"/>
  <c r="V643" i="2"/>
  <c r="V1220" i="2"/>
  <c r="V1285" i="2"/>
  <c r="V818" i="2"/>
  <c r="V1004" i="2"/>
  <c r="V1190" i="2"/>
  <c r="V297" i="2"/>
  <c r="V426" i="2"/>
  <c r="V1234" i="2"/>
  <c r="V692" i="2"/>
  <c r="V993" i="2"/>
  <c r="V776" i="2"/>
  <c r="V292" i="2"/>
  <c r="V560" i="2"/>
  <c r="T9" i="2"/>
  <c r="V9" i="2"/>
  <c r="T400" i="2"/>
  <c r="V400" i="2"/>
  <c r="T606" i="2"/>
  <c r="V606" i="2"/>
  <c r="T1244" i="2"/>
  <c r="V1244" i="2"/>
  <c r="T1076" i="2"/>
  <c r="V1076" i="2"/>
  <c r="T414" i="2"/>
  <c r="V414" i="2"/>
  <c r="T1049" i="2"/>
  <c r="V1049" i="2"/>
  <c r="T914" i="2"/>
  <c r="V914" i="2"/>
  <c r="T5" i="2"/>
  <c r="V5" i="2"/>
  <c r="T411" i="2"/>
  <c r="V411" i="2"/>
  <c r="T235" i="2"/>
  <c r="V235" i="2"/>
  <c r="T559" i="2"/>
  <c r="V559" i="2"/>
  <c r="T1450" i="2"/>
  <c r="V1450" i="2"/>
  <c r="T944" i="2"/>
  <c r="V944" i="2"/>
  <c r="T1448" i="2"/>
  <c r="V1448" i="2"/>
  <c r="T1392" i="2"/>
  <c r="V1392" i="2"/>
  <c r="T820" i="2"/>
  <c r="V820" i="2"/>
  <c r="T980" i="2"/>
  <c r="V980" i="2"/>
  <c r="T1090" i="2"/>
  <c r="V1090" i="2"/>
  <c r="T1148" i="2"/>
  <c r="V1148" i="2"/>
  <c r="T1357" i="2"/>
  <c r="V1357" i="2"/>
  <c r="T1084" i="2"/>
  <c r="V1084" i="2"/>
  <c r="T652" i="2"/>
  <c r="V652" i="2"/>
  <c r="T1195" i="2"/>
  <c r="V1195" i="2"/>
  <c r="T1070" i="2"/>
  <c r="V1070" i="2"/>
  <c r="T850" i="2"/>
  <c r="V850" i="2"/>
  <c r="T1161" i="2"/>
  <c r="V1161" i="2"/>
  <c r="T1290" i="2"/>
  <c r="V1290" i="2"/>
  <c r="T1134" i="2"/>
  <c r="V1134" i="2"/>
  <c r="T279" i="2"/>
  <c r="V279" i="2"/>
  <c r="T1174" i="2"/>
  <c r="V1174" i="2"/>
  <c r="T359" i="2"/>
  <c r="V359" i="2"/>
  <c r="T696" i="2"/>
  <c r="V696" i="2"/>
  <c r="T92" i="2"/>
  <c r="V92" i="2"/>
  <c r="T1059" i="2"/>
  <c r="V1059" i="2"/>
  <c r="T882" i="2"/>
  <c r="V882" i="2"/>
  <c r="T1341" i="2"/>
  <c r="V1341" i="2"/>
  <c r="T1122" i="2"/>
  <c r="V1122" i="2"/>
  <c r="T930" i="2"/>
  <c r="V930" i="2"/>
  <c r="T1279" i="2"/>
  <c r="V1279" i="2"/>
  <c r="T1213" i="2"/>
  <c r="V1213" i="2"/>
  <c r="T1288" i="2"/>
  <c r="V1288" i="2"/>
  <c r="T894" i="2"/>
  <c r="V894" i="2"/>
  <c r="T928" i="2"/>
  <c r="V928" i="2"/>
  <c r="T1198" i="2"/>
  <c r="V1198" i="2"/>
  <c r="T721" i="2"/>
  <c r="V721" i="2"/>
  <c r="T868" i="2"/>
  <c r="V868" i="2"/>
  <c r="T722" i="2"/>
  <c r="V722" i="2"/>
  <c r="T1135" i="2"/>
  <c r="V1135" i="2"/>
  <c r="T1374" i="2"/>
  <c r="V1374" i="2"/>
  <c r="T1233" i="2"/>
  <c r="V1233" i="2"/>
  <c r="T1129" i="2"/>
  <c r="V1129" i="2"/>
  <c r="T1477" i="2"/>
  <c r="V1477" i="2"/>
  <c r="T432" i="2"/>
  <c r="V432" i="2"/>
  <c r="T1340" i="2"/>
  <c r="V1340" i="2"/>
  <c r="T1269" i="2"/>
  <c r="V1269" i="2"/>
  <c r="T1412" i="2"/>
  <c r="V1412" i="2"/>
  <c r="T326" i="2"/>
  <c r="V326" i="2"/>
  <c r="T881" i="2"/>
  <c r="V881" i="2"/>
  <c r="T1153" i="2"/>
  <c r="V1153" i="2"/>
  <c r="T1206" i="2"/>
  <c r="V1206" i="2"/>
  <c r="T547" i="2"/>
  <c r="V547" i="2"/>
  <c r="T629" i="2"/>
  <c r="V629" i="2"/>
  <c r="T697" i="2"/>
  <c r="V697" i="2"/>
  <c r="T795" i="2"/>
  <c r="V795" i="2"/>
  <c r="T445" i="2"/>
  <c r="V445" i="2"/>
  <c r="T303" i="2"/>
  <c r="V303" i="2"/>
  <c r="T970" i="2"/>
  <c r="V970" i="2"/>
  <c r="T724" i="2"/>
  <c r="V724" i="2"/>
  <c r="T357" i="2"/>
  <c r="T80" i="2"/>
  <c r="T1532" i="2"/>
  <c r="T1172" i="2"/>
  <c r="T557" i="2"/>
  <c r="T1530" i="2"/>
  <c r="T1158" i="2"/>
  <c r="T1375" i="2"/>
  <c r="T834" i="2"/>
  <c r="T856" i="2"/>
  <c r="T1490" i="2"/>
  <c r="T531" i="2"/>
  <c r="T999" i="2"/>
  <c r="T1123" i="2"/>
  <c r="T330" i="2"/>
  <c r="T620" i="2"/>
  <c r="T384" i="2"/>
  <c r="T372" i="2"/>
  <c r="T1027" i="2"/>
  <c r="T754" i="2"/>
  <c r="V754" i="2"/>
  <c r="T974" i="2"/>
  <c r="V974" i="2"/>
  <c r="T730" i="2"/>
  <c r="V730" i="2"/>
  <c r="T558" i="2"/>
  <c r="V558" i="2"/>
  <c r="T961" i="2"/>
  <c r="V961" i="2"/>
  <c r="T209" i="2"/>
  <c r="V209" i="2"/>
  <c r="V1051" i="2"/>
  <c r="V1096" i="2"/>
  <c r="V1289" i="2"/>
  <c r="V1120" i="2"/>
  <c r="V1345" i="2"/>
  <c r="V1177" i="2"/>
  <c r="V838" i="2"/>
  <c r="V1137" i="2"/>
  <c r="V16" i="2"/>
  <c r="V28" i="2"/>
  <c r="V1133" i="2"/>
  <c r="V1053" i="2"/>
  <c r="V978" i="2"/>
  <c r="V1347" i="2"/>
  <c r="V503" i="2"/>
  <c r="V765" i="2"/>
  <c r="V160" i="2"/>
  <c r="V551" i="2"/>
  <c r="V244" i="2"/>
  <c r="V32" i="2"/>
  <c r="T242" i="2"/>
  <c r="T915" i="2"/>
  <c r="T1154" i="2"/>
  <c r="T811" i="2"/>
  <c r="T951" i="2"/>
  <c r="T1252" i="2"/>
  <c r="T1430" i="2"/>
  <c r="T358" i="2"/>
  <c r="T49" i="2"/>
  <c r="T1256" i="2"/>
  <c r="T780" i="2"/>
  <c r="T406" i="2"/>
  <c r="T1441" i="2"/>
  <c r="T1519" i="2"/>
  <c r="T1042" i="2"/>
  <c r="T1108" i="2"/>
  <c r="T1144" i="2"/>
  <c r="T1230" i="2"/>
  <c r="T866" i="2"/>
  <c r="T1257" i="2"/>
  <c r="T1085" i="2"/>
  <c r="T1365" i="2"/>
  <c r="T602" i="2"/>
  <c r="T947" i="2"/>
  <c r="T1458" i="2"/>
  <c r="T670" i="2"/>
  <c r="T584" i="2"/>
  <c r="T1184" i="2"/>
  <c r="T377" i="2"/>
  <c r="T1258" i="2"/>
  <c r="T1353" i="2"/>
  <c r="T972" i="2"/>
  <c r="T1057" i="2"/>
  <c r="T916" i="2"/>
  <c r="T1146" i="2"/>
  <c r="T1420" i="2"/>
  <c r="T1479" i="2"/>
  <c r="T1226" i="2"/>
  <c r="T1237" i="2"/>
  <c r="T1228" i="2"/>
  <c r="T1218" i="2"/>
  <c r="T583" i="2"/>
  <c r="T1165" i="2"/>
  <c r="T1259" i="2"/>
  <c r="T1299" i="2"/>
  <c r="T936" i="2"/>
  <c r="T1422" i="2"/>
  <c r="T1102" i="2"/>
  <c r="T1078" i="2"/>
  <c r="T774" i="2"/>
  <c r="T667" i="2"/>
  <c r="T1367" i="2"/>
  <c r="T1211" i="2"/>
  <c r="T1281" i="2"/>
  <c r="T1022" i="2"/>
  <c r="T1316" i="2"/>
  <c r="T1364" i="2"/>
  <c r="T1348" i="2"/>
  <c r="T526" i="2"/>
  <c r="T1152" i="2"/>
  <c r="T751" i="2"/>
  <c r="T755" i="2"/>
  <c r="T1028" i="2"/>
  <c r="T424" i="2"/>
  <c r="T431" i="2"/>
  <c r="T376" i="2"/>
  <c r="T640" i="2"/>
  <c r="T736" i="2"/>
  <c r="T805" i="2"/>
  <c r="T977" i="2"/>
  <c r="T34" i="2"/>
  <c r="T204" i="2"/>
  <c r="T17" i="2"/>
  <c r="T140" i="2"/>
  <c r="T18" i="2"/>
  <c r="T163" i="2"/>
  <c r="T564" i="2"/>
  <c r="T624" i="2"/>
  <c r="T175" i="2"/>
  <c r="T223" i="2"/>
  <c r="T370" i="2"/>
  <c r="T129" i="2"/>
  <c r="T37" i="2"/>
  <c r="T93" i="2"/>
  <c r="T334" i="2"/>
  <c r="T566" i="2"/>
  <c r="T100" i="2"/>
  <c r="T85" i="2"/>
  <c r="T617" i="2"/>
  <c r="T1009" i="2"/>
  <c r="V1009" i="2"/>
  <c r="T1411" i="2"/>
  <c r="V1411" i="2"/>
  <c r="T1331" i="2"/>
  <c r="V1331" i="2"/>
  <c r="T1119" i="2"/>
  <c r="V1119" i="2"/>
  <c r="T918" i="2"/>
  <c r="V918" i="2"/>
  <c r="T1366" i="2"/>
  <c r="V1366" i="2"/>
  <c r="T876" i="2"/>
  <c r="V876" i="2"/>
  <c r="T911" i="2"/>
  <c r="V911" i="2"/>
  <c r="T1277" i="2"/>
  <c r="V1277" i="2"/>
  <c r="T1139" i="2"/>
  <c r="V1139" i="2"/>
  <c r="T145" i="2"/>
  <c r="V145" i="2"/>
  <c r="T237" i="2"/>
  <c r="V237" i="2"/>
  <c r="T842" i="2"/>
  <c r="V842" i="2"/>
  <c r="T594" i="2"/>
  <c r="V594" i="2"/>
  <c r="T699" i="2"/>
  <c r="V699" i="2"/>
  <c r="T446" i="2"/>
  <c r="V446" i="2"/>
  <c r="T828" i="2"/>
  <c r="V828" i="2"/>
  <c r="T758" i="2"/>
  <c r="V758" i="2"/>
  <c r="T1373" i="2"/>
  <c r="V1373" i="2"/>
  <c r="T1286" i="2"/>
  <c r="V1286" i="2"/>
  <c r="T1003" i="2"/>
  <c r="V1003" i="2"/>
  <c r="T586" i="2"/>
  <c r="V586" i="2"/>
  <c r="T937" i="2"/>
  <c r="V937" i="2"/>
  <c r="T39" i="2"/>
  <c r="V39" i="2"/>
  <c r="T74" i="2"/>
  <c r="V74" i="2"/>
  <c r="T104" i="2"/>
  <c r="V104" i="2"/>
  <c r="T784" i="2"/>
  <c r="V784" i="2"/>
  <c r="T316" i="2"/>
  <c r="V316" i="2"/>
  <c r="T1114" i="2"/>
  <c r="V1114" i="2"/>
  <c r="T796" i="2"/>
  <c r="V796" i="2"/>
  <c r="T546" i="2"/>
  <c r="V546" i="2"/>
  <c r="T595" i="2"/>
  <c r="V595" i="2"/>
  <c r="T364" i="2"/>
  <c r="V364" i="2"/>
  <c r="T413" i="2"/>
  <c r="V413" i="2"/>
  <c r="T164" i="2"/>
  <c r="V164" i="2"/>
  <c r="T314" i="2"/>
  <c r="V314" i="2"/>
  <c r="T691" i="2"/>
  <c r="V691" i="2"/>
  <c r="T943" i="2"/>
  <c r="V943" i="2"/>
  <c r="T6" i="2"/>
  <c r="V6" i="2"/>
  <c r="T732" i="2"/>
  <c r="V732" i="2"/>
  <c r="T987" i="2"/>
  <c r="V987" i="2"/>
  <c r="T1214" i="2"/>
  <c r="V1214" i="2"/>
  <c r="T779" i="2"/>
  <c r="V779" i="2"/>
  <c r="T111" i="2"/>
  <c r="V111" i="2"/>
  <c r="T520" i="2"/>
  <c r="V520" i="2"/>
  <c r="T479" i="2"/>
  <c r="V479" i="2"/>
  <c r="T471" i="2"/>
  <c r="V471" i="2"/>
  <c r="T61" i="2"/>
  <c r="V61" i="2"/>
  <c r="T492" i="2"/>
  <c r="V492" i="2"/>
  <c r="T673" i="2"/>
  <c r="V673" i="2"/>
  <c r="T155" i="2"/>
  <c r="V155" i="2"/>
  <c r="T487" i="2"/>
  <c r="V487" i="2"/>
  <c r="T716" i="2"/>
  <c r="V716" i="2"/>
  <c r="T462" i="2"/>
  <c r="V462" i="2"/>
  <c r="T659" i="2"/>
  <c r="V659" i="2"/>
  <c r="T480" i="2"/>
  <c r="V480" i="2"/>
  <c r="T322" i="2"/>
  <c r="V322" i="2"/>
  <c r="T174" i="2"/>
  <c r="V174" i="2"/>
  <c r="T700" i="2"/>
  <c r="V700" i="2"/>
  <c r="T107" i="2"/>
  <c r="V107" i="2"/>
  <c r="T196" i="2"/>
  <c r="V196" i="2"/>
  <c r="T238" i="2"/>
  <c r="V238" i="2"/>
  <c r="T271" i="2"/>
  <c r="V271" i="2"/>
  <c r="T949" i="2"/>
  <c r="V949" i="2"/>
  <c r="T464" i="2"/>
  <c r="V464" i="2"/>
  <c r="T703" i="2"/>
  <c r="V703" i="2"/>
  <c r="V877" i="2"/>
  <c r="V885" i="2"/>
  <c r="V1471" i="2"/>
  <c r="V1132" i="2"/>
  <c r="V79" i="2"/>
  <c r="V1043" i="2"/>
  <c r="V485" i="2"/>
  <c r="V502" i="2"/>
  <c r="V919" i="2"/>
  <c r="V1062" i="2"/>
  <c r="V1175" i="2"/>
  <c r="V1301" i="2"/>
  <c r="V1524" i="2"/>
  <c r="V844" i="2"/>
  <c r="V1032" i="2"/>
  <c r="V681" i="2"/>
  <c r="V1361" i="2"/>
  <c r="V883" i="2"/>
  <c r="V1219" i="2"/>
  <c r="V1191" i="2"/>
  <c r="V514" i="2"/>
  <c r="V409" i="2"/>
  <c r="T88" i="2"/>
  <c r="V88" i="2"/>
  <c r="T285" i="2"/>
  <c r="V285" i="2"/>
  <c r="T738" i="2"/>
  <c r="V738" i="2"/>
  <c r="T597" i="2"/>
  <c r="V597" i="2"/>
  <c r="T1179" i="2"/>
  <c r="V1179" i="2"/>
  <c r="T759" i="2"/>
  <c r="V759" i="2"/>
  <c r="T1224" i="2"/>
  <c r="V1224" i="2"/>
  <c r="T1271" i="2"/>
  <c r="V1271" i="2"/>
  <c r="T82" i="2"/>
  <c r="V82" i="2"/>
  <c r="T40" i="2"/>
  <c r="V40" i="2"/>
  <c r="T360" i="2"/>
  <c r="V360" i="2"/>
  <c r="T203" i="2"/>
  <c r="V203" i="2"/>
  <c r="T1454" i="2"/>
  <c r="V1454" i="2"/>
  <c r="T1268" i="2"/>
  <c r="V1268" i="2"/>
  <c r="T1535" i="2"/>
  <c r="V1535" i="2"/>
  <c r="T1029" i="2"/>
  <c r="V1029" i="2"/>
  <c r="T757" i="2"/>
  <c r="V757" i="2"/>
  <c r="T988" i="2"/>
  <c r="V988" i="2"/>
  <c r="T912" i="2"/>
  <c r="V912" i="2"/>
  <c r="T1370" i="2"/>
  <c r="V1370" i="2"/>
  <c r="T996" i="2"/>
  <c r="V996" i="2"/>
  <c r="T1173" i="2"/>
  <c r="V1173" i="2"/>
  <c r="T952" i="2"/>
  <c r="V952" i="2"/>
  <c r="T1222" i="2"/>
  <c r="V1222" i="2"/>
  <c r="T1101" i="2"/>
  <c r="V1101" i="2"/>
  <c r="T1140" i="2"/>
  <c r="V1140" i="2"/>
  <c r="T1379" i="2"/>
  <c r="V1379" i="2"/>
  <c r="T1386" i="2"/>
  <c r="V1386" i="2"/>
  <c r="T1075" i="2"/>
  <c r="V1075" i="2"/>
  <c r="T695" i="2"/>
  <c r="V695" i="2"/>
  <c r="T901" i="2"/>
  <c r="V901" i="2"/>
  <c r="T979" i="2"/>
  <c r="V979" i="2"/>
  <c r="T604" i="2"/>
  <c r="V604" i="2"/>
  <c r="T982" i="2"/>
  <c r="V982" i="2"/>
  <c r="T997" i="2"/>
  <c r="V997" i="2"/>
  <c r="T1212" i="2"/>
  <c r="V1212" i="2"/>
  <c r="T950" i="2"/>
  <c r="V950" i="2"/>
  <c r="T1008" i="2"/>
  <c r="V1008" i="2"/>
  <c r="T1362" i="2"/>
  <c r="V1362" i="2"/>
  <c r="T1478" i="2"/>
  <c r="V1478" i="2"/>
  <c r="T1033" i="2"/>
  <c r="V1033" i="2"/>
  <c r="T473" i="2"/>
  <c r="V473" i="2"/>
  <c r="T1017" i="2"/>
  <c r="V1017" i="2"/>
  <c r="T1193" i="2"/>
  <c r="V1193" i="2"/>
  <c r="T647" i="2"/>
  <c r="V647" i="2"/>
  <c r="T318" i="2"/>
  <c r="V318" i="2"/>
  <c r="T53" i="2"/>
  <c r="V53" i="2"/>
  <c r="T812" i="2"/>
  <c r="V812" i="2"/>
  <c r="T1485" i="2"/>
  <c r="V1485" i="2"/>
  <c r="T1200" i="2"/>
  <c r="V1200" i="2"/>
  <c r="T589" i="2"/>
  <c r="V589" i="2"/>
  <c r="T1136" i="2"/>
  <c r="V1136" i="2"/>
  <c r="T679" i="2"/>
  <c r="V679" i="2"/>
  <c r="T1162" i="2"/>
  <c r="V1162" i="2"/>
  <c r="T621" i="2"/>
  <c r="V621" i="2"/>
  <c r="T1000" i="2"/>
  <c r="V1000" i="2"/>
  <c r="T843" i="2"/>
  <c r="V843" i="2"/>
  <c r="T1187" i="2"/>
  <c r="V1187" i="2"/>
  <c r="T536" i="2"/>
  <c r="V536" i="2"/>
  <c r="T1394" i="2"/>
  <c r="V1394" i="2"/>
  <c r="T91" i="2"/>
  <c r="V91" i="2"/>
  <c r="T741" i="2"/>
  <c r="V741" i="2"/>
  <c r="T232" i="2"/>
  <c r="V232" i="2"/>
  <c r="T816" i="2"/>
  <c r="V816" i="2"/>
  <c r="T835" i="2"/>
  <c r="V835" i="2"/>
  <c r="T1083" i="2"/>
  <c r="V1083" i="2"/>
  <c r="T310" i="2"/>
  <c r="V310" i="2"/>
  <c r="T8" i="2"/>
  <c r="V8" i="2"/>
  <c r="V122" i="2"/>
  <c r="T122" i="2"/>
  <c r="T1086" i="2"/>
  <c r="T1459" i="2"/>
  <c r="T389" i="2"/>
  <c r="T419" i="2"/>
  <c r="T1508" i="2"/>
  <c r="T1131" i="2"/>
  <c r="T1272" i="2"/>
  <c r="T339" i="2"/>
  <c r="T1466" i="2"/>
  <c r="T1337" i="2"/>
  <c r="T1433" i="2"/>
  <c r="T605" i="2"/>
  <c r="T1031" i="2"/>
  <c r="T1047" i="2"/>
  <c r="T1189" i="2"/>
  <c r="T365" i="2"/>
  <c r="T945" i="2"/>
  <c r="T1296" i="2"/>
  <c r="V1296" i="2"/>
  <c r="T1332" i="2"/>
  <c r="V1332" i="2"/>
  <c r="T1012" i="2"/>
  <c r="V1012" i="2"/>
  <c r="T1023" i="2"/>
  <c r="V1023" i="2"/>
  <c r="T265" i="2"/>
  <c r="T932" i="2"/>
  <c r="T497" i="2"/>
  <c r="T1312" i="2"/>
  <c r="T888" i="2"/>
  <c r="T1531" i="2"/>
  <c r="T1514" i="2"/>
  <c r="T1484" i="2"/>
  <c r="T573" i="2"/>
  <c r="T1408" i="2"/>
  <c r="T865" i="2"/>
  <c r="T1472" i="2"/>
  <c r="T254" i="2"/>
  <c r="T886" i="2"/>
  <c r="T1309" i="2"/>
  <c r="T1016" i="2"/>
  <c r="T86" i="2"/>
  <c r="T1469" i="2"/>
  <c r="T832" i="2"/>
  <c r="T616" i="2"/>
  <c r="T1342" i="2"/>
  <c r="T1145" i="2"/>
  <c r="T313" i="2"/>
  <c r="T1307" i="2"/>
  <c r="T1314" i="2"/>
  <c r="T634" i="2"/>
  <c r="T705" i="2"/>
  <c r="T1497" i="2"/>
  <c r="T1518" i="2"/>
  <c r="T396" i="2"/>
  <c r="T1121" i="2"/>
  <c r="T718" i="2"/>
  <c r="T578" i="2"/>
  <c r="T672" i="2"/>
  <c r="T1026" i="2"/>
  <c r="T1504" i="2"/>
  <c r="T1444" i="2"/>
  <c r="T1318" i="2"/>
  <c r="T429" i="2"/>
  <c r="T1208" i="2"/>
  <c r="T522" i="2"/>
  <c r="T1350" i="2"/>
  <c r="T1356" i="2"/>
  <c r="T1253" i="2"/>
  <c r="T390" i="2"/>
  <c r="T340" i="2"/>
  <c r="T601" i="2"/>
  <c r="T1002" i="2"/>
  <c r="T747" i="2"/>
  <c r="T1216" i="2"/>
  <c r="T1147" i="2"/>
  <c r="T1037" i="2"/>
  <c r="T897" i="2"/>
  <c r="T368" i="2"/>
  <c r="T66" i="2"/>
  <c r="T161" i="2"/>
  <c r="T4" i="2"/>
  <c r="T611" i="2"/>
  <c r="T563" i="2"/>
  <c r="T283" i="2"/>
  <c r="T217" i="2"/>
  <c r="T215" i="2"/>
  <c r="T823" i="2"/>
  <c r="T139" i="2"/>
  <c r="T153" i="2"/>
  <c r="T137" i="2"/>
  <c r="T41" i="2"/>
  <c r="T273" i="2"/>
  <c r="T54" i="2"/>
  <c r="T116" i="2"/>
  <c r="T76" i="2"/>
  <c r="T821" i="2"/>
  <c r="V821" i="2"/>
  <c r="T459" i="2"/>
  <c r="V459" i="2"/>
  <c r="T929" i="2"/>
  <c r="V929" i="2"/>
  <c r="T1436" i="2"/>
  <c r="V1436" i="2"/>
  <c r="T1088" i="2"/>
  <c r="V1088" i="2"/>
  <c r="T1447" i="2"/>
  <c r="V1447" i="2"/>
  <c r="T770" i="2"/>
  <c r="V770" i="2"/>
  <c r="T542" i="2"/>
  <c r="V542" i="2"/>
  <c r="T1186" i="2"/>
  <c r="V1186" i="2"/>
  <c r="T1306" i="2"/>
  <c r="V1306" i="2"/>
  <c r="T1100" i="2"/>
  <c r="V1100" i="2"/>
  <c r="T101" i="2"/>
  <c r="V101" i="2"/>
  <c r="T917" i="2"/>
  <c r="V917" i="2"/>
  <c r="T65" i="2"/>
  <c r="V65" i="2"/>
  <c r="T449" i="2"/>
  <c r="V449" i="2"/>
  <c r="T397" i="2"/>
  <c r="V397" i="2"/>
  <c r="T570" i="2"/>
  <c r="V570" i="2"/>
  <c r="T444" i="2"/>
  <c r="V444" i="2"/>
  <c r="T576" i="2"/>
  <c r="V576" i="2"/>
  <c r="T499" i="2"/>
  <c r="V499" i="2"/>
  <c r="T948" i="2"/>
  <c r="V948" i="2"/>
  <c r="T343" i="2"/>
  <c r="V343" i="2"/>
  <c r="T693" i="2"/>
  <c r="V693" i="2"/>
  <c r="T518" i="2"/>
  <c r="V518" i="2"/>
  <c r="T1052" i="2"/>
  <c r="V1052" i="2"/>
  <c r="T649" i="2"/>
  <c r="V649" i="2"/>
  <c r="V298" i="2"/>
  <c r="V506" i="2"/>
  <c r="V1521" i="2"/>
  <c r="V955" i="2"/>
  <c r="V986" i="2"/>
  <c r="V969" i="2"/>
  <c r="V1399" i="2"/>
  <c r="V946" i="2"/>
  <c r="V1495" i="2"/>
  <c r="T60" i="2"/>
  <c r="V60" i="2"/>
  <c r="T71" i="2"/>
  <c r="V71" i="2"/>
  <c r="T403" i="2"/>
  <c r="V403" i="2"/>
  <c r="T44" i="2"/>
  <c r="V44" i="2"/>
  <c r="T103" i="2"/>
  <c r="V103" i="2"/>
  <c r="T214" i="2"/>
  <c r="V214" i="2"/>
  <c r="T94" i="2"/>
  <c r="V94" i="2"/>
  <c r="T249" i="2"/>
  <c r="V249" i="2"/>
  <c r="T99" i="2"/>
  <c r="V99" i="2"/>
  <c r="T62" i="2"/>
  <c r="V62" i="2"/>
  <c r="T348" i="2"/>
  <c r="V348" i="2"/>
  <c r="T472" i="2"/>
  <c r="V472" i="2"/>
  <c r="T211" i="2"/>
  <c r="V211" i="2"/>
  <c r="T488" i="2"/>
  <c r="V488" i="2"/>
  <c r="T305" i="2"/>
  <c r="V305" i="2"/>
  <c r="T565" i="2"/>
  <c r="V565" i="2"/>
  <c r="T416" i="2"/>
  <c r="V416" i="2"/>
  <c r="T430" i="2"/>
  <c r="V430" i="2"/>
  <c r="T169" i="2"/>
  <c r="V169" i="2"/>
  <c r="T266" i="2"/>
  <c r="V266" i="2"/>
  <c r="T183" i="2"/>
  <c r="V183" i="2"/>
  <c r="T123" i="2"/>
  <c r="V123" i="2"/>
  <c r="T356" i="2"/>
  <c r="V356" i="2"/>
  <c r="T415" i="2"/>
  <c r="V415" i="2"/>
  <c r="T252" i="2"/>
  <c r="V252" i="2"/>
  <c r="T524" i="2"/>
  <c r="V524" i="2"/>
  <c r="T335" i="2"/>
  <c r="V335" i="2"/>
  <c r="T478" i="2"/>
  <c r="V478" i="2"/>
  <c r="T380" i="2"/>
  <c r="V380" i="2"/>
  <c r="T940" i="2"/>
  <c r="V940" i="2"/>
  <c r="V362" i="2"/>
  <c r="V344" i="2"/>
  <c r="V342" i="2"/>
  <c r="V367" i="2"/>
  <c r="V42" i="2"/>
  <c r="V176" i="2"/>
  <c r="V387" i="2"/>
  <c r="V282" i="2"/>
  <c r="V366" i="2"/>
  <c r="V388" i="2"/>
  <c r="T489" i="2"/>
  <c r="V489" i="2"/>
  <c r="T401" i="2"/>
  <c r="V401" i="2"/>
  <c r="T289" i="2"/>
  <c r="V289" i="2"/>
  <c r="T157" i="2"/>
  <c r="V157" i="2"/>
  <c r="T218" i="2"/>
  <c r="V218" i="2"/>
  <c r="T230" i="2"/>
  <c r="V230" i="2"/>
  <c r="T73" i="2"/>
  <c r="V73" i="2"/>
  <c r="T438" i="2"/>
  <c r="V438" i="2"/>
  <c r="T733" i="2"/>
  <c r="V733" i="2"/>
  <c r="T257" i="2"/>
  <c r="V25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tc={8F5B9629-58CE-4DCC-B2A7-395E48584B8D}</author>
    <author>tc={9A8C20C0-2EC3-4410-8463-D2667848D9A9}</author>
    <author>tc={9AE0242A-08A4-4B88-B526-6B06CF8F27AB}</author>
    <author>tc={8AC19ADF-7914-4ECF-AC43-827A08FFD625}</author>
    <author>tc={4E344453-681A-47B5-B79A-78B06D2E6858}</author>
    <author>tc={B04F9FD7-FB73-4A7F-A8C1-DFFB0191FE1C}</author>
    <author>tc={850A2B7F-0C41-49C0-B801-CFD429F1DED1}</author>
    <author>tc={5A8C1BB4-BB3F-4B8A-8BF3-564F5CF5CDAB}</author>
    <author>tc={D7B215EA-7B26-4562-A8CC-02D893817BF1}</author>
    <author>tc={8A67EA14-7C65-4A1B-BDF9-16DB60532F4C}</author>
    <author>tc={37808FB6-D89C-4694-A3DD-CD67B1768A51}</author>
    <author>tc={F373A411-F9FA-42BC-8CF3-02C8EC1FCB57}</author>
    <author>tc={2A4E0B02-52F9-4356-8050-666289E1E22B}</author>
    <author>tc={89747520-56E9-4B95-8202-5B38C40B5690}</author>
  </authors>
  <commentList>
    <comment ref="F1" authorId="0" shapeId="0" xr:uid="{8F5B9629-58CE-4DCC-B2A7-395E48584B8D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Experimental date. Days past day 0 (5/8/2021)</t>
      </text>
    </comment>
    <comment ref="G1" authorId="1" shapeId="0" xr:uid="{9A8C20C0-2EC3-4410-8463-D2667848D9A9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Temperature in Celcius</t>
      </text>
    </comment>
    <comment ref="H1" authorId="2" shapeId="0" xr:uid="{9AE0242A-08A4-4B88-B526-6B06CF8F27A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Percentage of dissolved oxygen out of 500</t>
      </text>
    </comment>
    <comment ref="I1" authorId="3" shapeId="0" xr:uid="{8AC19ADF-7914-4ECF-AC43-827A08FFD625}">
      <text>
        <t>[Threaded comment]
Your version of Excel allows you to read this threaded comment; however, any edits to it will get removed if the file is opened in a newer version of Excel. Learn more: https://go.microsoft.com/fwlink/?linkid=870924
Comment:
    Dissolved oxygen in mg/L</t>
      </text>
    </comment>
    <comment ref="M1" authorId="4" shapeId="0" xr:uid="{4E344453-681A-47B5-B79A-78B06D2E6858}">
      <text>
        <t>[Threaded comment]
Your version of Excel allows you to read this threaded comment; however, any edits to it will get removed if the file is opened in a newer version of Excel. Learn more: https://go.microsoft.com/fwlink/?linkid=870924
Comment:
    Dissolved oxygen measurements in mg/L</t>
      </text>
    </comment>
    <comment ref="O1" authorId="5" shapeId="0" xr:uid="{B04F9FD7-FB73-4A7F-A8C1-DFFB0191FE1C}">
      <text>
        <t>[Threaded comment]
Your version of Excel allows you to read this threaded comment; however, any edits to it will get removed if the file is opened in a newer version of Excel. Learn more: https://go.microsoft.com/fwlink/?linkid=870924
Comment:
    Absolute values of GPP (DOpm - DOam)</t>
      </text>
    </comment>
    <comment ref="P1" authorId="6" shapeId="0" xr:uid="{850A2B7F-0C41-49C0-B801-CFD429F1DE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measure of gross primary productivity. Calculated by DO_PM - DO_AM. Includes negatvie numbers.</t>
      </text>
    </comment>
    <comment ref="Q1" authorId="7" shapeId="0" xr:uid="{5A8C1BB4-BB3F-4B8A-8BF3-564F5CF5CDAB}">
      <text>
        <t>[Threaded comment]
Your version of Excel allows you to read this threaded comment; however, any edits to it will get removed if the file is opened in a newer version of Excel. Learn more: https://go.microsoft.com/fwlink/?linkid=870924
Comment:
    AM time start</t>
      </text>
    </comment>
    <comment ref="R1" authorId="8" shapeId="0" xr:uid="{D7B215EA-7B26-4562-A8CC-02D893817BF1}">
      <text>
        <t>[Threaded comment]
Your version of Excel allows you to read this threaded comment; however, any edits to it will get removed if the file is opened in a newer version of Excel. Learn more: https://go.microsoft.com/fwlink/?linkid=870924
Comment:
    PM time start</t>
      </text>
    </comment>
    <comment ref="S1" authorId="9" shapeId="0" xr:uid="{8A67EA14-7C65-4A1B-BDF9-16DB60532F4C}">
      <text>
        <t>[Threaded comment]
Your version of Excel allows you to read this threaded comment; however, any edits to it will get removed if the file is opened in a newer version of Excel. Learn more: https://go.microsoft.com/fwlink/?linkid=870924
Comment:
    Hours between PM and AM samples</t>
      </text>
    </comment>
    <comment ref="T1" authorId="10" shapeId="0" xr:uid="{37808FB6-D89C-4694-A3DD-CD67B1768A51}">
      <text>
        <t>[Threaded comment]
Your version of Excel allows you to read this threaded comment; however, any edits to it will get removed if the file is opened in a newer version of Excel. Learn more: https://go.microsoft.com/fwlink/?linkid=870924
Comment:
    GPP divided by number of hours between samples (provides hourly rate of GPP)</t>
      </text>
    </comment>
    <comment ref="U1" authorId="11" shapeId="0" xr:uid="{F373A411-F9FA-42BC-8CF3-02C8EC1FCB57}">
      <text>
        <t>[Threaded comment]
Your version of Excel allows you to read this threaded comment; however, any edits to it will get removed if the file is opened in a newer version of Excel. Learn more: https://go.microsoft.com/fwlink/?linkid=870924
Comment:
    Surface area of the tank</t>
      </text>
    </comment>
    <comment ref="V1" authorId="12" shapeId="0" xr:uid="{2A4E0B02-52F9-4356-8050-666289E1E22B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Correcting for surface area of experimental tanks by taking hourly GPP rate and dividing by surface area in m2</t>
      </text>
    </comment>
    <comment ref="W1" authorId="13" shapeId="0" xr:uid="{89747520-56E9-4B95-8202-5B38C40B5690}">
      <text>
        <t>[Threaded comment]
Your version of Excel allows you to read this threaded comment; however, any edits to it will get removed if the file is opened in a newer version of Excel. Learn more: https://go.microsoft.com/fwlink/?linkid=870924
Comment:
    Absolute values of DO_m2_hr (dissolved oxygen per meter squared per hour)</t>
      </text>
    </comment>
  </commentList>
</comments>
</file>

<file path=xl/sharedStrings.xml><?xml version="1.0" encoding="utf-8"?>
<sst xmlns="http://schemas.openxmlformats.org/spreadsheetml/2006/main" count="6167" uniqueCount="61">
  <si>
    <t>Treatment</t>
  </si>
  <si>
    <t>Date</t>
  </si>
  <si>
    <t>Temp_PM</t>
  </si>
  <si>
    <t>DO_PM</t>
  </si>
  <si>
    <t>Conductivity_PM</t>
  </si>
  <si>
    <t>Temp_AM</t>
  </si>
  <si>
    <t>DO_AM</t>
  </si>
  <si>
    <t>Conductivity_AM</t>
  </si>
  <si>
    <t>5/13/2021 - 5/14/2021</t>
  </si>
  <si>
    <t>C:ND</t>
  </si>
  <si>
    <t>A:ND</t>
  </si>
  <si>
    <t>FA:ND</t>
  </si>
  <si>
    <t>F:ND</t>
  </si>
  <si>
    <t>5/16/2021 - 5/17/2021</t>
  </si>
  <si>
    <t>5/18/2021 - 5/19/2021</t>
  </si>
  <si>
    <t>5/20/2021 - 5/21/2021</t>
  </si>
  <si>
    <t>5/24/2021 - 5/25/2021</t>
  </si>
  <si>
    <t>5/27/2021 - 5/28/2021</t>
  </si>
  <si>
    <t>6/1/2021 - 6/2/2021</t>
  </si>
  <si>
    <t>6/3/2021 - 6/4/2021</t>
  </si>
  <si>
    <t>6/7/2021 - 6/8/2021</t>
  </si>
  <si>
    <t>6/10/2021 - 6/11/2021</t>
  </si>
  <si>
    <t>6/14/2021 - 6/15/2021</t>
  </si>
  <si>
    <t>6/17/2021 - 6/18/2021</t>
  </si>
  <si>
    <t>6/21/2021 - 6/22/2021</t>
  </si>
  <si>
    <t>6/24/2021 - 6/25/2021</t>
  </si>
  <si>
    <t>6/28/2021 - 6/29/2021</t>
  </si>
  <si>
    <t>7/1/2021 - 7/2/2021</t>
  </si>
  <si>
    <t>7/5/2021 - 7/6/2021</t>
  </si>
  <si>
    <t>7/8/2021 - 7/9/2021</t>
  </si>
  <si>
    <t>7/12/2021 - 7/13/2021</t>
  </si>
  <si>
    <t>7/15/2021 - 7/16/2021</t>
  </si>
  <si>
    <t>7/19/2021-7/20/2021</t>
  </si>
  <si>
    <t>7/22/2021-7/23/2021</t>
  </si>
  <si>
    <t>7/26/2021-7/27/2021</t>
  </si>
  <si>
    <t>7/29/2021-7/30/2021</t>
  </si>
  <si>
    <t>Day</t>
  </si>
  <si>
    <t>Tank</t>
  </si>
  <si>
    <t>A:DR</t>
  </si>
  <si>
    <t>C:DR</t>
  </si>
  <si>
    <t>F:DR</t>
  </si>
  <si>
    <t>FA:DR</t>
  </si>
  <si>
    <t>PerDO_PM</t>
  </si>
  <si>
    <t>PerDO_AM</t>
  </si>
  <si>
    <t>GPP</t>
  </si>
  <si>
    <t>GPPwNegs</t>
  </si>
  <si>
    <t>Trophic_Treatment</t>
  </si>
  <si>
    <t>Drying_Treatment</t>
  </si>
  <si>
    <t>Amphibian</t>
  </si>
  <si>
    <t>Dry_Rewet</t>
  </si>
  <si>
    <t>Not_Dried</t>
  </si>
  <si>
    <t>Control</t>
  </si>
  <si>
    <t>Fish</t>
  </si>
  <si>
    <t>Fish_Amphibian</t>
  </si>
  <si>
    <t>AM</t>
  </si>
  <si>
    <t>PM</t>
  </si>
  <si>
    <t>hrs</t>
  </si>
  <si>
    <t>dDO_hr</t>
  </si>
  <si>
    <t>area m2</t>
  </si>
  <si>
    <t>DO_m2_hr</t>
  </si>
  <si>
    <t>GPP_Abs_Val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</si>
</sst>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rd, Krista" id="{B206270F-C9E5-4C89-BCC3-6BC8178BBC64}" userId="Ward, Krista" providerId="None"/>
  <person displayName="Krista Ward" id="{352EA50A-DD78-4F16-ACC5-7C503ADD67B8}" userId="84bafdc74e1c97a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1-08-20T00:45:03.13" personId="{B206270F-C9E5-4C89-BCC3-6BC8178BBC64}" id="{8F5B9629-58CE-4DCC-B2A7-395E48584B8D}">
    <text>Experimental date. Days past day 0 (5/8/2021)</text>
  </threadedComment>
  <threadedComment ref="G1" dT="2021-06-05T18:08:31.94" personId="{B206270F-C9E5-4C89-BCC3-6BC8178BBC64}" id="{9A8C20C0-2EC3-4410-8463-D2667848D9A9}">
    <text>Temperature in Celcius</text>
  </threadedComment>
  <threadedComment ref="H1" dT="2021-06-05T18:08:44.06" personId="{B206270F-C9E5-4C89-BCC3-6BC8178BBC64}" id="{9AE0242A-08A4-4B88-B526-6B06CF8F27AB}">
    <text>Percentage of dissolved oxygen out of 500</text>
  </threadedComment>
  <threadedComment ref="I1" dT="2021-09-03T00:24:39.29" personId="{B206270F-C9E5-4C89-BCC3-6BC8178BBC64}" id="{8AC19ADF-7914-4ECF-AC43-827A08FFD625}">
    <text>Dissolved oxygen in mg/L</text>
  </threadedComment>
  <threadedComment ref="M1" dT="2021-09-03T00:25:00.79" personId="{B206270F-C9E5-4C89-BCC3-6BC8178BBC64}" id="{4E344453-681A-47B5-B79A-78B06D2E6858}">
    <text>Dissolved oxygen measurements in mg/L</text>
  </threadedComment>
  <threadedComment ref="O1" dT="2021-09-15T14:39:45.63" personId="{B206270F-C9E5-4C89-BCC3-6BC8178BBC64}" id="{B04F9FD7-FB73-4A7F-A8C1-DFFB0191FE1C}">
    <text>Absolute values of GPP (DOpm - DOam)</text>
  </threadedComment>
  <threadedComment ref="P1" dT="2021-09-12T21:20:21.91" personId="{B206270F-C9E5-4C89-BCC3-6BC8178BBC64}" id="{850A2B7F-0C41-49C0-B801-CFD429F1DED1}">
    <text>Relative measure of gross primary productivity. Calculated by DO_PM - DO_AM. Includes negatvie numbers.</text>
  </threadedComment>
  <threadedComment ref="Q1" dT="2023-03-19T14:25:03.79" personId="{352EA50A-DD78-4F16-ACC5-7C503ADD67B8}" id="{5A8C1BB4-BB3F-4B8A-8BF3-564F5CF5CDAB}">
    <text>AM time start</text>
  </threadedComment>
  <threadedComment ref="R1" dT="2023-03-19T14:25:11.54" personId="{352EA50A-DD78-4F16-ACC5-7C503ADD67B8}" id="{D7B215EA-7B26-4562-A8CC-02D893817BF1}">
    <text>PM time start</text>
  </threadedComment>
  <threadedComment ref="S1" dT="2023-03-19T14:24:45.49" personId="{352EA50A-DD78-4F16-ACC5-7C503ADD67B8}" id="{8A67EA14-7C65-4A1B-BDF9-16DB60532F4C}">
    <text>Hours between PM and AM samples</text>
  </threadedComment>
  <threadedComment ref="T1" dT="2023-06-25T15:43:05.25" personId="{352EA50A-DD78-4F16-ACC5-7C503ADD67B8}" id="{37808FB6-D89C-4694-A3DD-CD67B1768A51}">
    <text>GPP divided by number of hours between samples (provides hourly rate of GPP)</text>
  </threadedComment>
  <threadedComment ref="U1" dT="2023-03-19T14:24:25.65" personId="{352EA50A-DD78-4F16-ACC5-7C503ADD67B8}" id="{F373A411-F9FA-42BC-8CF3-02C8EC1FCB57}">
    <text>Surface area of the tank</text>
  </threadedComment>
  <threadedComment ref="V1" dT="2023-06-25T15:44:18.92" personId="{352EA50A-DD78-4F16-ACC5-7C503ADD67B8}" id="{2A4E0B02-52F9-4356-8050-666289E1E22B}">
    <text>Correcting for surface area of experimental tanks by taking hourly GPP rate and dividing by surface area in m2</text>
  </threadedComment>
  <threadedComment ref="W1" dT="2023-06-25T15:45:10.64" personId="{352EA50A-DD78-4F16-ACC5-7C503ADD67B8}" id="{89747520-56E9-4B95-8202-5B38C40B5690}">
    <text>Absolute values of DO_m2_hr (dissolved oxygen per meter squared per hour)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3152-F97E-42A4-A313-823C912822DD}">
  <dimension ref="A1:W1537"/>
  <sheetViews>
    <sheetView tabSelected="1" topLeftCell="E1" workbookViewId="0">
      <pane ySplit="1" topLeftCell="A2" activePane="bottomLeft" state="frozen"/>
      <selection pane="bottomLeft" activeCell="X7" sqref="X7"/>
    </sheetView>
  </sheetViews>
  <sheetFormatPr defaultColWidth="8.83984375" defaultRowHeight="14.4" x14ac:dyDescent="0.55000000000000004"/>
  <cols>
    <col min="1" max="1" width="8.83984375" style="3"/>
    <col min="2" max="2" width="16.26171875" style="3" bestFit="1" customWidth="1"/>
    <col min="3" max="3" width="15.578125" style="3" bestFit="1" customWidth="1"/>
    <col min="4" max="4" width="9" style="3" bestFit="1" customWidth="1"/>
    <col min="5" max="5" width="19.15625" style="3" bestFit="1" customWidth="1"/>
    <col min="6" max="6" width="3.83984375" style="3" bestFit="1" customWidth="1"/>
    <col min="7" max="7" width="9" style="3" bestFit="1" customWidth="1"/>
    <col min="8" max="8" width="12.26171875" style="3" customWidth="1"/>
    <col min="9" max="9" width="6.83984375" style="6" bestFit="1" customWidth="1"/>
    <col min="10" max="10" width="14.68359375" style="3" bestFit="1" customWidth="1"/>
    <col min="11" max="11" width="9" style="3" bestFit="1" customWidth="1"/>
    <col min="12" max="12" width="10.578125" style="3" bestFit="1" customWidth="1"/>
    <col min="13" max="13" width="7" style="3" bestFit="1" customWidth="1"/>
    <col min="14" max="14" width="14.83984375" style="3" bestFit="1" customWidth="1"/>
    <col min="15" max="15" width="8.83984375" style="3"/>
    <col min="16" max="16" width="9.68359375" style="3" bestFit="1" customWidth="1"/>
    <col min="17" max="17" width="11.578125" style="8" bestFit="1" customWidth="1"/>
    <col min="18" max="18" width="10.41796875" style="8" bestFit="1" customWidth="1"/>
    <col min="19" max="19" width="5.578125" style="3" bestFit="1" customWidth="1"/>
    <col min="20" max="20" width="9.68359375" style="5" customWidth="1"/>
    <col min="21" max="21" width="8" style="3" bestFit="1" customWidth="1"/>
    <col min="22" max="22" width="12.68359375" style="5" bestFit="1" customWidth="1"/>
    <col min="23" max="23" width="12.26171875" style="3" bestFit="1" customWidth="1"/>
    <col min="24" max="16384" width="8.83984375" style="3"/>
  </cols>
  <sheetData>
    <row r="1" spans="1:23" s="1" customFormat="1" x14ac:dyDescent="0.55000000000000004">
      <c r="A1" s="1" t="s">
        <v>37</v>
      </c>
      <c r="B1" s="1" t="s">
        <v>46</v>
      </c>
      <c r="C1" s="1" t="s">
        <v>47</v>
      </c>
      <c r="D1" s="1" t="s">
        <v>0</v>
      </c>
      <c r="E1" s="1" t="s">
        <v>1</v>
      </c>
      <c r="F1" s="1" t="s">
        <v>36</v>
      </c>
      <c r="G1" s="1" t="s">
        <v>2</v>
      </c>
      <c r="H1" s="1" t="s">
        <v>42</v>
      </c>
      <c r="I1" s="1" t="s">
        <v>3</v>
      </c>
      <c r="J1" s="1" t="s">
        <v>4</v>
      </c>
      <c r="K1" s="1" t="s">
        <v>5</v>
      </c>
      <c r="L1" s="1" t="s">
        <v>43</v>
      </c>
      <c r="M1" s="1" t="s">
        <v>6</v>
      </c>
      <c r="N1" s="1" t="s">
        <v>7</v>
      </c>
      <c r="O1" s="1" t="s">
        <v>44</v>
      </c>
      <c r="P1" s="1" t="s">
        <v>45</v>
      </c>
      <c r="Q1" s="7" t="s">
        <v>54</v>
      </c>
      <c r="R1" s="7" t="s">
        <v>55</v>
      </c>
      <c r="S1" s="1" t="s">
        <v>56</v>
      </c>
      <c r="T1" s="9" t="s">
        <v>57</v>
      </c>
      <c r="U1" s="1" t="s">
        <v>58</v>
      </c>
      <c r="V1" s="9" t="s">
        <v>59</v>
      </c>
      <c r="W1" s="1" t="s">
        <v>60</v>
      </c>
    </row>
    <row r="2" spans="1:23" x14ac:dyDescent="0.55000000000000004">
      <c r="A2" s="3">
        <v>18</v>
      </c>
      <c r="B2" s="3" t="s">
        <v>51</v>
      </c>
      <c r="C2" s="3" t="s">
        <v>50</v>
      </c>
      <c r="D2" s="3" t="s">
        <v>9</v>
      </c>
      <c r="E2" s="2" t="s">
        <v>22</v>
      </c>
      <c r="F2" s="3">
        <v>37</v>
      </c>
      <c r="G2" s="4">
        <v>30.6</v>
      </c>
      <c r="H2" s="4">
        <v>48.4</v>
      </c>
      <c r="I2" s="6">
        <v>3.444654786582019</v>
      </c>
      <c r="J2" s="5">
        <v>6.5000000000000002E-2</v>
      </c>
      <c r="K2" s="4">
        <v>25.4</v>
      </c>
      <c r="L2" s="4">
        <v>64.400000000000006</v>
      </c>
      <c r="M2" s="6">
        <v>5.0303773115402164</v>
      </c>
      <c r="N2" s="5">
        <v>0.06</v>
      </c>
      <c r="O2" s="5">
        <v>1.5857225249581974</v>
      </c>
      <c r="P2" s="5">
        <v>-1.5857225249581974</v>
      </c>
      <c r="Q2" s="8">
        <v>0.20138888888888887</v>
      </c>
      <c r="R2" s="8">
        <v>0.88541666666666663</v>
      </c>
      <c r="S2" s="6">
        <f t="shared" ref="S2:S65" si="0">(R2-Q2)*24</f>
        <v>16.416666666666668</v>
      </c>
      <c r="T2" s="5">
        <f t="shared" ref="T2:T65" si="1">P2/S2</f>
        <v>-9.6592235022834358E-2</v>
      </c>
      <c r="U2" s="3">
        <v>2.21</v>
      </c>
      <c r="V2" s="5">
        <f t="shared" ref="V2:V65" si="2">(I2-M2)/U2/S2</f>
        <v>-4.370689367549066E-2</v>
      </c>
      <c r="W2" s="3">
        <v>4.3706893675490702E-2</v>
      </c>
    </row>
    <row r="3" spans="1:23" x14ac:dyDescent="0.55000000000000004">
      <c r="A3" s="3">
        <v>17</v>
      </c>
      <c r="B3" s="3" t="s">
        <v>52</v>
      </c>
      <c r="C3" s="3" t="s">
        <v>50</v>
      </c>
      <c r="D3" s="3" t="s">
        <v>12</v>
      </c>
      <c r="E3" s="2" t="s">
        <v>16</v>
      </c>
      <c r="F3" s="3">
        <v>16</v>
      </c>
      <c r="G3" s="4">
        <v>20.8</v>
      </c>
      <c r="H3" s="4">
        <v>85.6</v>
      </c>
      <c r="I3" s="6">
        <v>7.3013819379198681</v>
      </c>
      <c r="J3" s="5">
        <v>5.0999999999999997E-2</v>
      </c>
      <c r="K3" s="4">
        <v>19.600000000000001</v>
      </c>
      <c r="L3" s="4">
        <v>95.8</v>
      </c>
      <c r="M3" s="6">
        <v>8.369337706793802</v>
      </c>
      <c r="N3" s="5">
        <v>5.1999999999999998E-2</v>
      </c>
      <c r="O3" s="5">
        <v>1.0679557688739338</v>
      </c>
      <c r="P3" s="5">
        <v>-1.0679557688739338</v>
      </c>
      <c r="Q3" s="8">
        <v>0.20833333333333334</v>
      </c>
      <c r="R3" s="8">
        <v>0.86805555555555547</v>
      </c>
      <c r="S3" s="6">
        <f t="shared" si="0"/>
        <v>15.83333333333333</v>
      </c>
      <c r="T3" s="5">
        <f t="shared" si="1"/>
        <v>-6.74498380341432E-2</v>
      </c>
      <c r="U3" s="3">
        <v>2.21</v>
      </c>
      <c r="V3" s="5">
        <f t="shared" si="2"/>
        <v>-3.0520288703232219E-2</v>
      </c>
      <c r="W3" s="3">
        <v>3.0520288703232201E-2</v>
      </c>
    </row>
    <row r="4" spans="1:23" x14ac:dyDescent="0.55000000000000004">
      <c r="A4" s="3">
        <v>58</v>
      </c>
      <c r="B4" s="3" t="s">
        <v>53</v>
      </c>
      <c r="C4" s="3" t="s">
        <v>49</v>
      </c>
      <c r="D4" s="3" t="s">
        <v>41</v>
      </c>
      <c r="E4" s="2" t="s">
        <v>8</v>
      </c>
      <c r="F4" s="3">
        <v>5</v>
      </c>
      <c r="G4" s="4">
        <v>20.7</v>
      </c>
      <c r="H4" s="4">
        <v>91.7</v>
      </c>
      <c r="I4" s="6">
        <v>7.8371793824090323</v>
      </c>
      <c r="J4" s="5">
        <v>0.02</v>
      </c>
      <c r="K4" s="4">
        <v>15.6</v>
      </c>
      <c r="L4" s="4">
        <v>91.2</v>
      </c>
      <c r="M4" s="6">
        <v>8.6571352366108716</v>
      </c>
      <c r="N4" s="5">
        <v>1.7000000000000001E-2</v>
      </c>
      <c r="O4" s="5">
        <v>0.81995585420183925</v>
      </c>
      <c r="P4" s="5">
        <v>-0.81995585420183925</v>
      </c>
      <c r="Q4" s="8">
        <v>0.20833333333333334</v>
      </c>
      <c r="R4" s="8">
        <v>0.87083333333333324</v>
      </c>
      <c r="S4" s="6">
        <f t="shared" si="0"/>
        <v>15.899999999999997</v>
      </c>
      <c r="T4" s="5">
        <f t="shared" si="1"/>
        <v>-5.156955057873204E-2</v>
      </c>
      <c r="U4" s="3">
        <v>2.21</v>
      </c>
      <c r="V4" s="5">
        <f t="shared" si="2"/>
        <v>-2.3334638270919476E-2</v>
      </c>
      <c r="W4" s="3">
        <v>2.33346382709195E-2</v>
      </c>
    </row>
    <row r="5" spans="1:23" x14ac:dyDescent="0.55000000000000004">
      <c r="A5" s="3">
        <v>64</v>
      </c>
      <c r="B5" s="3" t="s">
        <v>53</v>
      </c>
      <c r="C5" s="3" t="s">
        <v>50</v>
      </c>
      <c r="D5" s="3" t="s">
        <v>11</v>
      </c>
      <c r="E5" s="3" t="s">
        <v>33</v>
      </c>
      <c r="F5" s="3">
        <v>75</v>
      </c>
      <c r="G5" s="4">
        <v>28.3</v>
      </c>
      <c r="H5" s="4">
        <v>49.1</v>
      </c>
      <c r="I5" s="6">
        <v>3.638472298491934</v>
      </c>
      <c r="J5" s="5">
        <v>6.2E-2</v>
      </c>
      <c r="K5" s="4">
        <v>24</v>
      </c>
      <c r="L5" s="4">
        <v>55.2</v>
      </c>
      <c r="M5" s="6">
        <v>4.4261244142095633</v>
      </c>
      <c r="N5" s="5">
        <v>5.5E-2</v>
      </c>
      <c r="O5" s="5">
        <v>0.78765211571762928</v>
      </c>
      <c r="P5" s="5">
        <v>-0.78765211571762928</v>
      </c>
      <c r="Q5" s="8">
        <v>0.20833333333333334</v>
      </c>
      <c r="R5" s="8">
        <v>0.88541666666666663</v>
      </c>
      <c r="S5" s="6">
        <f t="shared" si="0"/>
        <v>16.25</v>
      </c>
      <c r="T5" s="5">
        <f t="shared" si="1"/>
        <v>-4.8470899428777185E-2</v>
      </c>
      <c r="U5" s="3">
        <v>2.21</v>
      </c>
      <c r="V5" s="5">
        <f t="shared" si="2"/>
        <v>-2.1932533678179721E-2</v>
      </c>
      <c r="W5" s="3">
        <v>2.19325336781797E-2</v>
      </c>
    </row>
    <row r="6" spans="1:23" x14ac:dyDescent="0.55000000000000004">
      <c r="A6" s="3">
        <v>54</v>
      </c>
      <c r="B6" s="3" t="s">
        <v>48</v>
      </c>
      <c r="C6" s="3" t="s">
        <v>50</v>
      </c>
      <c r="D6" s="3" t="s">
        <v>10</v>
      </c>
      <c r="E6" s="2" t="s">
        <v>19</v>
      </c>
      <c r="F6" s="3">
        <v>26</v>
      </c>
      <c r="G6" s="4">
        <v>26.8</v>
      </c>
      <c r="H6" s="4">
        <v>85.8</v>
      </c>
      <c r="I6" s="6">
        <v>6.5320176886382475</v>
      </c>
      <c r="J6" s="5">
        <v>4.4999999999999998E-2</v>
      </c>
      <c r="K6" s="4">
        <v>23.1</v>
      </c>
      <c r="L6" s="4">
        <v>85.8</v>
      </c>
      <c r="M6" s="6">
        <v>6.9984027181521924</v>
      </c>
      <c r="N6" s="5">
        <v>4.2000000000000003E-2</v>
      </c>
      <c r="O6" s="5">
        <v>0.46638502951394489</v>
      </c>
      <c r="P6" s="5">
        <v>-0.46638502951394489</v>
      </c>
      <c r="Q6" s="8">
        <v>0.20833333333333334</v>
      </c>
      <c r="R6" s="8">
        <v>0.88541666666666663</v>
      </c>
      <c r="S6" s="6">
        <f t="shared" si="0"/>
        <v>16.25</v>
      </c>
      <c r="T6" s="5">
        <f t="shared" si="1"/>
        <v>-2.8700617200858147E-2</v>
      </c>
      <c r="U6" s="3">
        <v>2.21</v>
      </c>
      <c r="V6" s="5">
        <f t="shared" si="2"/>
        <v>-1.2986704615772919E-2</v>
      </c>
      <c r="W6" s="3">
        <v>1.29867046157729E-2</v>
      </c>
    </row>
    <row r="7" spans="1:23" x14ac:dyDescent="0.55000000000000004">
      <c r="A7" s="3">
        <v>25</v>
      </c>
      <c r="B7" s="3" t="s">
        <v>53</v>
      </c>
      <c r="C7" s="3" t="s">
        <v>49</v>
      </c>
      <c r="D7" s="3" t="s">
        <v>41</v>
      </c>
      <c r="E7" s="2" t="s">
        <v>23</v>
      </c>
      <c r="F7" s="3">
        <v>40</v>
      </c>
      <c r="G7" s="4">
        <v>26.2</v>
      </c>
      <c r="H7" s="4">
        <v>56.4</v>
      </c>
      <c r="I7" s="6">
        <v>4.3410415419512907</v>
      </c>
      <c r="J7" s="5">
        <v>7.0000000000000007E-2</v>
      </c>
      <c r="K7" s="4">
        <v>23.4</v>
      </c>
      <c r="L7" s="4">
        <v>59.2</v>
      </c>
      <c r="M7" s="6">
        <v>4.8011711423700554</v>
      </c>
      <c r="N7" s="5">
        <v>6.0999999999999999E-2</v>
      </c>
      <c r="O7" s="5">
        <v>0.46012960041876472</v>
      </c>
      <c r="P7" s="5">
        <v>-0.46012960041876472</v>
      </c>
      <c r="Q7" s="8">
        <v>0.20833333333333334</v>
      </c>
      <c r="R7" s="8">
        <v>0.89027777777777783</v>
      </c>
      <c r="S7" s="6">
        <f t="shared" si="0"/>
        <v>16.366666666666667</v>
      </c>
      <c r="T7" s="5">
        <f t="shared" si="1"/>
        <v>-2.8113824872836948E-2</v>
      </c>
      <c r="U7" s="3">
        <v>2.21</v>
      </c>
      <c r="V7" s="5">
        <f t="shared" si="2"/>
        <v>-1.2721187725265587E-2</v>
      </c>
      <c r="W7" s="3">
        <v>1.2721187725265599E-2</v>
      </c>
    </row>
    <row r="8" spans="1:23" x14ac:dyDescent="0.55000000000000004">
      <c r="A8" s="3">
        <v>64</v>
      </c>
      <c r="B8" s="3" t="s">
        <v>53</v>
      </c>
      <c r="C8" s="3" t="s">
        <v>50</v>
      </c>
      <c r="D8" s="3" t="s">
        <v>11</v>
      </c>
      <c r="E8" s="2" t="s">
        <v>18</v>
      </c>
      <c r="F8" s="3">
        <v>24</v>
      </c>
      <c r="G8" s="4">
        <v>23.1</v>
      </c>
      <c r="H8" s="4">
        <v>110</v>
      </c>
      <c r="I8" s="6">
        <v>8.9723111771181951</v>
      </c>
      <c r="J8" s="5">
        <v>4.2000000000000003E-2</v>
      </c>
      <c r="K8" s="4">
        <v>20.399999999999999</v>
      </c>
      <c r="L8" s="4">
        <v>109.1</v>
      </c>
      <c r="M8" s="6">
        <v>9.3799444520476385</v>
      </c>
      <c r="N8" s="5">
        <v>3.9E-2</v>
      </c>
      <c r="O8" s="5">
        <v>0.40763327492944335</v>
      </c>
      <c r="P8" s="5">
        <v>-0.40763327492944335</v>
      </c>
      <c r="Q8" s="8">
        <v>0.21180555555555555</v>
      </c>
      <c r="R8" s="8">
        <v>0.88194444444444453</v>
      </c>
      <c r="S8" s="6">
        <f t="shared" si="0"/>
        <v>16.083333333333336</v>
      </c>
      <c r="T8" s="5">
        <f t="shared" si="1"/>
        <v>-2.5345074088877304E-2</v>
      </c>
      <c r="U8" s="3">
        <v>2.21</v>
      </c>
      <c r="V8" s="5">
        <f t="shared" si="2"/>
        <v>-1.1468359316234075E-2</v>
      </c>
      <c r="W8" s="3">
        <v>1.1468359316234101E-2</v>
      </c>
    </row>
    <row r="9" spans="1:23" x14ac:dyDescent="0.55000000000000004">
      <c r="A9" s="3">
        <v>64</v>
      </c>
      <c r="B9" s="3" t="s">
        <v>53</v>
      </c>
      <c r="C9" s="3" t="s">
        <v>50</v>
      </c>
      <c r="D9" s="3" t="s">
        <v>11</v>
      </c>
      <c r="E9" s="3" t="s">
        <v>35</v>
      </c>
      <c r="F9" s="3">
        <v>82</v>
      </c>
      <c r="G9" s="4">
        <v>31.9</v>
      </c>
      <c r="H9" s="4">
        <v>35.799999999999997</v>
      </c>
      <c r="I9" s="6">
        <v>2.4916893806205969</v>
      </c>
      <c r="J9" s="5">
        <v>7.4999999999999997E-2</v>
      </c>
      <c r="K9" s="4">
        <v>27.5</v>
      </c>
      <c r="L9" s="4">
        <v>36</v>
      </c>
      <c r="M9" s="6">
        <v>2.7062206757770961</v>
      </c>
      <c r="N9" s="5">
        <v>6.8000000000000005E-2</v>
      </c>
      <c r="O9" s="5">
        <v>0.21453129515649927</v>
      </c>
      <c r="P9" s="5">
        <v>-0.21453129515649927</v>
      </c>
      <c r="Q9" s="8">
        <v>0.20833333333333334</v>
      </c>
      <c r="R9" s="8">
        <v>0.88541666666666663</v>
      </c>
      <c r="S9" s="6">
        <f t="shared" si="0"/>
        <v>16.25</v>
      </c>
      <c r="T9" s="5">
        <f t="shared" si="1"/>
        <v>-1.320192585578457E-2</v>
      </c>
      <c r="U9" s="3">
        <v>2.21</v>
      </c>
      <c r="V9" s="5">
        <f t="shared" si="2"/>
        <v>-5.9737221066898513E-3</v>
      </c>
      <c r="W9" s="3">
        <v>5.9737221066898504E-3</v>
      </c>
    </row>
    <row r="10" spans="1:23" x14ac:dyDescent="0.55000000000000004">
      <c r="A10" s="3">
        <v>14</v>
      </c>
      <c r="B10" s="3" t="s">
        <v>48</v>
      </c>
      <c r="C10" s="3" t="s">
        <v>50</v>
      </c>
      <c r="D10" s="3" t="s">
        <v>10</v>
      </c>
      <c r="E10" s="3" t="s">
        <v>33</v>
      </c>
      <c r="F10" s="3">
        <v>75</v>
      </c>
      <c r="G10" s="4">
        <v>27.7</v>
      </c>
      <c r="H10" s="4">
        <v>79.099999999999994</v>
      </c>
      <c r="I10" s="6">
        <v>5.9248215973594016</v>
      </c>
      <c r="J10" s="5">
        <v>6.7000000000000004E-2</v>
      </c>
      <c r="K10" s="4">
        <v>23.7</v>
      </c>
      <c r="L10" s="4">
        <v>75.7</v>
      </c>
      <c r="M10" s="6">
        <v>6.1044380491540871</v>
      </c>
      <c r="N10" s="5">
        <v>4.9000000000000002E-2</v>
      </c>
      <c r="O10" s="5">
        <v>0.17961645179468544</v>
      </c>
      <c r="P10" s="5">
        <v>-0.17961645179468544</v>
      </c>
      <c r="Q10" s="8">
        <v>0.20833333333333334</v>
      </c>
      <c r="R10" s="8">
        <v>0.88541666666666663</v>
      </c>
      <c r="S10" s="6">
        <f t="shared" si="0"/>
        <v>16.25</v>
      </c>
      <c r="T10" s="5">
        <f t="shared" si="1"/>
        <v>-1.1053320110442182E-2</v>
      </c>
      <c r="U10" s="3">
        <v>2.21</v>
      </c>
      <c r="V10" s="5">
        <f t="shared" si="2"/>
        <v>-5.0015023124172766E-3</v>
      </c>
      <c r="W10" s="3">
        <v>5.0015023124172801E-3</v>
      </c>
    </row>
    <row r="11" spans="1:23" x14ac:dyDescent="0.55000000000000004">
      <c r="A11" s="3">
        <v>22</v>
      </c>
      <c r="B11" s="3" t="s">
        <v>48</v>
      </c>
      <c r="C11" s="3" t="s">
        <v>49</v>
      </c>
      <c r="D11" s="3" t="s">
        <v>38</v>
      </c>
      <c r="E11" s="2" t="s">
        <v>13</v>
      </c>
      <c r="F11" s="3">
        <v>8</v>
      </c>
      <c r="G11" s="4">
        <v>22</v>
      </c>
      <c r="H11" s="4">
        <v>89.4</v>
      </c>
      <c r="I11" s="6">
        <v>7.4482873492581483</v>
      </c>
      <c r="J11" s="5">
        <v>2.3E-2</v>
      </c>
      <c r="K11" s="4">
        <v>19.2</v>
      </c>
      <c r="L11" s="4">
        <v>86.2</v>
      </c>
      <c r="M11" s="6">
        <v>7.5917032641643267</v>
      </c>
      <c r="N11" s="5">
        <v>2.1999999999999999E-2</v>
      </c>
      <c r="O11" s="5">
        <v>0.14341591490617844</v>
      </c>
      <c r="P11" s="5">
        <v>-0.14341591490617844</v>
      </c>
      <c r="Q11" s="8">
        <v>0.20833333333333334</v>
      </c>
      <c r="R11" s="8">
        <v>0.86319444444444438</v>
      </c>
      <c r="S11" s="6">
        <f t="shared" si="0"/>
        <v>15.716666666666665</v>
      </c>
      <c r="T11" s="5">
        <f t="shared" si="1"/>
        <v>-9.1250847236168699E-3</v>
      </c>
      <c r="U11" s="3">
        <v>2.21</v>
      </c>
      <c r="V11" s="5">
        <f t="shared" si="2"/>
        <v>-4.1289976124963216E-3</v>
      </c>
      <c r="W11" s="3">
        <v>4.1289976124963199E-3</v>
      </c>
    </row>
    <row r="12" spans="1:23" x14ac:dyDescent="0.55000000000000004">
      <c r="A12" s="3">
        <v>17</v>
      </c>
      <c r="B12" s="3" t="s">
        <v>52</v>
      </c>
      <c r="C12" s="3" t="s">
        <v>50</v>
      </c>
      <c r="D12" s="3" t="s">
        <v>12</v>
      </c>
      <c r="E12" s="3" t="s">
        <v>33</v>
      </c>
      <c r="F12" s="3">
        <v>75</v>
      </c>
      <c r="G12" s="4">
        <v>26.8</v>
      </c>
      <c r="H12" s="4">
        <v>59.1</v>
      </c>
      <c r="I12" s="6">
        <v>4.4993268694466249</v>
      </c>
      <c r="J12" s="5">
        <v>8.6999999999999994E-2</v>
      </c>
      <c r="K12" s="4">
        <v>23.2</v>
      </c>
      <c r="L12" s="4">
        <v>56.8</v>
      </c>
      <c r="M12" s="6">
        <v>4.6241305372979316</v>
      </c>
      <c r="N12" s="5">
        <v>8.3000000000000004E-2</v>
      </c>
      <c r="O12" s="5">
        <v>0.1248036678513067</v>
      </c>
      <c r="P12" s="5">
        <v>-0.1248036678513067</v>
      </c>
      <c r="Q12" s="8">
        <v>0.20833333333333334</v>
      </c>
      <c r="R12" s="8">
        <v>0.88541666666666663</v>
      </c>
      <c r="S12" s="6">
        <f t="shared" si="0"/>
        <v>16.25</v>
      </c>
      <c r="T12" s="5">
        <f t="shared" si="1"/>
        <v>-7.680225713926566E-3</v>
      </c>
      <c r="U12" s="3">
        <v>2.21</v>
      </c>
      <c r="V12" s="5">
        <f t="shared" si="2"/>
        <v>-3.475215255170392E-3</v>
      </c>
      <c r="W12" s="3">
        <v>3.4752152551703898E-3</v>
      </c>
    </row>
    <row r="13" spans="1:23" x14ac:dyDescent="0.55000000000000004">
      <c r="A13" s="3">
        <v>63</v>
      </c>
      <c r="B13" s="3" t="s">
        <v>51</v>
      </c>
      <c r="C13" s="3" t="s">
        <v>49</v>
      </c>
      <c r="D13" s="3" t="s">
        <v>39</v>
      </c>
      <c r="E13" s="3" t="s">
        <v>35</v>
      </c>
      <c r="F13" s="3">
        <v>82</v>
      </c>
      <c r="G13" s="4">
        <v>32.299999999999997</v>
      </c>
      <c r="H13" s="4">
        <v>36.700000000000003</v>
      </c>
      <c r="I13" s="6">
        <v>2.5370365630912839</v>
      </c>
      <c r="J13" s="5">
        <v>5.0999999999999997E-2</v>
      </c>
      <c r="K13" s="4">
        <v>28</v>
      </c>
      <c r="L13" s="4">
        <v>35.5</v>
      </c>
      <c r="M13" s="6">
        <v>2.6447946917042056</v>
      </c>
      <c r="N13" s="5">
        <v>4.7E-2</v>
      </c>
      <c r="O13" s="5">
        <v>0.10775812861292167</v>
      </c>
      <c r="P13" s="5">
        <v>-0.10775812861292167</v>
      </c>
      <c r="Q13" s="8">
        <v>0.20833333333333334</v>
      </c>
      <c r="R13" s="8">
        <v>0.88541666666666663</v>
      </c>
      <c r="S13" s="6">
        <f t="shared" si="0"/>
        <v>16.25</v>
      </c>
      <c r="T13" s="5">
        <f t="shared" si="1"/>
        <v>-6.6312694531028716E-3</v>
      </c>
      <c r="U13" s="3">
        <v>2.21</v>
      </c>
      <c r="V13" s="5">
        <f t="shared" si="2"/>
        <v>-3.0005744131687204E-3</v>
      </c>
      <c r="W13" s="3">
        <v>3.0005744131687199E-3</v>
      </c>
    </row>
    <row r="14" spans="1:23" x14ac:dyDescent="0.55000000000000004">
      <c r="A14" s="3">
        <v>62</v>
      </c>
      <c r="B14" s="3" t="s">
        <v>52</v>
      </c>
      <c r="C14" s="3" t="s">
        <v>49</v>
      </c>
      <c r="D14" s="3" t="s">
        <v>40</v>
      </c>
      <c r="E14" s="3" t="s">
        <v>33</v>
      </c>
      <c r="F14" s="3">
        <v>75</v>
      </c>
      <c r="G14" s="4">
        <v>28.9</v>
      </c>
      <c r="H14" s="4">
        <v>70.2</v>
      </c>
      <c r="I14" s="6">
        <v>5.1469478624861562</v>
      </c>
      <c r="J14" s="5">
        <v>6.4000000000000001E-2</v>
      </c>
      <c r="K14" s="4">
        <v>24.6</v>
      </c>
      <c r="L14" s="4">
        <v>66.2</v>
      </c>
      <c r="M14" s="6">
        <v>5.2485918909238976</v>
      </c>
      <c r="N14" s="5">
        <v>5.8000000000000003E-2</v>
      </c>
      <c r="O14" s="5">
        <v>0.10164402843774134</v>
      </c>
      <c r="P14" s="5">
        <v>-0.10164402843774134</v>
      </c>
      <c r="Q14" s="8">
        <v>0.20833333333333334</v>
      </c>
      <c r="R14" s="8">
        <v>0.88541666666666663</v>
      </c>
      <c r="S14" s="6">
        <f t="shared" si="0"/>
        <v>16.25</v>
      </c>
      <c r="T14" s="5">
        <f t="shared" si="1"/>
        <v>-6.2550171346302365E-3</v>
      </c>
      <c r="U14" s="3">
        <v>2.21</v>
      </c>
      <c r="V14" s="5">
        <f t="shared" si="2"/>
        <v>-2.8303244953077995E-3</v>
      </c>
      <c r="W14" s="3">
        <v>2.8303244953077999E-3</v>
      </c>
    </row>
    <row r="15" spans="1:23" x14ac:dyDescent="0.55000000000000004">
      <c r="A15" s="3">
        <v>43</v>
      </c>
      <c r="B15" s="3" t="s">
        <v>51</v>
      </c>
      <c r="C15" s="3" t="s">
        <v>50</v>
      </c>
      <c r="D15" s="3" t="s">
        <v>9</v>
      </c>
      <c r="E15" s="3" t="s">
        <v>28</v>
      </c>
      <c r="F15" s="3">
        <v>58</v>
      </c>
      <c r="G15" s="4">
        <v>28.8</v>
      </c>
      <c r="H15" s="4">
        <v>89.8</v>
      </c>
      <c r="I15" s="6">
        <v>6.5956457349902431</v>
      </c>
      <c r="J15" s="5">
        <v>0.04</v>
      </c>
      <c r="K15" s="4">
        <v>24.3</v>
      </c>
      <c r="L15" s="4">
        <v>83.8</v>
      </c>
      <c r="M15" s="6">
        <v>6.6814941219245565</v>
      </c>
      <c r="N15" s="5">
        <v>3.9E-2</v>
      </c>
      <c r="O15" s="5">
        <v>8.5848386934313403E-2</v>
      </c>
      <c r="P15" s="5">
        <v>-8.5848386934313403E-2</v>
      </c>
      <c r="Q15" s="8">
        <v>0.20833333333333334</v>
      </c>
      <c r="R15" s="8">
        <v>0.88888888888888884</v>
      </c>
      <c r="S15" s="6">
        <f t="shared" si="0"/>
        <v>16.333333333333332</v>
      </c>
      <c r="T15" s="5">
        <f t="shared" si="1"/>
        <v>-5.2560236898559227E-3</v>
      </c>
      <c r="U15" s="3">
        <v>2.21</v>
      </c>
      <c r="V15" s="5">
        <f t="shared" si="2"/>
        <v>-2.3782912623782461E-3</v>
      </c>
      <c r="W15" s="3">
        <v>2.37829126237825E-3</v>
      </c>
    </row>
    <row r="16" spans="1:23" x14ac:dyDescent="0.55000000000000004">
      <c r="A16" s="3">
        <v>47</v>
      </c>
      <c r="B16" s="3" t="s">
        <v>52</v>
      </c>
      <c r="C16" s="3" t="s">
        <v>50</v>
      </c>
      <c r="D16" s="3" t="s">
        <v>12</v>
      </c>
      <c r="E16" s="3" t="s">
        <v>27</v>
      </c>
      <c r="F16" s="3">
        <v>54</v>
      </c>
      <c r="G16" s="4">
        <v>28</v>
      </c>
      <c r="H16" s="4">
        <v>54.1</v>
      </c>
      <c r="I16" s="6">
        <v>4.0305181076393666</v>
      </c>
      <c r="J16" s="5">
        <v>6.5000000000000002E-2</v>
      </c>
      <c r="K16" s="4">
        <v>24.7</v>
      </c>
      <c r="L16" s="4">
        <v>51.3</v>
      </c>
      <c r="M16" s="6">
        <v>4.0596586234267873</v>
      </c>
      <c r="N16" s="5">
        <v>6.3E-2</v>
      </c>
      <c r="O16" s="5">
        <v>2.9140515787420718E-2</v>
      </c>
      <c r="P16" s="5">
        <v>-2.9140515787420718E-2</v>
      </c>
      <c r="Q16" s="8">
        <v>0.20833333333333334</v>
      </c>
      <c r="R16" s="8">
        <v>0.89583333333333337</v>
      </c>
      <c r="S16" s="6">
        <f t="shared" si="0"/>
        <v>16.5</v>
      </c>
      <c r="T16" s="5">
        <f t="shared" si="1"/>
        <v>-1.766091865904286E-3</v>
      </c>
      <c r="U16" s="3">
        <v>2.21</v>
      </c>
      <c r="V16" s="5">
        <f t="shared" si="2"/>
        <v>-7.991365909069167E-4</v>
      </c>
      <c r="W16" s="3">
        <v>7.9913659090691703E-4</v>
      </c>
    </row>
    <row r="17" spans="1:23" x14ac:dyDescent="0.55000000000000004">
      <c r="A17" s="3">
        <v>19</v>
      </c>
      <c r="B17" s="3" t="s">
        <v>53</v>
      </c>
      <c r="C17" s="3" t="s">
        <v>49</v>
      </c>
      <c r="D17" s="3" t="s">
        <v>41</v>
      </c>
      <c r="E17" s="2" t="s">
        <v>18</v>
      </c>
      <c r="F17" s="3">
        <v>24</v>
      </c>
      <c r="G17" s="4">
        <v>22.4</v>
      </c>
      <c r="H17" s="4">
        <v>91.1</v>
      </c>
      <c r="I17" s="6">
        <v>7.5313427005212521</v>
      </c>
      <c r="J17" s="5">
        <v>3.5999999999999997E-2</v>
      </c>
      <c r="K17" s="4">
        <v>19.5</v>
      </c>
      <c r="L17" s="4">
        <v>86.2</v>
      </c>
      <c r="M17" s="6">
        <v>7.5458377946184472</v>
      </c>
      <c r="N17" s="5">
        <v>3.4000000000000002E-2</v>
      </c>
      <c r="O17" s="5">
        <v>1.4495094097195071E-2</v>
      </c>
      <c r="P17" s="5">
        <v>-1.4495094097195071E-2</v>
      </c>
      <c r="Q17" s="8">
        <v>0.21180555555555555</v>
      </c>
      <c r="R17" s="8">
        <v>0.88194444444444453</v>
      </c>
      <c r="S17" s="6">
        <f t="shared" si="0"/>
        <v>16.083333333333336</v>
      </c>
      <c r="T17" s="5">
        <f t="shared" si="1"/>
        <v>-9.0124937391886442E-4</v>
      </c>
      <c r="U17" s="3">
        <v>2.21</v>
      </c>
      <c r="V17" s="5">
        <f t="shared" si="2"/>
        <v>-4.0780514656962191E-4</v>
      </c>
      <c r="W17" s="3">
        <v>4.0780514656962202E-4</v>
      </c>
    </row>
    <row r="18" spans="1:23" x14ac:dyDescent="0.55000000000000004">
      <c r="A18" s="3">
        <v>59</v>
      </c>
      <c r="B18" s="3" t="s">
        <v>52</v>
      </c>
      <c r="C18" s="3" t="s">
        <v>49</v>
      </c>
      <c r="D18" s="3" t="s">
        <v>40</v>
      </c>
      <c r="E18" s="2" t="s">
        <v>8</v>
      </c>
      <c r="F18" s="3">
        <v>5</v>
      </c>
      <c r="G18" s="4">
        <v>20.7</v>
      </c>
      <c r="H18" s="4">
        <v>98.3</v>
      </c>
      <c r="I18" s="6">
        <v>8.4012511809248398</v>
      </c>
      <c r="J18" s="5">
        <v>0.02</v>
      </c>
      <c r="K18" s="4">
        <v>15.6</v>
      </c>
      <c r="L18" s="4">
        <v>88.6</v>
      </c>
      <c r="M18" s="6">
        <v>8.4103309425846842</v>
      </c>
      <c r="N18" s="5">
        <v>1.7999999999999999E-2</v>
      </c>
      <c r="O18" s="5">
        <v>9.0797616598443653E-3</v>
      </c>
      <c r="P18" s="5">
        <v>-9.0797616598443653E-3</v>
      </c>
      <c r="Q18" s="8">
        <v>0.20833333333333334</v>
      </c>
      <c r="R18" s="8">
        <v>0.87083333333333324</v>
      </c>
      <c r="S18" s="6">
        <f t="shared" si="0"/>
        <v>15.899999999999997</v>
      </c>
      <c r="T18" s="5">
        <f t="shared" si="1"/>
        <v>-5.7105419244304196E-4</v>
      </c>
      <c r="U18" s="3">
        <v>2.21</v>
      </c>
      <c r="V18" s="5">
        <f t="shared" si="2"/>
        <v>-2.5839556219142175E-4</v>
      </c>
      <c r="W18" s="3">
        <v>2.5839556219142202E-4</v>
      </c>
    </row>
    <row r="19" spans="1:23" x14ac:dyDescent="0.55000000000000004">
      <c r="A19" s="3">
        <v>7</v>
      </c>
      <c r="B19" s="3" t="s">
        <v>53</v>
      </c>
      <c r="C19" s="3" t="s">
        <v>49</v>
      </c>
      <c r="D19" s="3" t="s">
        <v>41</v>
      </c>
      <c r="E19" s="3" t="s">
        <v>32</v>
      </c>
      <c r="F19" s="3">
        <v>72</v>
      </c>
      <c r="G19" s="4">
        <v>27.3</v>
      </c>
      <c r="H19" s="4">
        <v>50.1</v>
      </c>
      <c r="I19" s="6">
        <v>3.7797621604991525</v>
      </c>
      <c r="J19" s="5">
        <v>7.0000000000000007E-2</v>
      </c>
      <c r="K19" s="4">
        <v>23.4</v>
      </c>
      <c r="L19" s="4">
        <v>45.8</v>
      </c>
      <c r="M19" s="6">
        <v>3.7144195662254815</v>
      </c>
      <c r="N19" s="5">
        <v>6.6000000000000003E-2</v>
      </c>
      <c r="O19" s="5">
        <v>6.5342594273670951E-2</v>
      </c>
      <c r="P19" s="5">
        <v>6.5342594273670951E-2</v>
      </c>
      <c r="Q19" s="8">
        <v>0.20833333333333334</v>
      </c>
      <c r="R19" s="8">
        <v>0.88541666666666663</v>
      </c>
      <c r="S19" s="6">
        <f t="shared" si="0"/>
        <v>16.25</v>
      </c>
      <c r="T19" s="5">
        <f t="shared" si="1"/>
        <v>4.0210827245335968E-3</v>
      </c>
      <c r="U19" s="3">
        <v>2.21</v>
      </c>
      <c r="V19" s="5">
        <f t="shared" si="2"/>
        <v>1.8194944454903155E-3</v>
      </c>
      <c r="W19" s="3">
        <v>1.8194944454903155E-3</v>
      </c>
    </row>
    <row r="20" spans="1:23" x14ac:dyDescent="0.55000000000000004">
      <c r="A20" s="3">
        <v>63</v>
      </c>
      <c r="B20" s="3" t="s">
        <v>51</v>
      </c>
      <c r="C20" s="3" t="s">
        <v>49</v>
      </c>
      <c r="D20" s="3" t="s">
        <v>39</v>
      </c>
      <c r="E20" s="3" t="s">
        <v>33</v>
      </c>
      <c r="F20" s="3">
        <v>75</v>
      </c>
      <c r="G20" s="4">
        <v>28.5</v>
      </c>
      <c r="H20" s="4">
        <v>61.6</v>
      </c>
      <c r="I20" s="6">
        <v>4.5485466226181419</v>
      </c>
      <c r="J20" s="5">
        <v>4.2999999999999997E-2</v>
      </c>
      <c r="K20" s="4">
        <v>24.4</v>
      </c>
      <c r="L20" s="4">
        <v>56</v>
      </c>
      <c r="M20" s="6">
        <v>4.456578391781326</v>
      </c>
      <c r="N20" s="5">
        <v>3.9E-2</v>
      </c>
      <c r="O20" s="5">
        <v>9.1968230836815934E-2</v>
      </c>
      <c r="P20" s="5">
        <v>9.1968230836815934E-2</v>
      </c>
      <c r="Q20" s="8">
        <v>0.20833333333333334</v>
      </c>
      <c r="R20" s="8">
        <v>0.88541666666666663</v>
      </c>
      <c r="S20" s="6">
        <f t="shared" si="0"/>
        <v>16.25</v>
      </c>
      <c r="T20" s="5">
        <f t="shared" si="1"/>
        <v>5.6595834361117502E-3</v>
      </c>
      <c r="U20" s="3">
        <v>2.21</v>
      </c>
      <c r="V20" s="5">
        <f t="shared" si="2"/>
        <v>2.5608974824035068E-3</v>
      </c>
      <c r="W20" s="3">
        <v>2.5608974824035068E-3</v>
      </c>
    </row>
    <row r="21" spans="1:23" x14ac:dyDescent="0.55000000000000004">
      <c r="A21" s="3">
        <v>62</v>
      </c>
      <c r="B21" s="3" t="s">
        <v>52</v>
      </c>
      <c r="C21" s="3" t="s">
        <v>49</v>
      </c>
      <c r="D21" s="3" t="s">
        <v>40</v>
      </c>
      <c r="E21" s="3" t="s">
        <v>35</v>
      </c>
      <c r="F21" s="3">
        <v>82</v>
      </c>
      <c r="G21" s="4">
        <v>32.1</v>
      </c>
      <c r="H21" s="4">
        <v>42.2</v>
      </c>
      <c r="I21" s="6">
        <v>2.927159666232638</v>
      </c>
      <c r="J21" s="5">
        <v>6.6000000000000003E-2</v>
      </c>
      <c r="K21" s="4">
        <v>27.7</v>
      </c>
      <c r="L21" s="4">
        <v>37.5</v>
      </c>
      <c r="M21" s="6">
        <v>2.8088597964725359</v>
      </c>
      <c r="N21" s="5">
        <v>6.3E-2</v>
      </c>
      <c r="O21" s="5">
        <v>0.11829986976010209</v>
      </c>
      <c r="P21" s="5">
        <v>0.11829986976010209</v>
      </c>
      <c r="Q21" s="8">
        <v>0.20833333333333334</v>
      </c>
      <c r="R21" s="8">
        <v>0.88541666666666663</v>
      </c>
      <c r="S21" s="6">
        <f t="shared" si="0"/>
        <v>16.25</v>
      </c>
      <c r="T21" s="5">
        <f t="shared" si="1"/>
        <v>7.2799919852370521E-3</v>
      </c>
      <c r="U21" s="3">
        <v>2.21</v>
      </c>
      <c r="V21" s="5">
        <f t="shared" si="2"/>
        <v>3.2941140204692542E-3</v>
      </c>
      <c r="W21" s="3">
        <v>3.2941140204692542E-3</v>
      </c>
    </row>
    <row r="22" spans="1:23" x14ac:dyDescent="0.55000000000000004">
      <c r="A22" s="3">
        <v>60</v>
      </c>
      <c r="B22" s="3" t="s">
        <v>51</v>
      </c>
      <c r="C22" s="3" t="s">
        <v>49</v>
      </c>
      <c r="D22" s="3" t="s">
        <v>39</v>
      </c>
      <c r="E22" s="2" t="s">
        <v>8</v>
      </c>
      <c r="F22" s="3">
        <v>5</v>
      </c>
      <c r="G22" s="4">
        <v>20.7</v>
      </c>
      <c r="H22" s="4">
        <v>98.6</v>
      </c>
      <c r="I22" s="6">
        <v>8.4268908081301035</v>
      </c>
      <c r="J22" s="5">
        <v>1.9E-2</v>
      </c>
      <c r="K22" s="4">
        <v>15.6</v>
      </c>
      <c r="L22" s="4">
        <v>87.3</v>
      </c>
      <c r="M22" s="6">
        <v>8.2869287955715905</v>
      </c>
      <c r="N22" s="5">
        <v>1.7999999999999999E-2</v>
      </c>
      <c r="O22" s="5">
        <v>0.13996201255851304</v>
      </c>
      <c r="P22" s="5">
        <v>0.13996201255851304</v>
      </c>
      <c r="Q22" s="8">
        <v>0.20833333333333334</v>
      </c>
      <c r="R22" s="8">
        <v>0.87083333333333324</v>
      </c>
      <c r="S22" s="6">
        <f t="shared" si="0"/>
        <v>15.899999999999997</v>
      </c>
      <c r="T22" s="5">
        <f t="shared" si="1"/>
        <v>8.8026422992775518E-3</v>
      </c>
      <c r="U22" s="3">
        <v>2.21</v>
      </c>
      <c r="V22" s="5">
        <f t="shared" si="2"/>
        <v>3.9830960630215162E-3</v>
      </c>
      <c r="W22" s="3">
        <v>3.9830960630215162E-3</v>
      </c>
    </row>
    <row r="23" spans="1:23" x14ac:dyDescent="0.55000000000000004">
      <c r="A23" s="3">
        <v>60</v>
      </c>
      <c r="B23" s="3" t="s">
        <v>51</v>
      </c>
      <c r="C23" s="3" t="s">
        <v>49</v>
      </c>
      <c r="D23" s="3" t="s">
        <v>39</v>
      </c>
      <c r="E23" s="2" t="s">
        <v>14</v>
      </c>
      <c r="F23" s="3">
        <v>10</v>
      </c>
      <c r="G23" s="4">
        <v>22.1</v>
      </c>
      <c r="H23" s="4">
        <v>84.8</v>
      </c>
      <c r="I23" s="6">
        <v>7.0513410864024761</v>
      </c>
      <c r="J23" s="5">
        <v>2.1999999999999999E-2</v>
      </c>
      <c r="K23" s="4">
        <v>19.899999999999999</v>
      </c>
      <c r="L23" s="4">
        <v>78.900000000000006</v>
      </c>
      <c r="M23" s="6">
        <v>6.8515146203283575</v>
      </c>
      <c r="N23" s="5">
        <v>2.1999999999999999E-2</v>
      </c>
      <c r="O23" s="5">
        <v>0.19982646607411869</v>
      </c>
      <c r="P23" s="5">
        <v>0.19982646607411869</v>
      </c>
      <c r="Q23" s="8">
        <v>0.20555555555555557</v>
      </c>
      <c r="R23" s="8">
        <v>0.86805555555555547</v>
      </c>
      <c r="S23" s="6">
        <f t="shared" si="0"/>
        <v>15.899999999999997</v>
      </c>
      <c r="T23" s="5">
        <f t="shared" si="1"/>
        <v>1.2567702268812498E-2</v>
      </c>
      <c r="U23" s="3">
        <v>2.21</v>
      </c>
      <c r="V23" s="5">
        <f t="shared" si="2"/>
        <v>5.6867431080599544E-3</v>
      </c>
      <c r="W23" s="3">
        <v>5.6867431080599544E-3</v>
      </c>
    </row>
    <row r="24" spans="1:23" x14ac:dyDescent="0.55000000000000004">
      <c r="A24" s="3">
        <v>21</v>
      </c>
      <c r="B24" s="3" t="s">
        <v>48</v>
      </c>
      <c r="C24" s="3" t="s">
        <v>49</v>
      </c>
      <c r="D24" s="3" t="s">
        <v>38</v>
      </c>
      <c r="E24" s="2" t="s">
        <v>13</v>
      </c>
      <c r="F24" s="3">
        <v>8</v>
      </c>
      <c r="G24" s="4">
        <v>22</v>
      </c>
      <c r="H24" s="4">
        <v>93.3</v>
      </c>
      <c r="I24" s="6">
        <v>7.7732126363063223</v>
      </c>
      <c r="J24" s="5">
        <v>2.4E-2</v>
      </c>
      <c r="K24" s="4">
        <v>19.2</v>
      </c>
      <c r="L24" s="4">
        <v>85.8</v>
      </c>
      <c r="M24" s="6">
        <v>7.5564749427528906</v>
      </c>
      <c r="N24" s="5">
        <v>2.3E-2</v>
      </c>
      <c r="O24" s="5">
        <v>0.21673769355343175</v>
      </c>
      <c r="P24" s="5">
        <v>0.21673769355343175</v>
      </c>
      <c r="Q24" s="8">
        <v>0.20833333333333334</v>
      </c>
      <c r="R24" s="8">
        <v>0.86319444444444438</v>
      </c>
      <c r="S24" s="6">
        <f t="shared" si="0"/>
        <v>15.716666666666665</v>
      </c>
      <c r="T24" s="5">
        <f t="shared" si="1"/>
        <v>1.379030923987901E-2</v>
      </c>
      <c r="U24" s="3">
        <v>2.21</v>
      </c>
      <c r="V24" s="5">
        <f t="shared" si="2"/>
        <v>6.2399589320719503E-3</v>
      </c>
      <c r="W24" s="3">
        <v>6.2399589320719503E-3</v>
      </c>
    </row>
    <row r="25" spans="1:23" x14ac:dyDescent="0.55000000000000004">
      <c r="A25" s="3">
        <v>53</v>
      </c>
      <c r="B25" s="3" t="s">
        <v>48</v>
      </c>
      <c r="C25" s="3" t="s">
        <v>49</v>
      </c>
      <c r="D25" s="3" t="s">
        <v>38</v>
      </c>
      <c r="E25" s="3" t="s">
        <v>33</v>
      </c>
      <c r="F25" s="3">
        <v>75</v>
      </c>
      <c r="G25" s="4">
        <v>28.4</v>
      </c>
      <c r="H25" s="4">
        <v>75.400000000000006</v>
      </c>
      <c r="I25" s="6">
        <v>5.5774489365537363</v>
      </c>
      <c r="J25" s="5">
        <v>5.6000000000000001E-2</v>
      </c>
      <c r="K25" s="4">
        <v>24.1</v>
      </c>
      <c r="L25" s="4">
        <v>66.7</v>
      </c>
      <c r="M25" s="6">
        <v>5.338151691474625</v>
      </c>
      <c r="N25" s="5">
        <v>0.05</v>
      </c>
      <c r="O25" s="5">
        <v>0.23929724507911132</v>
      </c>
      <c r="P25" s="5">
        <v>0.23929724507911132</v>
      </c>
      <c r="Q25" s="8">
        <v>0.20833333333333334</v>
      </c>
      <c r="R25" s="8">
        <v>0.88541666666666663</v>
      </c>
      <c r="S25" s="6">
        <f t="shared" si="0"/>
        <v>16.25</v>
      </c>
      <c r="T25" s="5">
        <f t="shared" si="1"/>
        <v>1.4725984312560697E-2</v>
      </c>
      <c r="U25" s="3">
        <v>2.21</v>
      </c>
      <c r="V25" s="5">
        <f t="shared" si="2"/>
        <v>6.6633413179007679E-3</v>
      </c>
      <c r="W25" s="3">
        <v>6.6633413179007679E-3</v>
      </c>
    </row>
    <row r="26" spans="1:23" x14ac:dyDescent="0.55000000000000004">
      <c r="A26" s="3">
        <v>15</v>
      </c>
      <c r="B26" s="3" t="s">
        <v>48</v>
      </c>
      <c r="C26" s="3" t="s">
        <v>49</v>
      </c>
      <c r="D26" s="3" t="s">
        <v>38</v>
      </c>
      <c r="E26" s="3" t="s">
        <v>33</v>
      </c>
      <c r="F26" s="3">
        <v>75</v>
      </c>
      <c r="G26" s="4">
        <v>27.1</v>
      </c>
      <c r="H26" s="4">
        <v>64.900000000000006</v>
      </c>
      <c r="I26" s="6">
        <v>4.9140733604332461</v>
      </c>
      <c r="J26" s="5">
        <v>0.08</v>
      </c>
      <c r="K26" s="4">
        <v>23.3</v>
      </c>
      <c r="L26" s="4">
        <v>57.3</v>
      </c>
      <c r="M26" s="6">
        <v>4.6559429733651738</v>
      </c>
      <c r="N26" s="5">
        <v>7.2999999999999995E-2</v>
      </c>
      <c r="O26" s="5">
        <v>0.25813038706807223</v>
      </c>
      <c r="P26" s="5">
        <v>0.25813038706807223</v>
      </c>
      <c r="Q26" s="8">
        <v>0.20833333333333334</v>
      </c>
      <c r="R26" s="8">
        <v>0.88541666666666663</v>
      </c>
      <c r="S26" s="6">
        <f t="shared" si="0"/>
        <v>16.25</v>
      </c>
      <c r="T26" s="5">
        <f t="shared" si="1"/>
        <v>1.5884946896496752E-2</v>
      </c>
      <c r="U26" s="3">
        <v>2.21</v>
      </c>
      <c r="V26" s="5">
        <f t="shared" si="2"/>
        <v>7.1877587766953632E-3</v>
      </c>
      <c r="W26" s="3">
        <v>7.1877587766953632E-3</v>
      </c>
    </row>
    <row r="27" spans="1:23" x14ac:dyDescent="0.55000000000000004">
      <c r="A27" s="3">
        <v>60</v>
      </c>
      <c r="B27" s="3" t="s">
        <v>51</v>
      </c>
      <c r="C27" s="3" t="s">
        <v>49</v>
      </c>
      <c r="D27" s="3" t="s">
        <v>39</v>
      </c>
      <c r="E27" s="2" t="s">
        <v>15</v>
      </c>
      <c r="F27" s="3">
        <v>12</v>
      </c>
      <c r="G27" s="4">
        <v>22.8</v>
      </c>
      <c r="H27" s="4">
        <v>103.4</v>
      </c>
      <c r="I27" s="6">
        <v>8.4825988919700066</v>
      </c>
      <c r="J27" s="5">
        <v>2.4E-2</v>
      </c>
      <c r="K27" s="4">
        <v>19.600000000000001</v>
      </c>
      <c r="L27" s="4">
        <v>94.2</v>
      </c>
      <c r="M27" s="6">
        <v>8.2295575363254301</v>
      </c>
      <c r="N27" s="5">
        <v>2.4E-2</v>
      </c>
      <c r="O27" s="5">
        <v>0.25304135564457653</v>
      </c>
      <c r="P27" s="5">
        <v>0.25304135564457653</v>
      </c>
      <c r="Q27" s="8">
        <v>0.21319444444444444</v>
      </c>
      <c r="R27" s="8">
        <v>0.875</v>
      </c>
      <c r="S27" s="6">
        <f t="shared" si="0"/>
        <v>15.883333333333333</v>
      </c>
      <c r="T27" s="5">
        <f t="shared" si="1"/>
        <v>1.5931250093047841E-2</v>
      </c>
      <c r="U27" s="3">
        <v>2.21</v>
      </c>
      <c r="V27" s="5">
        <f t="shared" si="2"/>
        <v>7.2087104493429146E-3</v>
      </c>
      <c r="W27" s="3">
        <v>7.2087104493429146E-3</v>
      </c>
    </row>
    <row r="28" spans="1:23" x14ac:dyDescent="0.55000000000000004">
      <c r="A28" s="3">
        <v>15</v>
      </c>
      <c r="B28" s="3" t="s">
        <v>48</v>
      </c>
      <c r="C28" s="3" t="s">
        <v>49</v>
      </c>
      <c r="D28" s="3" t="s">
        <v>38</v>
      </c>
      <c r="E28" s="3" t="s">
        <v>27</v>
      </c>
      <c r="F28" s="3">
        <v>54</v>
      </c>
      <c r="G28" s="4">
        <v>27</v>
      </c>
      <c r="H28" s="4">
        <v>60</v>
      </c>
      <c r="I28" s="6">
        <v>4.5512935706539857</v>
      </c>
      <c r="J28" s="5">
        <v>7.1999999999999995E-2</v>
      </c>
      <c r="K28" s="4">
        <v>24</v>
      </c>
      <c r="L28" s="4">
        <v>53.2</v>
      </c>
      <c r="M28" s="6">
        <v>4.2657575876077676</v>
      </c>
      <c r="N28" s="5">
        <v>6.9000000000000006E-2</v>
      </c>
      <c r="O28" s="5">
        <v>0.28553598304621808</v>
      </c>
      <c r="P28" s="5">
        <v>0.28553598304621808</v>
      </c>
      <c r="Q28" s="8">
        <v>0.20833333333333334</v>
      </c>
      <c r="R28" s="8">
        <v>0.89583333333333337</v>
      </c>
      <c r="S28" s="6">
        <f t="shared" si="0"/>
        <v>16.5</v>
      </c>
      <c r="T28" s="5">
        <f t="shared" si="1"/>
        <v>1.7305211093710186E-2</v>
      </c>
      <c r="U28" s="3">
        <v>2.21</v>
      </c>
      <c r="V28" s="5">
        <f t="shared" si="2"/>
        <v>7.8304122595973698E-3</v>
      </c>
      <c r="W28" s="3">
        <v>7.8304122595973698E-3</v>
      </c>
    </row>
    <row r="29" spans="1:23" x14ac:dyDescent="0.55000000000000004">
      <c r="A29" s="3">
        <v>28</v>
      </c>
      <c r="B29" s="3" t="s">
        <v>53</v>
      </c>
      <c r="C29" s="3" t="s">
        <v>50</v>
      </c>
      <c r="D29" s="3" t="s">
        <v>11</v>
      </c>
      <c r="E29" s="2" t="s">
        <v>8</v>
      </c>
      <c r="F29" s="3">
        <v>5</v>
      </c>
      <c r="G29" s="4">
        <v>20.9</v>
      </c>
      <c r="H29" s="4">
        <v>115.4</v>
      </c>
      <c r="I29" s="6">
        <v>9.82379350303062</v>
      </c>
      <c r="J29" s="5">
        <v>3.5000000000000003E-2</v>
      </c>
      <c r="K29" s="4">
        <v>15.9</v>
      </c>
      <c r="L29" s="4">
        <v>101.2</v>
      </c>
      <c r="M29" s="6">
        <v>9.5450180500234385</v>
      </c>
      <c r="N29" s="5">
        <v>3.1E-2</v>
      </c>
      <c r="O29" s="5">
        <v>0.27877545300718154</v>
      </c>
      <c r="P29" s="5">
        <v>0.27877545300718154</v>
      </c>
      <c r="Q29" s="8">
        <v>0.20833333333333334</v>
      </c>
      <c r="R29" s="8">
        <v>0.87083333333333324</v>
      </c>
      <c r="S29" s="6">
        <f t="shared" si="0"/>
        <v>15.899999999999997</v>
      </c>
      <c r="T29" s="5">
        <f t="shared" si="1"/>
        <v>1.753304735894224E-2</v>
      </c>
      <c r="U29" s="3">
        <v>2.21</v>
      </c>
      <c r="V29" s="5">
        <f t="shared" si="2"/>
        <v>7.9335055922815558E-3</v>
      </c>
      <c r="W29" s="3">
        <v>7.9335055922815558E-3</v>
      </c>
    </row>
    <row r="30" spans="1:23" x14ac:dyDescent="0.55000000000000004">
      <c r="A30" s="3">
        <v>58</v>
      </c>
      <c r="B30" s="3" t="s">
        <v>53</v>
      </c>
      <c r="C30" s="3" t="s">
        <v>49</v>
      </c>
      <c r="D30" s="3" t="s">
        <v>41</v>
      </c>
      <c r="E30" s="3" t="s">
        <v>35</v>
      </c>
      <c r="F30" s="3">
        <v>82</v>
      </c>
      <c r="G30" s="4">
        <v>31.4</v>
      </c>
      <c r="H30" s="4">
        <v>55.7</v>
      </c>
      <c r="I30" s="6">
        <v>3.9099778761342328</v>
      </c>
      <c r="J30" s="5">
        <v>7.4999999999999997E-2</v>
      </c>
      <c r="K30" s="4">
        <v>27.3</v>
      </c>
      <c r="L30" s="4">
        <v>47.9</v>
      </c>
      <c r="M30" s="6">
        <v>3.6137845805969944</v>
      </c>
      <c r="N30" s="5">
        <v>7.4999999999999997E-2</v>
      </c>
      <c r="O30" s="5">
        <v>0.29619329553723839</v>
      </c>
      <c r="P30" s="5">
        <v>0.29619329553723839</v>
      </c>
      <c r="Q30" s="8">
        <v>0.20833333333333334</v>
      </c>
      <c r="R30" s="8">
        <v>0.88541666666666663</v>
      </c>
      <c r="S30" s="6">
        <f t="shared" si="0"/>
        <v>16.25</v>
      </c>
      <c r="T30" s="5">
        <f t="shared" si="1"/>
        <v>1.8227279725368518E-2</v>
      </c>
      <c r="U30" s="3">
        <v>2.21</v>
      </c>
      <c r="V30" s="5">
        <f t="shared" si="2"/>
        <v>8.2476378847821351E-3</v>
      </c>
      <c r="W30" s="3">
        <v>8.2476378847821351E-3</v>
      </c>
    </row>
    <row r="31" spans="1:23" x14ac:dyDescent="0.55000000000000004">
      <c r="A31" s="3">
        <v>30</v>
      </c>
      <c r="B31" s="3" t="s">
        <v>52</v>
      </c>
      <c r="C31" s="3" t="s">
        <v>49</v>
      </c>
      <c r="D31" s="3" t="s">
        <v>40</v>
      </c>
      <c r="E31" s="3" t="s">
        <v>33</v>
      </c>
      <c r="F31" s="3">
        <v>75</v>
      </c>
      <c r="G31" s="4">
        <v>27.8</v>
      </c>
      <c r="H31" s="4">
        <v>63.3</v>
      </c>
      <c r="I31" s="6">
        <v>4.7328537902711814</v>
      </c>
      <c r="J31" s="5">
        <v>7.9000000000000001E-2</v>
      </c>
      <c r="K31" s="4">
        <v>23.8</v>
      </c>
      <c r="L31" s="4">
        <v>55.1</v>
      </c>
      <c r="M31" s="6">
        <v>4.4348455776228528</v>
      </c>
      <c r="N31" s="5">
        <v>7.2999999999999995E-2</v>
      </c>
      <c r="O31" s="5">
        <v>0.29800821264832855</v>
      </c>
      <c r="P31" s="5">
        <v>0.29800821264832855</v>
      </c>
      <c r="Q31" s="8">
        <v>0.20833333333333334</v>
      </c>
      <c r="R31" s="8">
        <v>0.88541666666666663</v>
      </c>
      <c r="S31" s="6">
        <f t="shared" si="0"/>
        <v>16.25</v>
      </c>
      <c r="T31" s="5">
        <f t="shared" si="1"/>
        <v>1.8338966932204832E-2</v>
      </c>
      <c r="U31" s="3">
        <v>2.21</v>
      </c>
      <c r="V31" s="5">
        <f t="shared" si="2"/>
        <v>8.2981750824456264E-3</v>
      </c>
      <c r="W31" s="3">
        <v>8.2981750824456264E-3</v>
      </c>
    </row>
    <row r="32" spans="1:23" x14ac:dyDescent="0.55000000000000004">
      <c r="A32" s="3">
        <v>23</v>
      </c>
      <c r="B32" s="3" t="s">
        <v>52</v>
      </c>
      <c r="C32" s="3" t="s">
        <v>49</v>
      </c>
      <c r="D32" s="3" t="s">
        <v>40</v>
      </c>
      <c r="E32" s="2" t="s">
        <v>18</v>
      </c>
      <c r="F32" s="3">
        <v>24</v>
      </c>
      <c r="G32" s="4">
        <v>22.1</v>
      </c>
      <c r="H32" s="4">
        <v>89.7</v>
      </c>
      <c r="I32" s="6">
        <v>7.4587888614422422</v>
      </c>
      <c r="J32" s="5">
        <v>3.5999999999999997E-2</v>
      </c>
      <c r="K32" s="4">
        <v>19.7</v>
      </c>
      <c r="L32" s="4">
        <v>82.1</v>
      </c>
      <c r="M32" s="6">
        <v>7.1580616614938277</v>
      </c>
      <c r="N32" s="5">
        <v>3.4000000000000002E-2</v>
      </c>
      <c r="O32" s="5">
        <v>0.30072719994841446</v>
      </c>
      <c r="P32" s="5">
        <v>0.30072719994841446</v>
      </c>
      <c r="Q32" s="8">
        <v>0.21180555555555555</v>
      </c>
      <c r="R32" s="8">
        <v>0.88194444444444453</v>
      </c>
      <c r="S32" s="6">
        <f t="shared" si="0"/>
        <v>16.083333333333336</v>
      </c>
      <c r="T32" s="5">
        <f t="shared" si="1"/>
        <v>1.8698064245497269E-2</v>
      </c>
      <c r="U32" s="3">
        <v>2.21</v>
      </c>
      <c r="V32" s="5">
        <f t="shared" si="2"/>
        <v>8.46066255452365E-3</v>
      </c>
      <c r="W32" s="3">
        <v>8.46066255452365E-3</v>
      </c>
    </row>
    <row r="33" spans="1:23" x14ac:dyDescent="0.55000000000000004">
      <c r="A33" s="3">
        <v>53</v>
      </c>
      <c r="B33" s="3" t="s">
        <v>48</v>
      </c>
      <c r="C33" s="3" t="s">
        <v>49</v>
      </c>
      <c r="D33" s="3" t="s">
        <v>38</v>
      </c>
      <c r="E33" s="2" t="s">
        <v>15</v>
      </c>
      <c r="F33" s="3">
        <v>12</v>
      </c>
      <c r="G33" s="4">
        <v>22.7</v>
      </c>
      <c r="H33" s="4">
        <v>101.1</v>
      </c>
      <c r="I33" s="6">
        <v>8.3098688241138259</v>
      </c>
      <c r="J33" s="5">
        <v>2.4E-2</v>
      </c>
      <c r="K33" s="4">
        <v>19.5</v>
      </c>
      <c r="L33" s="4">
        <v>91.5</v>
      </c>
      <c r="M33" s="6">
        <v>8.0097930186495105</v>
      </c>
      <c r="N33" s="5">
        <v>2.4E-2</v>
      </c>
      <c r="O33" s="5">
        <v>0.30007580546431534</v>
      </c>
      <c r="P33" s="5">
        <v>0.30007580546431534</v>
      </c>
      <c r="Q33" s="8">
        <v>0.21319444444444444</v>
      </c>
      <c r="R33" s="8">
        <v>0.875</v>
      </c>
      <c r="S33" s="6">
        <f t="shared" si="0"/>
        <v>15.883333333333333</v>
      </c>
      <c r="T33" s="5">
        <f t="shared" si="1"/>
        <v>1.8892495622097504E-2</v>
      </c>
      <c r="U33" s="3">
        <v>2.21</v>
      </c>
      <c r="V33" s="5">
        <f t="shared" si="2"/>
        <v>8.5486405529852962E-3</v>
      </c>
      <c r="W33" s="3">
        <v>8.5486405529852962E-3</v>
      </c>
    </row>
    <row r="34" spans="1:23" x14ac:dyDescent="0.55000000000000004">
      <c r="A34" s="3">
        <v>60</v>
      </c>
      <c r="B34" s="3" t="s">
        <v>51</v>
      </c>
      <c r="C34" s="3" t="s">
        <v>49</v>
      </c>
      <c r="D34" s="3" t="s">
        <v>39</v>
      </c>
      <c r="E34" s="2" t="s">
        <v>18</v>
      </c>
      <c r="F34" s="3">
        <v>24</v>
      </c>
      <c r="G34" s="4">
        <v>22.7</v>
      </c>
      <c r="H34" s="4">
        <v>94.9</v>
      </c>
      <c r="I34" s="6">
        <v>7.8002626252067477</v>
      </c>
      <c r="J34" s="5">
        <v>3.1E-2</v>
      </c>
      <c r="K34" s="4">
        <v>20.100000000000001</v>
      </c>
      <c r="L34" s="4">
        <v>86.6</v>
      </c>
      <c r="M34" s="6">
        <v>7.4901407917346816</v>
      </c>
      <c r="N34" s="5">
        <v>0.03</v>
      </c>
      <c r="O34" s="5">
        <v>0.31012183347206612</v>
      </c>
      <c r="P34" s="5">
        <v>0.31012183347206612</v>
      </c>
      <c r="Q34" s="8">
        <v>0.21180555555555555</v>
      </c>
      <c r="R34" s="8">
        <v>0.88194444444444453</v>
      </c>
      <c r="S34" s="6">
        <f t="shared" si="0"/>
        <v>16.083333333333336</v>
      </c>
      <c r="T34" s="5">
        <f t="shared" si="1"/>
        <v>1.928218653712328E-2</v>
      </c>
      <c r="U34" s="3">
        <v>2.21</v>
      </c>
      <c r="V34" s="5">
        <f t="shared" si="2"/>
        <v>8.7249712837661891E-3</v>
      </c>
      <c r="W34" s="3">
        <v>8.7249712837661891E-3</v>
      </c>
    </row>
    <row r="35" spans="1:23" x14ac:dyDescent="0.55000000000000004">
      <c r="A35" s="3">
        <v>59</v>
      </c>
      <c r="B35" s="3" t="s">
        <v>52</v>
      </c>
      <c r="C35" s="3" t="s">
        <v>49</v>
      </c>
      <c r="D35" s="3" t="s">
        <v>40</v>
      </c>
      <c r="E35" s="3" t="s">
        <v>35</v>
      </c>
      <c r="F35" s="3">
        <v>82</v>
      </c>
      <c r="G35" s="4">
        <v>32.1</v>
      </c>
      <c r="H35" s="4">
        <v>52.5</v>
      </c>
      <c r="I35" s="6">
        <v>3.6416085895074279</v>
      </c>
      <c r="J35" s="5">
        <v>6.3E-2</v>
      </c>
      <c r="K35" s="4">
        <v>27.8</v>
      </c>
      <c r="L35" s="4">
        <v>44.5</v>
      </c>
      <c r="M35" s="6">
        <v>3.3272036914228682</v>
      </c>
      <c r="N35" s="5">
        <v>0.06</v>
      </c>
      <c r="O35" s="5">
        <v>0.31440489808455974</v>
      </c>
      <c r="P35" s="5">
        <v>0.31440489808455974</v>
      </c>
      <c r="Q35" s="8">
        <v>0.20833333333333334</v>
      </c>
      <c r="R35" s="8">
        <v>0.88541666666666663</v>
      </c>
      <c r="S35" s="6">
        <f t="shared" si="0"/>
        <v>16.25</v>
      </c>
      <c r="T35" s="5">
        <f t="shared" si="1"/>
        <v>1.93479937282806E-2</v>
      </c>
      <c r="U35" s="3">
        <v>2.21</v>
      </c>
      <c r="V35" s="5">
        <f t="shared" si="2"/>
        <v>8.754748293339637E-3</v>
      </c>
      <c r="W35" s="3">
        <v>8.754748293339637E-3</v>
      </c>
    </row>
    <row r="36" spans="1:23" x14ac:dyDescent="0.55000000000000004">
      <c r="A36" s="3">
        <v>58</v>
      </c>
      <c r="B36" s="3" t="s">
        <v>53</v>
      </c>
      <c r="C36" s="3" t="s">
        <v>49</v>
      </c>
      <c r="D36" s="3" t="s">
        <v>41</v>
      </c>
      <c r="E36" s="2" t="s">
        <v>15</v>
      </c>
      <c r="F36" s="3">
        <v>12</v>
      </c>
      <c r="G36" s="4">
        <v>22.8</v>
      </c>
      <c r="H36" s="4">
        <v>98.9</v>
      </c>
      <c r="I36" s="6">
        <v>8.1134335630157999</v>
      </c>
      <c r="J36" s="5">
        <v>2.5999999999999999E-2</v>
      </c>
      <c r="K36" s="4">
        <v>19.600000000000001</v>
      </c>
      <c r="L36" s="4">
        <v>89.3</v>
      </c>
      <c r="M36" s="6">
        <v>7.8014807642660386</v>
      </c>
      <c r="N36" s="5">
        <v>2.5000000000000001E-2</v>
      </c>
      <c r="O36" s="5">
        <v>0.31195279874976123</v>
      </c>
      <c r="P36" s="5">
        <v>0.31195279874976123</v>
      </c>
      <c r="Q36" s="8">
        <v>0.21319444444444444</v>
      </c>
      <c r="R36" s="8">
        <v>0.875</v>
      </c>
      <c r="S36" s="6">
        <f t="shared" si="0"/>
        <v>15.883333333333333</v>
      </c>
      <c r="T36" s="5">
        <f t="shared" si="1"/>
        <v>1.9640260152136071E-2</v>
      </c>
      <c r="U36" s="3">
        <v>2.21</v>
      </c>
      <c r="V36" s="5">
        <f t="shared" si="2"/>
        <v>8.8869955439529729E-3</v>
      </c>
      <c r="W36" s="3">
        <v>8.8869955439529729E-3</v>
      </c>
    </row>
    <row r="37" spans="1:23" x14ac:dyDescent="0.55000000000000004">
      <c r="A37" s="3">
        <v>27</v>
      </c>
      <c r="B37" s="3" t="s">
        <v>48</v>
      </c>
      <c r="C37" s="3" t="s">
        <v>50</v>
      </c>
      <c r="D37" s="3" t="s">
        <v>10</v>
      </c>
      <c r="E37" s="2" t="s">
        <v>8</v>
      </c>
      <c r="F37" s="3">
        <v>5</v>
      </c>
      <c r="G37" s="4">
        <v>20.8</v>
      </c>
      <c r="H37" s="4">
        <v>117.3</v>
      </c>
      <c r="I37" s="6">
        <v>10.00528155745328</v>
      </c>
      <c r="J37" s="5">
        <v>3.9E-2</v>
      </c>
      <c r="K37" s="4">
        <v>15.8</v>
      </c>
      <c r="L37" s="4">
        <v>102.5</v>
      </c>
      <c r="M37" s="6">
        <v>9.6882721377947583</v>
      </c>
      <c r="N37" s="5">
        <v>3.3000000000000002E-2</v>
      </c>
      <c r="O37" s="5">
        <v>0.31700941965852181</v>
      </c>
      <c r="P37" s="5">
        <v>0.31700941965852181</v>
      </c>
      <c r="Q37" s="8">
        <v>0.20833333333333334</v>
      </c>
      <c r="R37" s="8">
        <v>0.87083333333333324</v>
      </c>
      <c r="S37" s="6">
        <f t="shared" si="0"/>
        <v>15.899999999999997</v>
      </c>
      <c r="T37" s="5">
        <f t="shared" si="1"/>
        <v>1.993769934959257E-2</v>
      </c>
      <c r="U37" s="3">
        <v>2.21</v>
      </c>
      <c r="V37" s="5">
        <f t="shared" si="2"/>
        <v>9.0215834161052368E-3</v>
      </c>
      <c r="W37" s="3">
        <v>9.0215834161052368E-3</v>
      </c>
    </row>
    <row r="38" spans="1:23" x14ac:dyDescent="0.55000000000000004">
      <c r="A38" s="3">
        <v>9</v>
      </c>
      <c r="B38" s="3" t="s">
        <v>48</v>
      </c>
      <c r="C38" s="3" t="s">
        <v>50</v>
      </c>
      <c r="D38" s="3" t="s">
        <v>10</v>
      </c>
      <c r="E38" s="2" t="s">
        <v>24</v>
      </c>
      <c r="F38" s="3">
        <v>44</v>
      </c>
      <c r="G38" s="4">
        <v>26.2</v>
      </c>
      <c r="H38" s="4">
        <v>88.3</v>
      </c>
      <c r="I38" s="6">
        <v>6.7963469530904073</v>
      </c>
      <c r="J38" s="5">
        <v>7.1999999999999995E-2</v>
      </c>
      <c r="K38" s="4">
        <v>21.7</v>
      </c>
      <c r="L38" s="4">
        <v>77.099999999999994</v>
      </c>
      <c r="M38" s="6">
        <v>6.461148148208852</v>
      </c>
      <c r="N38" s="5">
        <v>6.5000000000000002E-2</v>
      </c>
      <c r="O38" s="5">
        <v>0.33519880488155529</v>
      </c>
      <c r="P38" s="5">
        <v>0.33519880488155529</v>
      </c>
      <c r="Q38" s="8">
        <v>0.20277777777777781</v>
      </c>
      <c r="R38" s="8">
        <v>0.90277777777777779</v>
      </c>
      <c r="S38" s="6">
        <f t="shared" si="0"/>
        <v>16.799999999999997</v>
      </c>
      <c r="T38" s="5">
        <f t="shared" si="1"/>
        <v>1.9952309814378295E-2</v>
      </c>
      <c r="U38" s="3">
        <v>2.21</v>
      </c>
      <c r="V38" s="5">
        <f t="shared" si="2"/>
        <v>9.0281944861440259E-3</v>
      </c>
      <c r="W38" s="3">
        <v>9.0281944861440259E-3</v>
      </c>
    </row>
    <row r="39" spans="1:23" x14ac:dyDescent="0.55000000000000004">
      <c r="A39" s="3">
        <v>10</v>
      </c>
      <c r="B39" s="3" t="s">
        <v>51</v>
      </c>
      <c r="C39" s="3" t="s">
        <v>49</v>
      </c>
      <c r="D39" s="3" t="s">
        <v>39</v>
      </c>
      <c r="E39" s="2" t="s">
        <v>24</v>
      </c>
      <c r="F39" s="3">
        <v>44</v>
      </c>
      <c r="G39" s="4">
        <v>26</v>
      </c>
      <c r="H39" s="4">
        <v>90.1</v>
      </c>
      <c r="I39" s="6">
        <v>6.9603823401315283</v>
      </c>
      <c r="J39" s="5">
        <v>6.8000000000000005E-2</v>
      </c>
      <c r="K39" s="4">
        <v>21.5</v>
      </c>
      <c r="L39" s="4">
        <v>78.599999999999994</v>
      </c>
      <c r="M39" s="6">
        <v>6.6126410049698254</v>
      </c>
      <c r="N39" s="5">
        <v>6.2E-2</v>
      </c>
      <c r="O39" s="5">
        <v>0.34774133516170291</v>
      </c>
      <c r="P39" s="5">
        <v>0.34774133516170291</v>
      </c>
      <c r="Q39" s="8">
        <v>0.20277777777777781</v>
      </c>
      <c r="R39" s="8">
        <v>0.90277777777777779</v>
      </c>
      <c r="S39" s="6">
        <f t="shared" si="0"/>
        <v>16.799999999999997</v>
      </c>
      <c r="T39" s="5">
        <f t="shared" si="1"/>
        <v>2.0698888997720415E-2</v>
      </c>
      <c r="U39" s="3">
        <v>2.21</v>
      </c>
      <c r="V39" s="5">
        <f t="shared" si="2"/>
        <v>9.3660131211404599E-3</v>
      </c>
      <c r="W39" s="3">
        <v>9.3660131211404599E-3</v>
      </c>
    </row>
    <row r="40" spans="1:23" x14ac:dyDescent="0.55000000000000004">
      <c r="A40" s="3">
        <v>48</v>
      </c>
      <c r="B40" s="3" t="s">
        <v>52</v>
      </c>
      <c r="C40" s="3" t="s">
        <v>49</v>
      </c>
      <c r="D40" s="3" t="s">
        <v>40</v>
      </c>
      <c r="E40" s="3" t="s">
        <v>33</v>
      </c>
      <c r="F40" s="3">
        <v>75</v>
      </c>
      <c r="G40" s="4">
        <v>27.4</v>
      </c>
      <c r="H40" s="4">
        <v>50.5</v>
      </c>
      <c r="I40" s="6">
        <v>3.8030723515451683</v>
      </c>
      <c r="J40" s="5">
        <v>7.8E-2</v>
      </c>
      <c r="K40" s="4">
        <v>23.5</v>
      </c>
      <c r="L40" s="4">
        <v>42.7</v>
      </c>
      <c r="M40" s="6">
        <v>3.4564236748879993</v>
      </c>
      <c r="N40" s="5">
        <v>7.2999999999999995E-2</v>
      </c>
      <c r="O40" s="5">
        <v>0.34664867665716903</v>
      </c>
      <c r="P40" s="5">
        <v>0.34664867665716903</v>
      </c>
      <c r="Q40" s="8">
        <v>0.20833333333333334</v>
      </c>
      <c r="R40" s="8">
        <v>0.88541666666666663</v>
      </c>
      <c r="S40" s="6">
        <f t="shared" si="0"/>
        <v>16.25</v>
      </c>
      <c r="T40" s="5">
        <f t="shared" si="1"/>
        <v>2.1332226255825787E-2</v>
      </c>
      <c r="U40" s="3">
        <v>2.21</v>
      </c>
      <c r="V40" s="5">
        <f t="shared" si="2"/>
        <v>9.6525910659845202E-3</v>
      </c>
      <c r="W40" s="3">
        <v>9.6525910659845202E-3</v>
      </c>
    </row>
    <row r="41" spans="1:23" x14ac:dyDescent="0.55000000000000004">
      <c r="A41" s="3">
        <v>18</v>
      </c>
      <c r="B41" s="3" t="s">
        <v>51</v>
      </c>
      <c r="C41" s="3" t="s">
        <v>50</v>
      </c>
      <c r="D41" s="3" t="s">
        <v>9</v>
      </c>
      <c r="E41" s="2" t="s">
        <v>8</v>
      </c>
      <c r="F41" s="3">
        <v>5</v>
      </c>
      <c r="G41" s="4">
        <v>21</v>
      </c>
      <c r="H41" s="4">
        <v>117.6</v>
      </c>
      <c r="I41" s="6">
        <v>9.991348570242371</v>
      </c>
      <c r="J41" s="5">
        <v>3.3000000000000002E-2</v>
      </c>
      <c r="K41" s="4">
        <v>15.8</v>
      </c>
      <c r="L41" s="4">
        <v>102.1</v>
      </c>
      <c r="M41" s="6">
        <v>9.6504642465253134</v>
      </c>
      <c r="N41" s="5">
        <v>0.03</v>
      </c>
      <c r="O41" s="5">
        <v>0.34088432371705757</v>
      </c>
      <c r="P41" s="5">
        <v>0.34088432371705757</v>
      </c>
      <c r="Q41" s="8">
        <v>0.20833333333333334</v>
      </c>
      <c r="R41" s="8">
        <v>0.87083333333333324</v>
      </c>
      <c r="S41" s="6">
        <f t="shared" si="0"/>
        <v>15.899999999999997</v>
      </c>
      <c r="T41" s="5">
        <f t="shared" si="1"/>
        <v>2.143926564258224E-2</v>
      </c>
      <c r="U41" s="3">
        <v>2.21</v>
      </c>
      <c r="V41" s="5">
        <f t="shared" si="2"/>
        <v>9.7010251776390236E-3</v>
      </c>
      <c r="W41" s="3">
        <v>9.7010251776390236E-3</v>
      </c>
    </row>
    <row r="42" spans="1:23" x14ac:dyDescent="0.55000000000000004">
      <c r="A42" s="3">
        <v>48</v>
      </c>
      <c r="B42" s="3" t="s">
        <v>52</v>
      </c>
      <c r="C42" s="3" t="s">
        <v>49</v>
      </c>
      <c r="D42" s="3" t="s">
        <v>40</v>
      </c>
      <c r="E42" s="2" t="s">
        <v>15</v>
      </c>
      <c r="F42" s="3">
        <v>12</v>
      </c>
      <c r="G42" s="4">
        <v>22.6</v>
      </c>
      <c r="H42" s="4">
        <v>97.9</v>
      </c>
      <c r="I42" s="6">
        <v>8.0623475444529973</v>
      </c>
      <c r="J42" s="5">
        <v>2.7E-2</v>
      </c>
      <c r="K42" s="4">
        <v>19.600000000000001</v>
      </c>
      <c r="L42" s="4">
        <v>88.3</v>
      </c>
      <c r="M42" s="6">
        <v>7.7141181577233064</v>
      </c>
      <c r="N42" s="5">
        <v>2.5999999999999999E-2</v>
      </c>
      <c r="O42" s="5">
        <v>0.34822938672969084</v>
      </c>
      <c r="P42" s="5">
        <v>0.34822938672969084</v>
      </c>
      <c r="Q42" s="8">
        <v>0.21319444444444444</v>
      </c>
      <c r="R42" s="8">
        <v>0.875</v>
      </c>
      <c r="S42" s="6">
        <f t="shared" si="0"/>
        <v>15.883333333333333</v>
      </c>
      <c r="T42" s="5">
        <f t="shared" si="1"/>
        <v>2.192420063355871E-2</v>
      </c>
      <c r="U42" s="3">
        <v>2.21</v>
      </c>
      <c r="V42" s="5">
        <f t="shared" si="2"/>
        <v>9.9204527753659309E-3</v>
      </c>
      <c r="W42" s="3">
        <v>9.9204527753659309E-3</v>
      </c>
    </row>
    <row r="43" spans="1:23" x14ac:dyDescent="0.55000000000000004">
      <c r="A43" s="3">
        <v>45</v>
      </c>
      <c r="B43" s="3" t="s">
        <v>48</v>
      </c>
      <c r="C43" s="3" t="s">
        <v>50</v>
      </c>
      <c r="D43" s="3" t="s">
        <v>10</v>
      </c>
      <c r="E43" s="3" t="s">
        <v>27</v>
      </c>
      <c r="F43" s="3">
        <v>54</v>
      </c>
      <c r="G43" s="4">
        <v>25.3</v>
      </c>
      <c r="H43" s="4">
        <v>70</v>
      </c>
      <c r="I43" s="6">
        <v>5.4779444271363573</v>
      </c>
      <c r="J43" s="5">
        <v>5.7000000000000002E-2</v>
      </c>
      <c r="K43" s="4">
        <v>24.5</v>
      </c>
      <c r="L43" s="4">
        <v>64.3</v>
      </c>
      <c r="M43" s="6">
        <v>5.1075141499306129</v>
      </c>
      <c r="N43" s="5">
        <v>5.5E-2</v>
      </c>
      <c r="O43" s="5">
        <v>0.3704302772057444</v>
      </c>
      <c r="P43" s="5">
        <v>0.3704302772057444</v>
      </c>
      <c r="Q43" s="8">
        <v>0.20833333333333334</v>
      </c>
      <c r="R43" s="8">
        <v>0.89583333333333337</v>
      </c>
      <c r="S43" s="6">
        <f t="shared" si="0"/>
        <v>16.5</v>
      </c>
      <c r="T43" s="5">
        <f t="shared" si="1"/>
        <v>2.2450319830651176E-2</v>
      </c>
      <c r="U43" s="3">
        <v>2.21</v>
      </c>
      <c r="V43" s="5">
        <f t="shared" si="2"/>
        <v>1.0158515760475644E-2</v>
      </c>
      <c r="W43" s="3">
        <v>1.0158515760475644E-2</v>
      </c>
    </row>
    <row r="44" spans="1:23" x14ac:dyDescent="0.55000000000000004">
      <c r="A44" s="3">
        <v>32</v>
      </c>
      <c r="B44" s="3" t="s">
        <v>53</v>
      </c>
      <c r="C44" s="3" t="s">
        <v>50</v>
      </c>
      <c r="D44" s="3" t="s">
        <v>11</v>
      </c>
      <c r="E44" s="2" t="s">
        <v>18</v>
      </c>
      <c r="F44" s="3">
        <v>24</v>
      </c>
      <c r="G44" s="4">
        <v>22.3</v>
      </c>
      <c r="H44" s="4">
        <v>89.8</v>
      </c>
      <c r="I44" s="6">
        <v>7.4382329468682595</v>
      </c>
      <c r="J44" s="5">
        <v>4.5999999999999999E-2</v>
      </c>
      <c r="K44" s="4">
        <v>19.7</v>
      </c>
      <c r="L44" s="4">
        <v>81.099999999999994</v>
      </c>
      <c r="M44" s="6">
        <v>7.0708745523404319</v>
      </c>
      <c r="N44" s="5">
        <v>4.3999999999999997E-2</v>
      </c>
      <c r="O44" s="5">
        <v>0.36735839452782759</v>
      </c>
      <c r="P44" s="5">
        <v>0.36735839452782759</v>
      </c>
      <c r="Q44" s="8">
        <v>0.21180555555555555</v>
      </c>
      <c r="R44" s="8">
        <v>0.88194444444444453</v>
      </c>
      <c r="S44" s="6">
        <f t="shared" si="0"/>
        <v>16.083333333333336</v>
      </c>
      <c r="T44" s="5">
        <f t="shared" si="1"/>
        <v>2.2840936447326064E-2</v>
      </c>
      <c r="U44" s="3">
        <v>2.21</v>
      </c>
      <c r="V44" s="5">
        <f t="shared" si="2"/>
        <v>1.0335265360781025E-2</v>
      </c>
      <c r="W44" s="3">
        <v>1.0335265360781025E-2</v>
      </c>
    </row>
    <row r="45" spans="1:23" x14ac:dyDescent="0.55000000000000004">
      <c r="A45" s="3">
        <v>30</v>
      </c>
      <c r="B45" s="3" t="s">
        <v>52</v>
      </c>
      <c r="C45" s="3" t="s">
        <v>49</v>
      </c>
      <c r="D45" s="3" t="s">
        <v>40</v>
      </c>
      <c r="E45" s="2" t="s">
        <v>18</v>
      </c>
      <c r="F45" s="3">
        <v>24</v>
      </c>
      <c r="G45" s="4">
        <v>22.5</v>
      </c>
      <c r="H45" s="4">
        <v>87.6</v>
      </c>
      <c r="I45" s="6">
        <v>7.228029814364354</v>
      </c>
      <c r="J45" s="5">
        <v>3.5000000000000003E-2</v>
      </c>
      <c r="K45" s="4">
        <v>19.899999999999999</v>
      </c>
      <c r="L45" s="4">
        <v>79</v>
      </c>
      <c r="M45" s="6">
        <v>6.860198415791384</v>
      </c>
      <c r="N45" s="5">
        <v>3.3000000000000002E-2</v>
      </c>
      <c r="O45" s="5">
        <v>0.36783139857296998</v>
      </c>
      <c r="P45" s="5">
        <v>0.36783139857296998</v>
      </c>
      <c r="Q45" s="8">
        <v>0.21180555555555555</v>
      </c>
      <c r="R45" s="8">
        <v>0.88194444444444453</v>
      </c>
      <c r="S45" s="6">
        <f t="shared" si="0"/>
        <v>16.083333333333336</v>
      </c>
      <c r="T45" s="5">
        <f t="shared" si="1"/>
        <v>2.2870346025262379E-2</v>
      </c>
      <c r="U45" s="3">
        <v>2.21</v>
      </c>
      <c r="V45" s="5">
        <f t="shared" si="2"/>
        <v>1.0348572862109674E-2</v>
      </c>
      <c r="W45" s="3">
        <v>1.0348572862109674E-2</v>
      </c>
    </row>
    <row r="46" spans="1:23" x14ac:dyDescent="0.55000000000000004">
      <c r="A46" s="3">
        <v>15</v>
      </c>
      <c r="B46" s="3" t="s">
        <v>48</v>
      </c>
      <c r="C46" s="3" t="s">
        <v>49</v>
      </c>
      <c r="D46" s="3" t="s">
        <v>38</v>
      </c>
      <c r="E46" s="2" t="s">
        <v>22</v>
      </c>
      <c r="F46" s="3">
        <v>37</v>
      </c>
      <c r="G46" s="4">
        <v>28.2</v>
      </c>
      <c r="H46" s="4">
        <v>69.2</v>
      </c>
      <c r="I46" s="6">
        <v>5.1370998449770404</v>
      </c>
      <c r="J46" s="5">
        <v>6.3E-2</v>
      </c>
      <c r="K46" s="4">
        <v>24.2</v>
      </c>
      <c r="L46" s="4">
        <v>59.6</v>
      </c>
      <c r="M46" s="6">
        <v>4.760943364278825</v>
      </c>
      <c r="N46" s="5">
        <v>5.6000000000000001E-2</v>
      </c>
      <c r="O46" s="5">
        <v>0.37615648069821539</v>
      </c>
      <c r="P46" s="5">
        <v>0.37615648069821539</v>
      </c>
      <c r="Q46" s="8">
        <v>0.20138888888888887</v>
      </c>
      <c r="R46" s="8">
        <v>0.88541666666666663</v>
      </c>
      <c r="S46" s="6">
        <f t="shared" si="0"/>
        <v>16.416666666666668</v>
      </c>
      <c r="T46" s="5">
        <f t="shared" si="1"/>
        <v>2.2913085118673016E-2</v>
      </c>
      <c r="U46" s="3">
        <v>2.21</v>
      </c>
      <c r="V46" s="5">
        <f t="shared" si="2"/>
        <v>1.0367911818404081E-2</v>
      </c>
      <c r="W46" s="3">
        <v>1.0367911818404081E-2</v>
      </c>
    </row>
    <row r="47" spans="1:23" x14ac:dyDescent="0.55000000000000004">
      <c r="A47" s="3">
        <v>42</v>
      </c>
      <c r="B47" s="3" t="s">
        <v>53</v>
      </c>
      <c r="C47" s="3" t="s">
        <v>49</v>
      </c>
      <c r="D47" s="3" t="s">
        <v>41</v>
      </c>
      <c r="E47" s="2" t="s">
        <v>15</v>
      </c>
      <c r="F47" s="3">
        <v>12</v>
      </c>
      <c r="G47" s="4">
        <v>22.6</v>
      </c>
      <c r="H47" s="4">
        <v>92.8</v>
      </c>
      <c r="I47" s="6">
        <v>7.6423478255897672</v>
      </c>
      <c r="J47" s="5">
        <v>2.7E-2</v>
      </c>
      <c r="K47" s="4">
        <v>19.5</v>
      </c>
      <c r="L47" s="4">
        <v>83</v>
      </c>
      <c r="M47" s="6">
        <v>7.2657138857695021</v>
      </c>
      <c r="N47" s="5">
        <v>2.8000000000000001E-2</v>
      </c>
      <c r="O47" s="5">
        <v>0.37663393982026516</v>
      </c>
      <c r="P47" s="5">
        <v>0.37663393982026516</v>
      </c>
      <c r="Q47" s="8">
        <v>0.21319444444444444</v>
      </c>
      <c r="R47" s="8">
        <v>0.875</v>
      </c>
      <c r="S47" s="6">
        <f t="shared" si="0"/>
        <v>15.883333333333333</v>
      </c>
      <c r="T47" s="5">
        <f t="shared" si="1"/>
        <v>2.3712525067382906E-2</v>
      </c>
      <c r="U47" s="3">
        <v>2.21</v>
      </c>
      <c r="V47" s="5">
        <f t="shared" si="2"/>
        <v>1.0729649351756972E-2</v>
      </c>
      <c r="W47" s="3">
        <v>1.0729649351756972E-2</v>
      </c>
    </row>
    <row r="48" spans="1:23" x14ac:dyDescent="0.55000000000000004">
      <c r="A48" s="3">
        <v>63</v>
      </c>
      <c r="B48" s="3" t="s">
        <v>51</v>
      </c>
      <c r="C48" s="3" t="s">
        <v>49</v>
      </c>
      <c r="D48" s="3" t="s">
        <v>39</v>
      </c>
      <c r="E48" s="2" t="s">
        <v>18</v>
      </c>
      <c r="F48" s="3">
        <v>24</v>
      </c>
      <c r="G48" s="4">
        <v>22.6</v>
      </c>
      <c r="H48" s="4">
        <v>90.9</v>
      </c>
      <c r="I48" s="6">
        <v>7.4858773420917011</v>
      </c>
      <c r="J48" s="5">
        <v>2.9000000000000001E-2</v>
      </c>
      <c r="K48" s="4">
        <v>20.2</v>
      </c>
      <c r="L48" s="4">
        <v>82.3</v>
      </c>
      <c r="M48" s="6">
        <v>7.1040353606083508</v>
      </c>
      <c r="N48" s="5">
        <v>2.9000000000000001E-2</v>
      </c>
      <c r="O48" s="5">
        <v>0.38184198148335025</v>
      </c>
      <c r="P48" s="5">
        <v>0.38184198148335025</v>
      </c>
      <c r="Q48" s="8">
        <v>0.21180555555555555</v>
      </c>
      <c r="R48" s="8">
        <v>0.88194444444444453</v>
      </c>
      <c r="S48" s="6">
        <f t="shared" si="0"/>
        <v>16.083333333333336</v>
      </c>
      <c r="T48" s="5">
        <f t="shared" si="1"/>
        <v>2.3741470351296385E-2</v>
      </c>
      <c r="U48" s="3">
        <v>2.21</v>
      </c>
      <c r="V48" s="5">
        <f t="shared" si="2"/>
        <v>1.0742746765292483E-2</v>
      </c>
      <c r="W48" s="3">
        <v>1.0742746765292483E-2</v>
      </c>
    </row>
    <row r="49" spans="1:23" x14ac:dyDescent="0.55000000000000004">
      <c r="A49" s="3">
        <v>52</v>
      </c>
      <c r="B49" s="3" t="s">
        <v>48</v>
      </c>
      <c r="C49" s="3" t="s">
        <v>49</v>
      </c>
      <c r="D49" s="3" t="s">
        <v>38</v>
      </c>
      <c r="E49" s="3" t="s">
        <v>33</v>
      </c>
      <c r="F49" s="3">
        <v>75</v>
      </c>
      <c r="G49" s="4">
        <v>27.7</v>
      </c>
      <c r="H49" s="4">
        <v>60.1</v>
      </c>
      <c r="I49" s="6">
        <v>4.5016659671466508</v>
      </c>
      <c r="J49" s="5">
        <v>7.9000000000000001E-2</v>
      </c>
      <c r="K49" s="4">
        <v>23.7</v>
      </c>
      <c r="L49" s="4">
        <v>51</v>
      </c>
      <c r="M49" s="6">
        <v>4.1126332959954874</v>
      </c>
      <c r="N49" s="5">
        <v>7.2999999999999995E-2</v>
      </c>
      <c r="O49" s="5">
        <v>0.38903267115116336</v>
      </c>
      <c r="P49" s="5">
        <v>0.38903267115116336</v>
      </c>
      <c r="Q49" s="8">
        <v>0.20833333333333334</v>
      </c>
      <c r="R49" s="8">
        <v>0.88541666666666663</v>
      </c>
      <c r="S49" s="6">
        <f t="shared" si="0"/>
        <v>16.25</v>
      </c>
      <c r="T49" s="5">
        <f t="shared" si="1"/>
        <v>2.3940472070840824E-2</v>
      </c>
      <c r="U49" s="3">
        <v>2.21</v>
      </c>
      <c r="V49" s="5">
        <f t="shared" si="2"/>
        <v>1.0832792792235665E-2</v>
      </c>
      <c r="W49" s="3">
        <v>1.0832792792235665E-2</v>
      </c>
    </row>
    <row r="50" spans="1:23" x14ac:dyDescent="0.55000000000000004">
      <c r="A50" s="3">
        <v>5</v>
      </c>
      <c r="B50" s="3" t="s">
        <v>48</v>
      </c>
      <c r="C50" s="3" t="s">
        <v>49</v>
      </c>
      <c r="D50" s="3" t="s">
        <v>38</v>
      </c>
      <c r="E50" s="2" t="s">
        <v>8</v>
      </c>
      <c r="F50" s="3">
        <v>5</v>
      </c>
      <c r="G50" s="4">
        <v>21.1</v>
      </c>
      <c r="H50" s="4">
        <v>102.7</v>
      </c>
      <c r="I50" s="6">
        <v>8.7082694828822067</v>
      </c>
      <c r="J50" s="5">
        <v>1.9E-2</v>
      </c>
      <c r="K50" s="4">
        <v>15.5</v>
      </c>
      <c r="L50" s="4">
        <v>87.5</v>
      </c>
      <c r="M50" s="6">
        <v>8.3237322829769944</v>
      </c>
      <c r="N50" s="5">
        <v>1.7999999999999999E-2</v>
      </c>
      <c r="O50" s="5">
        <v>0.38453719990521229</v>
      </c>
      <c r="P50" s="5">
        <v>0.38453719990521229</v>
      </c>
      <c r="Q50" s="8">
        <v>0.20833333333333334</v>
      </c>
      <c r="R50" s="8">
        <v>0.87083333333333324</v>
      </c>
      <c r="S50" s="6">
        <f t="shared" si="0"/>
        <v>15.899999999999997</v>
      </c>
      <c r="T50" s="5">
        <f t="shared" si="1"/>
        <v>2.4184729553786942E-2</v>
      </c>
      <c r="U50" s="3">
        <v>2.21</v>
      </c>
      <c r="V50" s="5">
        <f t="shared" si="2"/>
        <v>1.0943316540175087E-2</v>
      </c>
      <c r="W50" s="3">
        <v>1.0943316540175087E-2</v>
      </c>
    </row>
    <row r="51" spans="1:23" x14ac:dyDescent="0.55000000000000004">
      <c r="A51" s="3">
        <v>57</v>
      </c>
      <c r="B51" s="3" t="s">
        <v>52</v>
      </c>
      <c r="C51" s="3" t="s">
        <v>50</v>
      </c>
      <c r="D51" s="3" t="s">
        <v>12</v>
      </c>
      <c r="E51" s="2" t="s">
        <v>16</v>
      </c>
      <c r="F51" s="3">
        <v>16</v>
      </c>
      <c r="G51" s="4">
        <v>20.9</v>
      </c>
      <c r="H51" s="4">
        <v>92.2</v>
      </c>
      <c r="I51" s="6">
        <v>7.8488194192324361</v>
      </c>
      <c r="J51" s="5">
        <v>3.6999999999999998E-2</v>
      </c>
      <c r="K51" s="4">
        <v>19.7</v>
      </c>
      <c r="L51" s="4">
        <v>85.5</v>
      </c>
      <c r="M51" s="6">
        <v>7.4544978326153766</v>
      </c>
      <c r="N51" s="5">
        <v>3.5000000000000003E-2</v>
      </c>
      <c r="O51" s="5">
        <v>0.39432158661705952</v>
      </c>
      <c r="P51" s="5">
        <v>0.39432158661705952</v>
      </c>
      <c r="Q51" s="8">
        <v>0.20833333333333334</v>
      </c>
      <c r="R51" s="8">
        <v>0.86805555555555547</v>
      </c>
      <c r="S51" s="6">
        <f t="shared" si="0"/>
        <v>15.83333333333333</v>
      </c>
      <c r="T51" s="5">
        <f t="shared" si="1"/>
        <v>2.4904521260024817E-2</v>
      </c>
      <c r="U51" s="3">
        <v>2.21</v>
      </c>
      <c r="V51" s="5">
        <f t="shared" si="2"/>
        <v>1.1269014144807609E-2</v>
      </c>
      <c r="W51" s="3">
        <v>1.1269014144807609E-2</v>
      </c>
    </row>
    <row r="52" spans="1:23" x14ac:dyDescent="0.55000000000000004">
      <c r="A52" s="3">
        <v>62</v>
      </c>
      <c r="B52" s="3" t="s">
        <v>52</v>
      </c>
      <c r="C52" s="3" t="s">
        <v>49</v>
      </c>
      <c r="D52" s="3" t="s">
        <v>40</v>
      </c>
      <c r="E52" s="2" t="s">
        <v>18</v>
      </c>
      <c r="F52" s="3">
        <v>24</v>
      </c>
      <c r="G52" s="4">
        <v>22.5</v>
      </c>
      <c r="H52" s="4">
        <v>94.4</v>
      </c>
      <c r="I52" s="6">
        <v>7.7891097542921806</v>
      </c>
      <c r="J52" s="5">
        <v>3.4000000000000002E-2</v>
      </c>
      <c r="K52" s="4">
        <v>20</v>
      </c>
      <c r="L52" s="4">
        <v>85.2</v>
      </c>
      <c r="M52" s="6">
        <v>7.3837976187865264</v>
      </c>
      <c r="N52" s="5">
        <v>3.3000000000000002E-2</v>
      </c>
      <c r="O52" s="5">
        <v>0.40531213550565415</v>
      </c>
      <c r="P52" s="5">
        <v>0.40531213550565415</v>
      </c>
      <c r="Q52" s="8">
        <v>0.21180555555555555</v>
      </c>
      <c r="R52" s="8">
        <v>0.88194444444444453</v>
      </c>
      <c r="S52" s="6">
        <f t="shared" si="0"/>
        <v>16.083333333333336</v>
      </c>
      <c r="T52" s="5">
        <f t="shared" si="1"/>
        <v>2.5200754539211653E-2</v>
      </c>
      <c r="U52" s="3">
        <v>2.21</v>
      </c>
      <c r="V52" s="5">
        <f t="shared" si="2"/>
        <v>1.1403056352584458E-2</v>
      </c>
      <c r="W52" s="3">
        <v>1.1403056352584458E-2</v>
      </c>
    </row>
    <row r="53" spans="1:23" x14ac:dyDescent="0.55000000000000004">
      <c r="A53" s="3">
        <v>24</v>
      </c>
      <c r="B53" s="3" t="s">
        <v>52</v>
      </c>
      <c r="C53" s="3" t="s">
        <v>49</v>
      </c>
      <c r="D53" s="3" t="s">
        <v>40</v>
      </c>
      <c r="E53" s="2" t="s">
        <v>24</v>
      </c>
      <c r="F53" s="3">
        <v>44</v>
      </c>
      <c r="G53" s="4">
        <v>25.9</v>
      </c>
      <c r="H53" s="4">
        <v>103.6</v>
      </c>
      <c r="I53" s="6">
        <v>8.0180066249967847</v>
      </c>
      <c r="J53" s="5">
        <v>5.2999999999999999E-2</v>
      </c>
      <c r="K53" s="4">
        <v>21.3</v>
      </c>
      <c r="L53" s="4">
        <v>89.8</v>
      </c>
      <c r="M53" s="6">
        <v>7.5845664046280845</v>
      </c>
      <c r="N53" s="5">
        <v>4.7E-2</v>
      </c>
      <c r="O53" s="5">
        <v>0.43344022036870022</v>
      </c>
      <c r="P53" s="5">
        <v>0.43344022036870022</v>
      </c>
      <c r="Q53" s="8">
        <v>0.20277777777777781</v>
      </c>
      <c r="R53" s="8">
        <v>0.90277777777777779</v>
      </c>
      <c r="S53" s="6">
        <f t="shared" si="0"/>
        <v>16.799999999999997</v>
      </c>
      <c r="T53" s="5">
        <f t="shared" si="1"/>
        <v>2.580001311718454E-2</v>
      </c>
      <c r="U53" s="3">
        <v>2.21</v>
      </c>
      <c r="V53" s="5">
        <f t="shared" si="2"/>
        <v>1.1674214080174002E-2</v>
      </c>
      <c r="W53" s="3">
        <v>1.1674214080174002E-2</v>
      </c>
    </row>
    <row r="54" spans="1:23" x14ac:dyDescent="0.55000000000000004">
      <c r="A54" s="3">
        <v>10</v>
      </c>
      <c r="B54" s="3" t="s">
        <v>51</v>
      </c>
      <c r="C54" s="3" t="s">
        <v>49</v>
      </c>
      <c r="D54" s="3" t="s">
        <v>39</v>
      </c>
      <c r="E54" s="2" t="s">
        <v>8</v>
      </c>
      <c r="F54" s="3">
        <v>5</v>
      </c>
      <c r="G54" s="4">
        <v>21.4</v>
      </c>
      <c r="H54" s="4">
        <v>108.2</v>
      </c>
      <c r="I54" s="6">
        <v>9.1207394934638781</v>
      </c>
      <c r="J54" s="5">
        <v>2.1000000000000001E-2</v>
      </c>
      <c r="K54" s="4">
        <v>15.9</v>
      </c>
      <c r="L54" s="4">
        <v>92.3</v>
      </c>
      <c r="M54" s="6">
        <v>8.7055846444383729</v>
      </c>
      <c r="N54" s="5">
        <v>0.02</v>
      </c>
      <c r="O54" s="5">
        <v>0.41515484902550526</v>
      </c>
      <c r="P54" s="5">
        <v>0.41515484902550526</v>
      </c>
      <c r="Q54" s="8">
        <v>0.20833333333333334</v>
      </c>
      <c r="R54" s="8">
        <v>0.87083333333333324</v>
      </c>
      <c r="S54" s="6">
        <f t="shared" si="0"/>
        <v>15.899999999999997</v>
      </c>
      <c r="T54" s="5">
        <f t="shared" si="1"/>
        <v>2.611036786323933E-2</v>
      </c>
      <c r="U54" s="3">
        <v>2.21</v>
      </c>
      <c r="V54" s="5">
        <f t="shared" si="2"/>
        <v>1.1814646091963497E-2</v>
      </c>
      <c r="W54" s="3">
        <v>1.1814646091963497E-2</v>
      </c>
    </row>
    <row r="55" spans="1:23" x14ac:dyDescent="0.55000000000000004">
      <c r="A55" s="3">
        <v>22</v>
      </c>
      <c r="B55" s="3" t="s">
        <v>48</v>
      </c>
      <c r="C55" s="3" t="s">
        <v>49</v>
      </c>
      <c r="D55" s="3" t="s">
        <v>38</v>
      </c>
      <c r="E55" s="2" t="s">
        <v>19</v>
      </c>
      <c r="F55" s="3">
        <v>26</v>
      </c>
      <c r="G55" s="4">
        <v>24.5</v>
      </c>
      <c r="H55" s="4">
        <v>95.3</v>
      </c>
      <c r="I55" s="6">
        <v>7.5699237712035368</v>
      </c>
      <c r="J55" s="5">
        <v>3.9E-2</v>
      </c>
      <c r="K55" s="4">
        <v>22.5</v>
      </c>
      <c r="L55" s="4">
        <v>86.6</v>
      </c>
      <c r="M55" s="6">
        <v>7.1455180584926143</v>
      </c>
      <c r="N55" s="5">
        <v>3.6999999999999998E-2</v>
      </c>
      <c r="O55" s="5">
        <v>0.42440571271092242</v>
      </c>
      <c r="P55" s="5">
        <v>0.42440571271092242</v>
      </c>
      <c r="Q55" s="8">
        <v>0.20833333333333334</v>
      </c>
      <c r="R55" s="8">
        <v>0.88541666666666663</v>
      </c>
      <c r="S55" s="6">
        <f t="shared" si="0"/>
        <v>16.25</v>
      </c>
      <c r="T55" s="5">
        <f t="shared" si="1"/>
        <v>2.6117274628364457E-2</v>
      </c>
      <c r="U55" s="3">
        <v>2.21</v>
      </c>
      <c r="V55" s="5">
        <f t="shared" si="2"/>
        <v>1.1817771325051791E-2</v>
      </c>
      <c r="W55" s="3">
        <v>1.1817771325051791E-2</v>
      </c>
    </row>
    <row r="56" spans="1:23" x14ac:dyDescent="0.55000000000000004">
      <c r="A56" s="3">
        <v>60</v>
      </c>
      <c r="B56" s="3" t="s">
        <v>51</v>
      </c>
      <c r="C56" s="3" t="s">
        <v>49</v>
      </c>
      <c r="D56" s="3" t="s">
        <v>39</v>
      </c>
      <c r="E56" s="3" t="s">
        <v>35</v>
      </c>
      <c r="F56" s="3">
        <v>82</v>
      </c>
      <c r="G56" s="4">
        <v>32.5</v>
      </c>
      <c r="H56" s="4">
        <v>50.2</v>
      </c>
      <c r="I56" s="6">
        <v>3.4585548925570806</v>
      </c>
      <c r="J56" s="5">
        <v>5.8999999999999997E-2</v>
      </c>
      <c r="K56" s="4">
        <v>28.4</v>
      </c>
      <c r="L56" s="4">
        <v>40.9</v>
      </c>
      <c r="M56" s="6">
        <v>3.0254331764595195</v>
      </c>
      <c r="N56" s="5">
        <v>5.8999999999999997E-2</v>
      </c>
      <c r="O56" s="5">
        <v>0.43312171609756112</v>
      </c>
      <c r="P56" s="5">
        <v>0.43312171609756112</v>
      </c>
      <c r="Q56" s="8">
        <v>0.20833333333333334</v>
      </c>
      <c r="R56" s="8">
        <v>0.88541666666666663</v>
      </c>
      <c r="S56" s="6">
        <f t="shared" si="0"/>
        <v>16.25</v>
      </c>
      <c r="T56" s="5">
        <f t="shared" si="1"/>
        <v>2.6653644067542222E-2</v>
      </c>
      <c r="U56" s="3">
        <v>2.21</v>
      </c>
      <c r="V56" s="5">
        <f t="shared" si="2"/>
        <v>1.2060472428752137E-2</v>
      </c>
      <c r="W56" s="3">
        <v>1.2060472428752137E-2</v>
      </c>
    </row>
    <row r="57" spans="1:23" x14ac:dyDescent="0.55000000000000004">
      <c r="A57" s="3">
        <v>21</v>
      </c>
      <c r="B57" s="3" t="s">
        <v>48</v>
      </c>
      <c r="C57" s="3" t="s">
        <v>49</v>
      </c>
      <c r="D57" s="3" t="s">
        <v>38</v>
      </c>
      <c r="E57" s="3" t="s">
        <v>28</v>
      </c>
      <c r="F57" s="3">
        <v>58</v>
      </c>
      <c r="G57" s="4">
        <v>27</v>
      </c>
      <c r="H57" s="4">
        <v>65.7</v>
      </c>
      <c r="I57" s="6">
        <v>4.9836664598661136</v>
      </c>
      <c r="J57" s="5">
        <v>8.5999999999999993E-2</v>
      </c>
      <c r="K57" s="4">
        <v>23.2</v>
      </c>
      <c r="L57" s="4">
        <v>55.8</v>
      </c>
      <c r="M57" s="6">
        <v>4.5427197884018415</v>
      </c>
      <c r="N57" s="5">
        <v>8.6999999999999994E-2</v>
      </c>
      <c r="O57" s="5">
        <v>0.44094667146427202</v>
      </c>
      <c r="P57" s="5">
        <v>0.44094667146427202</v>
      </c>
      <c r="Q57" s="8">
        <v>0.20833333333333334</v>
      </c>
      <c r="R57" s="8">
        <v>0.88888888888888884</v>
      </c>
      <c r="S57" s="6">
        <f t="shared" si="0"/>
        <v>16.333333333333332</v>
      </c>
      <c r="T57" s="5">
        <f t="shared" si="1"/>
        <v>2.6996734987608493E-2</v>
      </c>
      <c r="U57" s="3">
        <v>2.21</v>
      </c>
      <c r="V57" s="5">
        <f t="shared" si="2"/>
        <v>1.221571718896312E-2</v>
      </c>
      <c r="W57" s="3">
        <v>1.221571718896312E-2</v>
      </c>
    </row>
    <row r="58" spans="1:23" x14ac:dyDescent="0.55000000000000004">
      <c r="A58" s="3">
        <v>45</v>
      </c>
      <c r="B58" s="3" t="s">
        <v>48</v>
      </c>
      <c r="C58" s="3" t="s">
        <v>50</v>
      </c>
      <c r="D58" s="3" t="s">
        <v>10</v>
      </c>
      <c r="E58" s="3" t="s">
        <v>33</v>
      </c>
      <c r="F58" s="3">
        <v>75</v>
      </c>
      <c r="G58" s="4">
        <v>28.1</v>
      </c>
      <c r="H58" s="4">
        <v>73.3</v>
      </c>
      <c r="I58" s="6">
        <v>5.4511888712706114</v>
      </c>
      <c r="J58" s="5">
        <v>6.0999999999999999E-2</v>
      </c>
      <c r="K58" s="4">
        <v>23.8</v>
      </c>
      <c r="L58" s="4">
        <v>62.2</v>
      </c>
      <c r="M58" s="6">
        <v>5.0063048081332386</v>
      </c>
      <c r="N58" s="5">
        <v>5.2999999999999999E-2</v>
      </c>
      <c r="O58" s="5">
        <v>0.44488406313737272</v>
      </c>
      <c r="P58" s="5">
        <v>0.44488406313737272</v>
      </c>
      <c r="Q58" s="8">
        <v>0.20833333333333334</v>
      </c>
      <c r="R58" s="8">
        <v>0.88541666666666663</v>
      </c>
      <c r="S58" s="6">
        <f t="shared" si="0"/>
        <v>16.25</v>
      </c>
      <c r="T58" s="5">
        <f t="shared" si="1"/>
        <v>2.7377480808453706E-2</v>
      </c>
      <c r="U58" s="3">
        <v>2.21</v>
      </c>
      <c r="V58" s="5">
        <f t="shared" si="2"/>
        <v>1.2388000365816157E-2</v>
      </c>
      <c r="W58" s="3">
        <v>1.2388000365816157E-2</v>
      </c>
    </row>
    <row r="59" spans="1:23" x14ac:dyDescent="0.55000000000000004">
      <c r="A59" s="3">
        <v>46</v>
      </c>
      <c r="B59" s="3" t="s">
        <v>51</v>
      </c>
      <c r="C59" s="3" t="s">
        <v>49</v>
      </c>
      <c r="D59" s="3" t="s">
        <v>39</v>
      </c>
      <c r="E59" s="2" t="s">
        <v>18</v>
      </c>
      <c r="F59" s="3">
        <v>24</v>
      </c>
      <c r="G59" s="4">
        <v>22.5</v>
      </c>
      <c r="H59" s="4">
        <v>93.4</v>
      </c>
      <c r="I59" s="6">
        <v>7.7065979984204418</v>
      </c>
      <c r="J59" s="5">
        <v>2.9000000000000001E-2</v>
      </c>
      <c r="K59" s="4">
        <v>20.100000000000001</v>
      </c>
      <c r="L59" s="4">
        <v>83.8</v>
      </c>
      <c r="M59" s="6">
        <v>7.2479653388841383</v>
      </c>
      <c r="N59" s="5">
        <v>2.9000000000000001E-2</v>
      </c>
      <c r="O59" s="5">
        <v>0.4586326595363035</v>
      </c>
      <c r="P59" s="5">
        <v>0.4586326595363035</v>
      </c>
      <c r="Q59" s="8">
        <v>0.21180555555555555</v>
      </c>
      <c r="R59" s="8">
        <v>0.88194444444444453</v>
      </c>
      <c r="S59" s="6">
        <f t="shared" si="0"/>
        <v>16.083333333333336</v>
      </c>
      <c r="T59" s="5">
        <f t="shared" si="1"/>
        <v>2.8516020282049956E-2</v>
      </c>
      <c r="U59" s="3">
        <v>2.21</v>
      </c>
      <c r="V59" s="5">
        <f t="shared" si="2"/>
        <v>1.2903176598212648E-2</v>
      </c>
      <c r="W59" s="3">
        <v>1.2903176598212648E-2</v>
      </c>
    </row>
    <row r="60" spans="1:23" x14ac:dyDescent="0.55000000000000004">
      <c r="A60" s="3">
        <v>56</v>
      </c>
      <c r="B60" s="3" t="s">
        <v>53</v>
      </c>
      <c r="C60" s="3" t="s">
        <v>49</v>
      </c>
      <c r="D60" s="3" t="s">
        <v>41</v>
      </c>
      <c r="E60" s="2" t="s">
        <v>18</v>
      </c>
      <c r="F60" s="3">
        <v>24</v>
      </c>
      <c r="G60" s="4">
        <v>22.6</v>
      </c>
      <c r="H60" s="4">
        <v>94.4</v>
      </c>
      <c r="I60" s="6">
        <v>7.7741124432723492</v>
      </c>
      <c r="J60" s="5">
        <v>3.4000000000000002E-2</v>
      </c>
      <c r="K60" s="4">
        <v>20.2</v>
      </c>
      <c r="L60" s="4">
        <v>84.7</v>
      </c>
      <c r="M60" s="6">
        <v>7.3112004258022774</v>
      </c>
      <c r="N60" s="5">
        <v>3.3000000000000002E-2</v>
      </c>
      <c r="O60" s="5">
        <v>0.46291201747007182</v>
      </c>
      <c r="P60" s="5">
        <v>0.46291201747007182</v>
      </c>
      <c r="Q60" s="8">
        <v>0.21180555555555555</v>
      </c>
      <c r="R60" s="8">
        <v>0.88194444444444453</v>
      </c>
      <c r="S60" s="6">
        <f t="shared" si="0"/>
        <v>16.083333333333336</v>
      </c>
      <c r="T60" s="5">
        <f t="shared" si="1"/>
        <v>2.8782094350470782E-2</v>
      </c>
      <c r="U60" s="3">
        <v>2.21</v>
      </c>
      <c r="V60" s="5">
        <f t="shared" si="2"/>
        <v>1.3023572104285423E-2</v>
      </c>
      <c r="W60" s="3">
        <v>1.3023572104285423E-2</v>
      </c>
    </row>
    <row r="61" spans="1:23" x14ac:dyDescent="0.55000000000000004">
      <c r="A61" s="3">
        <v>22</v>
      </c>
      <c r="B61" s="3" t="s">
        <v>48</v>
      </c>
      <c r="C61" s="3" t="s">
        <v>49</v>
      </c>
      <c r="D61" s="3" t="s">
        <v>38</v>
      </c>
      <c r="E61" s="2" t="s">
        <v>17</v>
      </c>
      <c r="F61" s="3">
        <v>19</v>
      </c>
      <c r="G61" s="4">
        <v>22.1</v>
      </c>
      <c r="H61" s="4">
        <v>64.400000000000006</v>
      </c>
      <c r="I61" s="6">
        <v>5.3550279005226358</v>
      </c>
      <c r="J61" s="5">
        <v>3.3000000000000002E-2</v>
      </c>
      <c r="K61" s="4">
        <v>17</v>
      </c>
      <c r="L61" s="4">
        <v>53</v>
      </c>
      <c r="M61" s="6">
        <v>4.8840507211657744</v>
      </c>
      <c r="N61" s="5">
        <v>2.9000000000000001E-2</v>
      </c>
      <c r="O61" s="5">
        <v>0.47097717935686134</v>
      </c>
      <c r="P61" s="5">
        <v>0.47097717935686134</v>
      </c>
      <c r="Q61" s="8">
        <v>0.19930555555555554</v>
      </c>
      <c r="R61" s="8">
        <v>0.875</v>
      </c>
      <c r="S61" s="6">
        <f t="shared" si="0"/>
        <v>16.216666666666669</v>
      </c>
      <c r="T61" s="5">
        <f t="shared" si="1"/>
        <v>2.9042785982951364E-2</v>
      </c>
      <c r="U61" s="3">
        <v>2.21</v>
      </c>
      <c r="V61" s="5">
        <f t="shared" si="2"/>
        <v>1.3141532118982517E-2</v>
      </c>
      <c r="W61" s="3">
        <v>1.3141532118982517E-2</v>
      </c>
    </row>
    <row r="62" spans="1:23" x14ac:dyDescent="0.55000000000000004">
      <c r="A62" s="3">
        <v>48</v>
      </c>
      <c r="B62" s="3" t="s">
        <v>52</v>
      </c>
      <c r="C62" s="3" t="s">
        <v>49</v>
      </c>
      <c r="D62" s="3" t="s">
        <v>40</v>
      </c>
      <c r="E62" s="2" t="s">
        <v>17</v>
      </c>
      <c r="F62" s="3">
        <v>19</v>
      </c>
      <c r="G62" s="4">
        <v>21.8</v>
      </c>
      <c r="H62" s="4">
        <v>67.900000000000006</v>
      </c>
      <c r="I62" s="6">
        <v>5.6790854070495103</v>
      </c>
      <c r="J62" s="5">
        <v>3.9E-2</v>
      </c>
      <c r="K62" s="4">
        <v>16.8</v>
      </c>
      <c r="L62" s="4">
        <v>56</v>
      </c>
      <c r="M62" s="6">
        <v>5.1822004378185946</v>
      </c>
      <c r="N62" s="5">
        <v>3.5000000000000003E-2</v>
      </c>
      <c r="O62" s="5">
        <v>0.49688496923091563</v>
      </c>
      <c r="P62" s="5">
        <v>0.49688496923091563</v>
      </c>
      <c r="Q62" s="8">
        <v>0.19930555555555554</v>
      </c>
      <c r="R62" s="8">
        <v>0.875</v>
      </c>
      <c r="S62" s="6">
        <f t="shared" si="0"/>
        <v>16.216666666666669</v>
      </c>
      <c r="T62" s="5">
        <f t="shared" si="1"/>
        <v>3.0640388647332924E-2</v>
      </c>
      <c r="U62" s="3">
        <v>2.21</v>
      </c>
      <c r="V62" s="5">
        <f t="shared" si="2"/>
        <v>1.3864429252186844E-2</v>
      </c>
      <c r="W62" s="3">
        <v>1.3864429252186844E-2</v>
      </c>
    </row>
    <row r="63" spans="1:23" x14ac:dyDescent="0.55000000000000004">
      <c r="A63" s="3">
        <v>60</v>
      </c>
      <c r="B63" s="3" t="s">
        <v>51</v>
      </c>
      <c r="C63" s="3" t="s">
        <v>49</v>
      </c>
      <c r="D63" s="3" t="s">
        <v>39</v>
      </c>
      <c r="E63" s="2" t="s">
        <v>17</v>
      </c>
      <c r="F63" s="3">
        <v>19</v>
      </c>
      <c r="G63" s="4">
        <v>21.8</v>
      </c>
      <c r="H63" s="4">
        <v>72.400000000000006</v>
      </c>
      <c r="I63" s="6">
        <v>6.0554607285770921</v>
      </c>
      <c r="J63" s="5">
        <v>0.03</v>
      </c>
      <c r="K63" s="4">
        <v>16.7</v>
      </c>
      <c r="L63" s="4">
        <v>59.9</v>
      </c>
      <c r="M63" s="6">
        <v>5.554770164787648</v>
      </c>
      <c r="N63" s="5">
        <v>2.7E-2</v>
      </c>
      <c r="O63" s="5">
        <v>0.5006905637894441</v>
      </c>
      <c r="P63" s="5">
        <v>0.5006905637894441</v>
      </c>
      <c r="Q63" s="8">
        <v>0.19930555555555554</v>
      </c>
      <c r="R63" s="8">
        <v>0.875</v>
      </c>
      <c r="S63" s="6">
        <f t="shared" si="0"/>
        <v>16.216666666666669</v>
      </c>
      <c r="T63" s="5">
        <f t="shared" si="1"/>
        <v>3.0875060459780723E-2</v>
      </c>
      <c r="U63" s="3">
        <v>2.21</v>
      </c>
      <c r="V63" s="5">
        <f t="shared" si="2"/>
        <v>1.3970615592660961E-2</v>
      </c>
      <c r="W63" s="3">
        <v>1.3970615592660961E-2</v>
      </c>
    </row>
    <row r="64" spans="1:23" x14ac:dyDescent="0.55000000000000004">
      <c r="A64" s="3">
        <v>21</v>
      </c>
      <c r="B64" s="3" t="s">
        <v>48</v>
      </c>
      <c r="C64" s="3" t="s">
        <v>49</v>
      </c>
      <c r="D64" s="3" t="s">
        <v>38</v>
      </c>
      <c r="E64" s="2" t="s">
        <v>17</v>
      </c>
      <c r="F64" s="3">
        <v>19</v>
      </c>
      <c r="G64" s="4">
        <v>22.1</v>
      </c>
      <c r="H64" s="4">
        <v>67.099999999999994</v>
      </c>
      <c r="I64" s="6">
        <v>5.5795399398302603</v>
      </c>
      <c r="J64" s="5">
        <v>3.6999999999999998E-2</v>
      </c>
      <c r="K64" s="4">
        <v>17</v>
      </c>
      <c r="L64" s="4">
        <v>55.1</v>
      </c>
      <c r="M64" s="6">
        <v>5.0775697120044185</v>
      </c>
      <c r="N64" s="5">
        <v>3.3000000000000002E-2</v>
      </c>
      <c r="O64" s="5">
        <v>0.50197022782584177</v>
      </c>
      <c r="P64" s="5">
        <v>0.50197022782584177</v>
      </c>
      <c r="Q64" s="8">
        <v>0.19930555555555554</v>
      </c>
      <c r="R64" s="8">
        <v>0.875</v>
      </c>
      <c r="S64" s="6">
        <f t="shared" si="0"/>
        <v>16.216666666666669</v>
      </c>
      <c r="T64" s="5">
        <f t="shared" si="1"/>
        <v>3.0953970883402366E-2</v>
      </c>
      <c r="U64" s="3">
        <v>2.21</v>
      </c>
      <c r="V64" s="5">
        <f t="shared" si="2"/>
        <v>1.4006321666697904E-2</v>
      </c>
      <c r="W64" s="3">
        <v>1.4006321666697904E-2</v>
      </c>
    </row>
    <row r="65" spans="1:23" x14ac:dyDescent="0.55000000000000004">
      <c r="A65" s="3">
        <v>25</v>
      </c>
      <c r="B65" s="3" t="s">
        <v>53</v>
      </c>
      <c r="C65" s="3" t="s">
        <v>49</v>
      </c>
      <c r="D65" s="3" t="s">
        <v>41</v>
      </c>
      <c r="E65" s="2" t="s">
        <v>17</v>
      </c>
      <c r="F65" s="3">
        <v>19</v>
      </c>
      <c r="G65" s="4">
        <v>22</v>
      </c>
      <c r="H65" s="4">
        <v>65</v>
      </c>
      <c r="I65" s="6">
        <v>5.4154214508029046</v>
      </c>
      <c r="J65" s="5">
        <v>0.04</v>
      </c>
      <c r="K65" s="4">
        <v>16.899999999999999</v>
      </c>
      <c r="L65" s="4">
        <v>53.2</v>
      </c>
      <c r="M65" s="6">
        <v>4.9127668612586248</v>
      </c>
      <c r="N65" s="5">
        <v>3.6999999999999998E-2</v>
      </c>
      <c r="O65" s="5">
        <v>0.50265458954427977</v>
      </c>
      <c r="P65" s="5">
        <v>0.50265458954427977</v>
      </c>
      <c r="Q65" s="8">
        <v>0.19930555555555554</v>
      </c>
      <c r="R65" s="8">
        <v>0.875</v>
      </c>
      <c r="S65" s="6">
        <f t="shared" si="0"/>
        <v>16.216666666666669</v>
      </c>
      <c r="T65" s="5">
        <f t="shared" si="1"/>
        <v>3.0996172017118996E-2</v>
      </c>
      <c r="U65" s="3">
        <v>2.21</v>
      </c>
      <c r="V65" s="5">
        <f t="shared" si="2"/>
        <v>1.4025417202316287E-2</v>
      </c>
      <c r="W65" s="3">
        <v>1.4025417202316287E-2</v>
      </c>
    </row>
    <row r="66" spans="1:23" x14ac:dyDescent="0.55000000000000004">
      <c r="A66" s="3">
        <v>27</v>
      </c>
      <c r="B66" s="3" t="s">
        <v>48</v>
      </c>
      <c r="C66" s="3" t="s">
        <v>50</v>
      </c>
      <c r="D66" s="3" t="s">
        <v>10</v>
      </c>
      <c r="E66" s="2" t="s">
        <v>18</v>
      </c>
      <c r="F66" s="3">
        <v>24</v>
      </c>
      <c r="G66" s="4">
        <v>22.3</v>
      </c>
      <c r="H66" s="4">
        <v>82.2</v>
      </c>
      <c r="I66" s="6">
        <v>6.8087165727457792</v>
      </c>
      <c r="J66" s="5">
        <v>0.05</v>
      </c>
      <c r="K66" s="4">
        <v>20.2</v>
      </c>
      <c r="L66" s="4">
        <v>73</v>
      </c>
      <c r="M66" s="6">
        <v>6.3012707329818918</v>
      </c>
      <c r="N66" s="5">
        <v>4.8000000000000001E-2</v>
      </c>
      <c r="O66" s="5">
        <v>0.50744583976388746</v>
      </c>
      <c r="P66" s="5">
        <v>0.50744583976388746</v>
      </c>
      <c r="Q66" s="8">
        <v>0.21180555555555555</v>
      </c>
      <c r="R66" s="8">
        <v>0.88194444444444453</v>
      </c>
      <c r="S66" s="6">
        <f t="shared" ref="S66:S129" si="3">(R66-Q66)*24</f>
        <v>16.083333333333336</v>
      </c>
      <c r="T66" s="5">
        <f t="shared" ref="T66:T129" si="4">P66/S66</f>
        <v>3.1551036669257244E-2</v>
      </c>
      <c r="U66" s="3">
        <v>2.21</v>
      </c>
      <c r="V66" s="5">
        <f t="shared" ref="V66:V129" si="5">(I66-M66)/U66/S66</f>
        <v>1.4276487180659388E-2</v>
      </c>
      <c r="W66" s="3">
        <v>1.4276487180659388E-2</v>
      </c>
    </row>
    <row r="67" spans="1:23" x14ac:dyDescent="0.55000000000000004">
      <c r="A67" s="3">
        <v>61</v>
      </c>
      <c r="B67" s="3" t="s">
        <v>53</v>
      </c>
      <c r="C67" s="3" t="s">
        <v>50</v>
      </c>
      <c r="D67" s="3" t="s">
        <v>11</v>
      </c>
      <c r="E67" s="3" t="s">
        <v>35</v>
      </c>
      <c r="F67" s="3">
        <v>82</v>
      </c>
      <c r="G67" s="4">
        <v>32.299999999999997</v>
      </c>
      <c r="H67" s="4">
        <v>44.5</v>
      </c>
      <c r="I67" s="6">
        <v>3.0762432440752621</v>
      </c>
      <c r="J67" s="5">
        <v>5.6000000000000001E-2</v>
      </c>
      <c r="K67" s="4">
        <v>27.9</v>
      </c>
      <c r="L67" s="4">
        <v>34.299999999999997</v>
      </c>
      <c r="M67" s="6">
        <v>2.5599713503683956</v>
      </c>
      <c r="N67" s="5">
        <v>5.0999999999999997E-2</v>
      </c>
      <c r="O67" s="5">
        <v>0.51627189370686644</v>
      </c>
      <c r="P67" s="5">
        <v>0.51627189370686644</v>
      </c>
      <c r="Q67" s="8">
        <v>0.20833333333333334</v>
      </c>
      <c r="R67" s="8">
        <v>0.88541666666666663</v>
      </c>
      <c r="S67" s="6">
        <f t="shared" si="3"/>
        <v>16.25</v>
      </c>
      <c r="T67" s="5">
        <f t="shared" si="4"/>
        <v>3.1770578074268703E-2</v>
      </c>
      <c r="U67" s="3">
        <v>2.21</v>
      </c>
      <c r="V67" s="5">
        <f t="shared" si="5"/>
        <v>1.4375827182927015E-2</v>
      </c>
      <c r="W67" s="3">
        <v>1.4375827182927015E-2</v>
      </c>
    </row>
    <row r="68" spans="1:23" x14ac:dyDescent="0.55000000000000004">
      <c r="A68" s="3">
        <v>44</v>
      </c>
      <c r="B68" s="3" t="s">
        <v>53</v>
      </c>
      <c r="C68" s="3" t="s">
        <v>49</v>
      </c>
      <c r="D68" s="3" t="s">
        <v>41</v>
      </c>
      <c r="E68" s="3" t="s">
        <v>33</v>
      </c>
      <c r="F68" s="3">
        <v>75</v>
      </c>
      <c r="G68" s="4">
        <v>28.1</v>
      </c>
      <c r="H68" s="4">
        <v>74.7</v>
      </c>
      <c r="I68" s="6">
        <v>5.5553043476659578</v>
      </c>
      <c r="J68" s="5">
        <v>6.4000000000000001E-2</v>
      </c>
      <c r="K68" s="4">
        <v>23.9</v>
      </c>
      <c r="L68" s="4">
        <v>62.7</v>
      </c>
      <c r="M68" s="6">
        <v>5.0370085513208522</v>
      </c>
      <c r="N68" s="5">
        <v>6.0999999999999999E-2</v>
      </c>
      <c r="O68" s="5">
        <v>0.51829579634510559</v>
      </c>
      <c r="P68" s="5">
        <v>0.51829579634510559</v>
      </c>
      <c r="Q68" s="8">
        <v>0.20833333333333334</v>
      </c>
      <c r="R68" s="8">
        <v>0.88541666666666663</v>
      </c>
      <c r="S68" s="6">
        <f t="shared" si="3"/>
        <v>16.25</v>
      </c>
      <c r="T68" s="5">
        <f t="shared" si="4"/>
        <v>3.1895125928929575E-2</v>
      </c>
      <c r="U68" s="3">
        <v>2.21</v>
      </c>
      <c r="V68" s="5">
        <f t="shared" si="5"/>
        <v>1.4432183678248675E-2</v>
      </c>
      <c r="W68" s="3">
        <v>1.4432183678248675E-2</v>
      </c>
    </row>
    <row r="69" spans="1:23" x14ac:dyDescent="0.55000000000000004">
      <c r="A69" s="3">
        <v>53</v>
      </c>
      <c r="B69" s="3" t="s">
        <v>48</v>
      </c>
      <c r="C69" s="3" t="s">
        <v>49</v>
      </c>
      <c r="D69" s="3" t="s">
        <v>38</v>
      </c>
      <c r="E69" s="2" t="s">
        <v>17</v>
      </c>
      <c r="F69" s="3">
        <v>19</v>
      </c>
      <c r="G69" s="4">
        <v>22</v>
      </c>
      <c r="H69" s="4">
        <v>71</v>
      </c>
      <c r="I69" s="6">
        <v>5.9153065078000955</v>
      </c>
      <c r="J69" s="5">
        <v>3.2000000000000001E-2</v>
      </c>
      <c r="K69" s="4">
        <v>16.8</v>
      </c>
      <c r="L69" s="4">
        <v>58.3</v>
      </c>
      <c r="M69" s="6">
        <v>5.3950408129432859</v>
      </c>
      <c r="N69" s="5">
        <v>2.9000000000000001E-2</v>
      </c>
      <c r="O69" s="5">
        <v>0.52026569485680962</v>
      </c>
      <c r="P69" s="5">
        <v>0.52026569485680962</v>
      </c>
      <c r="Q69" s="8">
        <v>0.19930555555555554</v>
      </c>
      <c r="R69" s="8">
        <v>0.875</v>
      </c>
      <c r="S69" s="6">
        <f t="shared" si="3"/>
        <v>16.216666666666669</v>
      </c>
      <c r="T69" s="5">
        <f t="shared" si="4"/>
        <v>3.2082160011725154E-2</v>
      </c>
      <c r="U69" s="3">
        <v>2.21</v>
      </c>
      <c r="V69" s="5">
        <f t="shared" si="5"/>
        <v>1.4516814484943508E-2</v>
      </c>
      <c r="W69" s="3">
        <v>1.4516814484943508E-2</v>
      </c>
    </row>
    <row r="70" spans="1:23" x14ac:dyDescent="0.55000000000000004">
      <c r="A70" s="3">
        <v>54</v>
      </c>
      <c r="B70" s="3" t="s">
        <v>48</v>
      </c>
      <c r="C70" s="3" t="s">
        <v>50</v>
      </c>
      <c r="D70" s="3" t="s">
        <v>10</v>
      </c>
      <c r="E70" s="2" t="s">
        <v>17</v>
      </c>
      <c r="F70" s="3">
        <v>19</v>
      </c>
      <c r="G70" s="4">
        <v>22</v>
      </c>
      <c r="H70" s="4">
        <v>67.900000000000006</v>
      </c>
      <c r="I70" s="6">
        <v>5.65703256168488</v>
      </c>
      <c r="J70" s="5">
        <v>3.9E-2</v>
      </c>
      <c r="K70" s="4">
        <v>16.8</v>
      </c>
      <c r="L70" s="4">
        <v>55.5</v>
      </c>
      <c r="M70" s="6">
        <v>5.1359307910523571</v>
      </c>
      <c r="N70" s="5">
        <v>3.5000000000000003E-2</v>
      </c>
      <c r="O70" s="5">
        <v>0.52110177063252294</v>
      </c>
      <c r="P70" s="5">
        <v>0.52110177063252294</v>
      </c>
      <c r="Q70" s="8">
        <v>0.19930555555555554</v>
      </c>
      <c r="R70" s="8">
        <v>0.875</v>
      </c>
      <c r="S70" s="6">
        <f t="shared" si="3"/>
        <v>16.216666666666669</v>
      </c>
      <c r="T70" s="5">
        <f t="shared" si="4"/>
        <v>3.2133716585767087E-2</v>
      </c>
      <c r="U70" s="3">
        <v>2.21</v>
      </c>
      <c r="V70" s="5">
        <f t="shared" si="5"/>
        <v>1.4540143251478319E-2</v>
      </c>
      <c r="W70" s="3">
        <v>1.4540143251478319E-2</v>
      </c>
    </row>
    <row r="71" spans="1:23" x14ac:dyDescent="0.55000000000000004">
      <c r="A71" s="3">
        <v>48</v>
      </c>
      <c r="B71" s="3" t="s">
        <v>52</v>
      </c>
      <c r="C71" s="3" t="s">
        <v>49</v>
      </c>
      <c r="D71" s="3" t="s">
        <v>40</v>
      </c>
      <c r="E71" s="2" t="s">
        <v>18</v>
      </c>
      <c r="F71" s="3">
        <v>24</v>
      </c>
      <c r="G71" s="4">
        <v>22.6</v>
      </c>
      <c r="H71" s="4">
        <v>95.5</v>
      </c>
      <c r="I71" s="6">
        <v>7.8647006179291239</v>
      </c>
      <c r="J71" s="5">
        <v>4.1000000000000002E-2</v>
      </c>
      <c r="K71" s="4">
        <v>19.8</v>
      </c>
      <c r="L71" s="4">
        <v>84.4</v>
      </c>
      <c r="M71" s="6">
        <v>7.3438318928538102</v>
      </c>
      <c r="N71" s="5">
        <v>3.7999999999999999E-2</v>
      </c>
      <c r="O71" s="5">
        <v>0.52086872507531368</v>
      </c>
      <c r="P71" s="5">
        <v>0.52086872507531368</v>
      </c>
      <c r="Q71" s="8">
        <v>0.21180555555555555</v>
      </c>
      <c r="R71" s="8">
        <v>0.88194444444444453</v>
      </c>
      <c r="S71" s="6">
        <f t="shared" si="3"/>
        <v>16.083333333333336</v>
      </c>
      <c r="T71" s="5">
        <f t="shared" si="4"/>
        <v>3.2385620211936597E-2</v>
      </c>
      <c r="U71" s="3">
        <v>2.21</v>
      </c>
      <c r="V71" s="5">
        <f t="shared" si="5"/>
        <v>1.4654126792731492E-2</v>
      </c>
      <c r="W71" s="3">
        <v>1.4654126792731492E-2</v>
      </c>
    </row>
    <row r="72" spans="1:23" x14ac:dyDescent="0.55000000000000004">
      <c r="A72" s="3">
        <v>38</v>
      </c>
      <c r="B72" s="3" t="s">
        <v>51</v>
      </c>
      <c r="C72" s="3" t="s">
        <v>49</v>
      </c>
      <c r="D72" s="3" t="s">
        <v>39</v>
      </c>
      <c r="E72" s="2" t="s">
        <v>18</v>
      </c>
      <c r="F72" s="3">
        <v>24</v>
      </c>
      <c r="G72" s="4">
        <v>22.6</v>
      </c>
      <c r="H72" s="4">
        <v>90.8</v>
      </c>
      <c r="I72" s="6">
        <v>7.4776420534865382</v>
      </c>
      <c r="J72" s="5">
        <v>0.03</v>
      </c>
      <c r="K72" s="4">
        <v>20.100000000000001</v>
      </c>
      <c r="L72" s="4">
        <v>80.400000000000006</v>
      </c>
      <c r="M72" s="6">
        <v>6.9538951461370502</v>
      </c>
      <c r="N72" s="5">
        <v>0.03</v>
      </c>
      <c r="O72" s="5">
        <v>0.52374690734948803</v>
      </c>
      <c r="P72" s="5">
        <v>0.52374690734948803</v>
      </c>
      <c r="Q72" s="8">
        <v>0.21180555555555555</v>
      </c>
      <c r="R72" s="8">
        <v>0.88194444444444453</v>
      </c>
      <c r="S72" s="6">
        <f t="shared" si="3"/>
        <v>16.083333333333336</v>
      </c>
      <c r="T72" s="5">
        <f t="shared" si="4"/>
        <v>3.2564574550227231E-2</v>
      </c>
      <c r="U72" s="3">
        <v>2.21</v>
      </c>
      <c r="V72" s="5">
        <f t="shared" si="5"/>
        <v>1.4735101606437661E-2</v>
      </c>
      <c r="W72" s="3">
        <v>1.4735101606437661E-2</v>
      </c>
    </row>
    <row r="73" spans="1:23" x14ac:dyDescent="0.55000000000000004">
      <c r="A73" s="3">
        <v>7</v>
      </c>
      <c r="B73" s="3" t="s">
        <v>53</v>
      </c>
      <c r="C73" s="3" t="s">
        <v>49</v>
      </c>
      <c r="D73" s="3" t="s">
        <v>41</v>
      </c>
      <c r="E73" s="2" t="s">
        <v>15</v>
      </c>
      <c r="F73" s="3">
        <v>12</v>
      </c>
      <c r="G73" s="4">
        <v>22</v>
      </c>
      <c r="H73" s="4">
        <v>97.6</v>
      </c>
      <c r="I73" s="6">
        <v>8.1314635938209747</v>
      </c>
      <c r="J73" s="5">
        <v>2.7E-2</v>
      </c>
      <c r="K73" s="4">
        <v>19.100000000000001</v>
      </c>
      <c r="L73" s="4">
        <v>86.1</v>
      </c>
      <c r="M73" s="6">
        <v>7.5982751080444579</v>
      </c>
      <c r="N73" s="5">
        <v>2.7E-2</v>
      </c>
      <c r="O73" s="5">
        <v>0.53318848577651679</v>
      </c>
      <c r="P73" s="5">
        <v>0.53318848577651679</v>
      </c>
      <c r="Q73" s="8">
        <v>0.21319444444444444</v>
      </c>
      <c r="R73" s="8">
        <v>0.875</v>
      </c>
      <c r="S73" s="6">
        <f t="shared" si="3"/>
        <v>15.883333333333333</v>
      </c>
      <c r="T73" s="5">
        <f t="shared" si="4"/>
        <v>3.3569054718353628E-2</v>
      </c>
      <c r="U73" s="3">
        <v>2.21</v>
      </c>
      <c r="V73" s="5">
        <f t="shared" si="5"/>
        <v>1.5189617519617027E-2</v>
      </c>
      <c r="W73" s="3">
        <v>1.5189617519617027E-2</v>
      </c>
    </row>
    <row r="74" spans="1:23" x14ac:dyDescent="0.55000000000000004">
      <c r="A74" s="3">
        <v>6</v>
      </c>
      <c r="B74" s="3" t="s">
        <v>51</v>
      </c>
      <c r="C74" s="3" t="s">
        <v>49</v>
      </c>
      <c r="D74" s="3" t="s">
        <v>39</v>
      </c>
      <c r="E74" s="2" t="s">
        <v>24</v>
      </c>
      <c r="F74" s="3">
        <v>44</v>
      </c>
      <c r="G74" s="4">
        <v>26.2</v>
      </c>
      <c r="H74" s="4">
        <v>95.3</v>
      </c>
      <c r="I74" s="6">
        <v>7.3351287047510292</v>
      </c>
      <c r="J74" s="5">
        <v>5.1999999999999998E-2</v>
      </c>
      <c r="K74" s="4">
        <v>21.5</v>
      </c>
      <c r="L74" s="4">
        <v>80.400000000000006</v>
      </c>
      <c r="M74" s="6">
        <v>6.764075531801196</v>
      </c>
      <c r="N74" s="5">
        <v>4.7E-2</v>
      </c>
      <c r="O74" s="5">
        <v>0.57105317294983315</v>
      </c>
      <c r="P74" s="5">
        <v>0.57105317294983315</v>
      </c>
      <c r="Q74" s="8">
        <v>0.20277777777777781</v>
      </c>
      <c r="R74" s="8">
        <v>0.90277777777777779</v>
      </c>
      <c r="S74" s="6">
        <f t="shared" si="3"/>
        <v>16.799999999999997</v>
      </c>
      <c r="T74" s="5">
        <f t="shared" si="4"/>
        <v>3.3991260294632931E-2</v>
      </c>
      <c r="U74" s="3">
        <v>2.21</v>
      </c>
      <c r="V74" s="5">
        <f t="shared" si="5"/>
        <v>1.5380660766802232E-2</v>
      </c>
      <c r="W74" s="3">
        <v>1.5380660766802232E-2</v>
      </c>
    </row>
    <row r="75" spans="1:23" x14ac:dyDescent="0.55000000000000004">
      <c r="A75" s="3">
        <v>46</v>
      </c>
      <c r="B75" s="3" t="s">
        <v>51</v>
      </c>
      <c r="C75" s="3" t="s">
        <v>49</v>
      </c>
      <c r="D75" s="3" t="s">
        <v>39</v>
      </c>
      <c r="E75" s="3" t="s">
        <v>33</v>
      </c>
      <c r="F75" s="3">
        <v>75</v>
      </c>
      <c r="G75" s="4">
        <v>28.3</v>
      </c>
      <c r="H75" s="4">
        <v>77.7</v>
      </c>
      <c r="I75" s="6">
        <v>5.7578268348843844</v>
      </c>
      <c r="J75" s="5">
        <v>5.2999999999999999E-2</v>
      </c>
      <c r="K75" s="4">
        <v>24.4</v>
      </c>
      <c r="L75" s="4">
        <v>65.400000000000006</v>
      </c>
      <c r="M75" s="6">
        <v>5.2046469075446202</v>
      </c>
      <c r="N75" s="5">
        <v>4.3999999999999997E-2</v>
      </c>
      <c r="O75" s="5">
        <v>0.55317992733976418</v>
      </c>
      <c r="P75" s="5">
        <v>0.55317992733976418</v>
      </c>
      <c r="Q75" s="8">
        <v>0.20833333333333334</v>
      </c>
      <c r="R75" s="8">
        <v>0.88541666666666663</v>
      </c>
      <c r="S75" s="6">
        <f t="shared" si="3"/>
        <v>16.25</v>
      </c>
      <c r="T75" s="5">
        <f t="shared" si="4"/>
        <v>3.4041841682447026E-2</v>
      </c>
      <c r="U75" s="3">
        <v>2.21</v>
      </c>
      <c r="V75" s="5">
        <f t="shared" si="5"/>
        <v>1.5403548272600463E-2</v>
      </c>
      <c r="W75" s="3">
        <v>1.5403548272600463E-2</v>
      </c>
    </row>
    <row r="76" spans="1:23" x14ac:dyDescent="0.55000000000000004">
      <c r="A76" s="3">
        <v>2</v>
      </c>
      <c r="B76" s="3" t="s">
        <v>48</v>
      </c>
      <c r="C76" s="3" t="s">
        <v>49</v>
      </c>
      <c r="D76" s="3" t="s">
        <v>38</v>
      </c>
      <c r="E76" s="2" t="s">
        <v>8</v>
      </c>
      <c r="F76" s="3">
        <v>5</v>
      </c>
      <c r="G76" s="4">
        <v>21.4</v>
      </c>
      <c r="H76" s="4">
        <v>106.1</v>
      </c>
      <c r="I76" s="6">
        <v>8.9437195957164271</v>
      </c>
      <c r="J76" s="5">
        <v>2.1000000000000001E-2</v>
      </c>
      <c r="K76" s="4">
        <v>15.6</v>
      </c>
      <c r="L76" s="4">
        <v>88.5</v>
      </c>
      <c r="M76" s="6">
        <v>8.4008384697375238</v>
      </c>
      <c r="N76" s="5">
        <v>1.7999999999999999E-2</v>
      </c>
      <c r="O76" s="5">
        <v>0.54288112597890326</v>
      </c>
      <c r="P76" s="5">
        <v>0.54288112597890326</v>
      </c>
      <c r="Q76" s="8">
        <v>0.20833333333333334</v>
      </c>
      <c r="R76" s="8">
        <v>0.87083333333333324</v>
      </c>
      <c r="S76" s="6">
        <f t="shared" si="3"/>
        <v>15.899999999999997</v>
      </c>
      <c r="T76" s="5">
        <f t="shared" si="4"/>
        <v>3.4143467042698328E-2</v>
      </c>
      <c r="U76" s="3">
        <v>2.21</v>
      </c>
      <c r="V76" s="5">
        <f t="shared" si="5"/>
        <v>1.544953259850603E-2</v>
      </c>
      <c r="W76" s="3">
        <v>1.544953259850603E-2</v>
      </c>
    </row>
    <row r="77" spans="1:23" x14ac:dyDescent="0.55000000000000004">
      <c r="A77" s="3">
        <v>44</v>
      </c>
      <c r="B77" s="3" t="s">
        <v>53</v>
      </c>
      <c r="C77" s="3" t="s">
        <v>49</v>
      </c>
      <c r="D77" s="3" t="s">
        <v>41</v>
      </c>
      <c r="E77" s="2" t="s">
        <v>18</v>
      </c>
      <c r="F77" s="3">
        <v>24</v>
      </c>
      <c r="G77" s="4">
        <v>22.5</v>
      </c>
      <c r="H77" s="4">
        <v>93.1</v>
      </c>
      <c r="I77" s="6">
        <v>7.6818444716589189</v>
      </c>
      <c r="J77" s="5">
        <v>3.3000000000000002E-2</v>
      </c>
      <c r="K77" s="4">
        <v>20</v>
      </c>
      <c r="L77" s="4">
        <v>82.3</v>
      </c>
      <c r="M77" s="6">
        <v>7.132471174015623</v>
      </c>
      <c r="N77" s="5">
        <v>3.3000000000000002E-2</v>
      </c>
      <c r="O77" s="5">
        <v>0.5493732976432959</v>
      </c>
      <c r="P77" s="5">
        <v>0.5493732976432959</v>
      </c>
      <c r="Q77" s="8">
        <v>0.21180555555555555</v>
      </c>
      <c r="R77" s="8">
        <v>0.88194444444444453</v>
      </c>
      <c r="S77" s="6">
        <f t="shared" si="3"/>
        <v>16.083333333333336</v>
      </c>
      <c r="T77" s="5">
        <f t="shared" si="4"/>
        <v>3.4157925242070203E-2</v>
      </c>
      <c r="U77" s="3">
        <v>2.21</v>
      </c>
      <c r="V77" s="5">
        <f t="shared" si="5"/>
        <v>1.5456074770167515E-2</v>
      </c>
      <c r="W77" s="3">
        <v>1.5456074770167515E-2</v>
      </c>
    </row>
    <row r="78" spans="1:23" x14ac:dyDescent="0.55000000000000004">
      <c r="A78" s="3">
        <v>11</v>
      </c>
      <c r="B78" s="3" t="s">
        <v>53</v>
      </c>
      <c r="C78" s="3" t="s">
        <v>49</v>
      </c>
      <c r="D78" s="3" t="s">
        <v>41</v>
      </c>
      <c r="E78" s="3" t="s">
        <v>33</v>
      </c>
      <c r="F78" s="3">
        <v>75</v>
      </c>
      <c r="G78" s="4">
        <v>26.4</v>
      </c>
      <c r="H78" s="4">
        <v>54.9</v>
      </c>
      <c r="I78" s="6">
        <v>4.2101542059543249</v>
      </c>
      <c r="J78" s="5">
        <v>5.1999999999999998E-2</v>
      </c>
      <c r="K78" s="4">
        <v>23.1</v>
      </c>
      <c r="L78" s="4">
        <v>44.8</v>
      </c>
      <c r="M78" s="6">
        <v>3.654177643044501</v>
      </c>
      <c r="N78" s="5">
        <v>4.9000000000000002E-2</v>
      </c>
      <c r="O78" s="5">
        <v>0.55597656290982389</v>
      </c>
      <c r="P78" s="5">
        <v>0.55597656290982389</v>
      </c>
      <c r="Q78" s="8">
        <v>0.20833333333333334</v>
      </c>
      <c r="R78" s="8">
        <v>0.88541666666666663</v>
      </c>
      <c r="S78" s="6">
        <f t="shared" si="3"/>
        <v>16.25</v>
      </c>
      <c r="T78" s="5">
        <f t="shared" si="4"/>
        <v>3.4213942332912237E-2</v>
      </c>
      <c r="U78" s="3">
        <v>2.21</v>
      </c>
      <c r="V78" s="5">
        <f t="shared" si="5"/>
        <v>1.5481421870096036E-2</v>
      </c>
      <c r="W78" s="3">
        <v>1.5481421870096036E-2</v>
      </c>
    </row>
    <row r="79" spans="1:23" x14ac:dyDescent="0.55000000000000004">
      <c r="A79" s="3">
        <v>51</v>
      </c>
      <c r="B79" s="3" t="s">
        <v>48</v>
      </c>
      <c r="C79" s="3" t="s">
        <v>50</v>
      </c>
      <c r="D79" s="3" t="s">
        <v>10</v>
      </c>
      <c r="E79" s="3" t="s">
        <v>33</v>
      </c>
      <c r="F79" s="3">
        <v>75</v>
      </c>
      <c r="G79" s="4">
        <v>28</v>
      </c>
      <c r="H79" s="4">
        <v>64.099999999999994</v>
      </c>
      <c r="I79" s="6">
        <v>4.7755306968518179</v>
      </c>
      <c r="J79" s="5">
        <v>6.7000000000000004E-2</v>
      </c>
      <c r="K79" s="4">
        <v>23.9</v>
      </c>
      <c r="L79" s="4">
        <v>52.5</v>
      </c>
      <c r="M79" s="6">
        <v>4.2175908922543019</v>
      </c>
      <c r="N79" s="5">
        <v>6.0999999999999999E-2</v>
      </c>
      <c r="O79" s="5">
        <v>0.55793980459751591</v>
      </c>
      <c r="P79" s="5">
        <v>0.55793980459751591</v>
      </c>
      <c r="Q79" s="8">
        <v>0.20833333333333334</v>
      </c>
      <c r="R79" s="8">
        <v>0.88541666666666663</v>
      </c>
      <c r="S79" s="6">
        <f t="shared" si="3"/>
        <v>16.25</v>
      </c>
      <c r="T79" s="5">
        <f t="shared" si="4"/>
        <v>3.4334757206000981E-2</v>
      </c>
      <c r="U79" s="3">
        <v>2.21</v>
      </c>
      <c r="V79" s="5">
        <f t="shared" si="5"/>
        <v>1.5536089233484606E-2</v>
      </c>
      <c r="W79" s="3">
        <v>1.5536089233484606E-2</v>
      </c>
    </row>
    <row r="80" spans="1:23" x14ac:dyDescent="0.55000000000000004">
      <c r="A80" s="3">
        <v>4</v>
      </c>
      <c r="B80" s="3" t="s">
        <v>48</v>
      </c>
      <c r="C80" s="3" t="s">
        <v>49</v>
      </c>
      <c r="D80" s="3" t="s">
        <v>38</v>
      </c>
      <c r="E80" s="3" t="s">
        <v>33</v>
      </c>
      <c r="F80" s="3">
        <v>75</v>
      </c>
      <c r="G80" s="4">
        <v>26.8</v>
      </c>
      <c r="H80" s="4">
        <v>66.8</v>
      </c>
      <c r="I80" s="6">
        <v>5.0855335850936472</v>
      </c>
      <c r="J80" s="5">
        <v>8.1000000000000003E-2</v>
      </c>
      <c r="K80" s="4">
        <v>22.9</v>
      </c>
      <c r="L80" s="4">
        <v>55.2</v>
      </c>
      <c r="M80" s="6">
        <v>4.5197460902277973</v>
      </c>
      <c r="N80" s="5">
        <v>2.5000000000000001E-2</v>
      </c>
      <c r="O80" s="5">
        <v>0.56578749486584989</v>
      </c>
      <c r="P80" s="5">
        <v>0.56578749486584989</v>
      </c>
      <c r="Q80" s="8">
        <v>0.20833333333333334</v>
      </c>
      <c r="R80" s="8">
        <v>0.88541666666666663</v>
      </c>
      <c r="S80" s="6">
        <f t="shared" si="3"/>
        <v>16.25</v>
      </c>
      <c r="T80" s="5">
        <f t="shared" si="4"/>
        <v>3.4817691991744608E-2</v>
      </c>
      <c r="U80" s="3">
        <v>2.21</v>
      </c>
      <c r="V80" s="5">
        <f t="shared" si="5"/>
        <v>1.5754611760970413E-2</v>
      </c>
      <c r="W80" s="3">
        <v>1.5754611760970413E-2</v>
      </c>
    </row>
    <row r="81" spans="1:23" x14ac:dyDescent="0.55000000000000004">
      <c r="A81" s="3">
        <v>58</v>
      </c>
      <c r="B81" s="3" t="s">
        <v>53</v>
      </c>
      <c r="C81" s="3" t="s">
        <v>49</v>
      </c>
      <c r="D81" s="3" t="s">
        <v>41</v>
      </c>
      <c r="E81" s="2" t="s">
        <v>14</v>
      </c>
      <c r="F81" s="3">
        <v>10</v>
      </c>
      <c r="G81" s="4">
        <v>22.1</v>
      </c>
      <c r="H81" s="4">
        <v>88.7</v>
      </c>
      <c r="I81" s="6">
        <v>7.3756362542912699</v>
      </c>
      <c r="J81" s="5">
        <v>2.5000000000000001E-2</v>
      </c>
      <c r="K81" s="4">
        <v>19.899999999999999</v>
      </c>
      <c r="L81" s="4">
        <v>78.5</v>
      </c>
      <c r="M81" s="6">
        <v>6.8167794384762486</v>
      </c>
      <c r="N81" s="5">
        <v>2.4E-2</v>
      </c>
      <c r="O81" s="5">
        <v>0.55885681581502133</v>
      </c>
      <c r="P81" s="5">
        <v>0.55885681581502133</v>
      </c>
      <c r="Q81" s="8">
        <v>0.20555555555555557</v>
      </c>
      <c r="R81" s="8">
        <v>0.86805555555555547</v>
      </c>
      <c r="S81" s="6">
        <f t="shared" si="3"/>
        <v>15.899999999999997</v>
      </c>
      <c r="T81" s="5">
        <f t="shared" si="4"/>
        <v>3.514822740974978E-2</v>
      </c>
      <c r="U81" s="3">
        <v>2.21</v>
      </c>
      <c r="V81" s="5">
        <f t="shared" si="5"/>
        <v>1.5904175298529312E-2</v>
      </c>
      <c r="W81" s="3">
        <v>1.5904175298529312E-2</v>
      </c>
    </row>
    <row r="82" spans="1:23" x14ac:dyDescent="0.55000000000000004">
      <c r="A82" s="3">
        <v>56</v>
      </c>
      <c r="B82" s="3" t="s">
        <v>53</v>
      </c>
      <c r="C82" s="3" t="s">
        <v>49</v>
      </c>
      <c r="D82" s="3" t="s">
        <v>41</v>
      </c>
      <c r="E82" s="3" t="s">
        <v>33</v>
      </c>
      <c r="F82" s="3">
        <v>75</v>
      </c>
      <c r="G82" s="4">
        <v>28.6</v>
      </c>
      <c r="H82" s="4">
        <v>84.3</v>
      </c>
      <c r="I82" s="6">
        <v>6.2136701708873501</v>
      </c>
      <c r="J82" s="5">
        <v>5.8999999999999997E-2</v>
      </c>
      <c r="K82" s="4">
        <v>24.4</v>
      </c>
      <c r="L82" s="4">
        <v>70.8</v>
      </c>
      <c r="M82" s="6">
        <v>5.6343883953235334</v>
      </c>
      <c r="N82" s="5">
        <v>5.3999999999999999E-2</v>
      </c>
      <c r="O82" s="5">
        <v>0.57928177556381666</v>
      </c>
      <c r="P82" s="5">
        <v>0.57928177556381666</v>
      </c>
      <c r="Q82" s="8">
        <v>0.20833333333333334</v>
      </c>
      <c r="R82" s="8">
        <v>0.88541666666666663</v>
      </c>
      <c r="S82" s="6">
        <f t="shared" si="3"/>
        <v>16.25</v>
      </c>
      <c r="T82" s="5">
        <f t="shared" si="4"/>
        <v>3.564810926546564E-2</v>
      </c>
      <c r="U82" s="3">
        <v>2.21</v>
      </c>
      <c r="V82" s="5">
        <f t="shared" si="5"/>
        <v>1.6130366183468615E-2</v>
      </c>
      <c r="W82" s="3">
        <v>1.6130366183468615E-2</v>
      </c>
    </row>
    <row r="83" spans="1:23" x14ac:dyDescent="0.55000000000000004">
      <c r="A83" s="3">
        <v>55</v>
      </c>
      <c r="B83" s="3" t="s">
        <v>52</v>
      </c>
      <c r="C83" s="3" t="s">
        <v>49</v>
      </c>
      <c r="D83" s="3" t="s">
        <v>40</v>
      </c>
      <c r="E83" s="2" t="s">
        <v>17</v>
      </c>
      <c r="F83" s="3">
        <v>19</v>
      </c>
      <c r="G83" s="4">
        <v>21.9</v>
      </c>
      <c r="H83" s="4">
        <v>77.5</v>
      </c>
      <c r="I83" s="6">
        <v>6.4694127072182095</v>
      </c>
      <c r="J83" s="5">
        <v>3.3000000000000002E-2</v>
      </c>
      <c r="K83" s="4">
        <v>16.7</v>
      </c>
      <c r="L83" s="4">
        <v>63.5</v>
      </c>
      <c r="M83" s="6">
        <v>5.8886127790319804</v>
      </c>
      <c r="N83" s="5">
        <v>0.03</v>
      </c>
      <c r="O83" s="5">
        <v>0.58079992818622905</v>
      </c>
      <c r="P83" s="5">
        <v>0.58079992818622905</v>
      </c>
      <c r="Q83" s="8">
        <v>0.19930555555555554</v>
      </c>
      <c r="R83" s="8">
        <v>0.875</v>
      </c>
      <c r="S83" s="6">
        <f t="shared" si="3"/>
        <v>16.216666666666669</v>
      </c>
      <c r="T83" s="5">
        <f t="shared" si="4"/>
        <v>3.5815000710353276E-2</v>
      </c>
      <c r="U83" s="3">
        <v>2.21</v>
      </c>
      <c r="V83" s="5">
        <f t="shared" si="5"/>
        <v>1.6205882674367997E-2</v>
      </c>
      <c r="W83" s="3">
        <v>1.6205882674367997E-2</v>
      </c>
    </row>
    <row r="84" spans="1:23" x14ac:dyDescent="0.55000000000000004">
      <c r="A84" s="3">
        <v>23</v>
      </c>
      <c r="B84" s="3" t="s">
        <v>52</v>
      </c>
      <c r="C84" s="3" t="s">
        <v>49</v>
      </c>
      <c r="D84" s="3" t="s">
        <v>40</v>
      </c>
      <c r="E84" s="2" t="s">
        <v>22</v>
      </c>
      <c r="F84" s="3">
        <v>37</v>
      </c>
      <c r="G84" s="4">
        <v>27.8</v>
      </c>
      <c r="H84" s="4">
        <v>67.3</v>
      </c>
      <c r="I84" s="6">
        <v>5.0319282793878433</v>
      </c>
      <c r="J84" s="5">
        <v>6.7000000000000004E-2</v>
      </c>
      <c r="K84" s="4">
        <v>24</v>
      </c>
      <c r="L84" s="4">
        <v>55.4</v>
      </c>
      <c r="M84" s="6">
        <v>4.442161096869742</v>
      </c>
      <c r="N84" s="5">
        <v>6.2E-2</v>
      </c>
      <c r="O84" s="5">
        <v>0.58976718251810123</v>
      </c>
      <c r="P84" s="5">
        <v>0.58976718251810123</v>
      </c>
      <c r="Q84" s="8">
        <v>0.20138888888888887</v>
      </c>
      <c r="R84" s="8">
        <v>0.88541666666666663</v>
      </c>
      <c r="S84" s="6">
        <f t="shared" si="3"/>
        <v>16.416666666666668</v>
      </c>
      <c r="T84" s="5">
        <f t="shared" si="4"/>
        <v>3.5924904518869108E-2</v>
      </c>
      <c r="U84" s="3">
        <v>2.21</v>
      </c>
      <c r="V84" s="5">
        <f t="shared" si="5"/>
        <v>1.6255612904465658E-2</v>
      </c>
      <c r="W84" s="3">
        <v>1.6255612904465658E-2</v>
      </c>
    </row>
    <row r="85" spans="1:23" x14ac:dyDescent="0.55000000000000004">
      <c r="A85" s="3">
        <v>7</v>
      </c>
      <c r="B85" s="3" t="s">
        <v>53</v>
      </c>
      <c r="C85" s="3" t="s">
        <v>49</v>
      </c>
      <c r="D85" s="3" t="s">
        <v>41</v>
      </c>
      <c r="E85" s="2" t="s">
        <v>8</v>
      </c>
      <c r="F85" s="3">
        <v>5</v>
      </c>
      <c r="G85" s="4">
        <v>21.1</v>
      </c>
      <c r="H85" s="4">
        <v>107.3</v>
      </c>
      <c r="I85" s="6">
        <v>9.0983185541700156</v>
      </c>
      <c r="J85" s="5">
        <v>0.02</v>
      </c>
      <c r="K85" s="4">
        <v>15.2</v>
      </c>
      <c r="L85" s="4">
        <v>89</v>
      </c>
      <c r="M85" s="6">
        <v>8.5212072191791677</v>
      </c>
      <c r="N85" s="5">
        <v>1.7999999999999999E-2</v>
      </c>
      <c r="O85" s="5">
        <v>0.57711133499084788</v>
      </c>
      <c r="P85" s="5">
        <v>0.57711133499084788</v>
      </c>
      <c r="Q85" s="8">
        <v>0.20833333333333334</v>
      </c>
      <c r="R85" s="8">
        <v>0.87083333333333324</v>
      </c>
      <c r="S85" s="6">
        <f t="shared" si="3"/>
        <v>15.899999999999997</v>
      </c>
      <c r="T85" s="5">
        <f t="shared" si="4"/>
        <v>3.6296310376782895E-2</v>
      </c>
      <c r="U85" s="3">
        <v>2.21</v>
      </c>
      <c r="V85" s="5">
        <f t="shared" si="5"/>
        <v>1.6423669853747914E-2</v>
      </c>
      <c r="W85" s="3">
        <v>1.6423669853747914E-2</v>
      </c>
    </row>
    <row r="86" spans="1:23" x14ac:dyDescent="0.55000000000000004">
      <c r="A86" s="3">
        <v>44</v>
      </c>
      <c r="B86" s="3" t="s">
        <v>53</v>
      </c>
      <c r="C86" s="3" t="s">
        <v>49</v>
      </c>
      <c r="D86" s="3" t="s">
        <v>41</v>
      </c>
      <c r="E86" s="3" t="s">
        <v>28</v>
      </c>
      <c r="F86" s="3">
        <v>58</v>
      </c>
      <c r="G86" s="4">
        <v>28.3</v>
      </c>
      <c r="H86" s="4">
        <v>72.599999999999994</v>
      </c>
      <c r="I86" s="6">
        <v>5.3798999769962199</v>
      </c>
      <c r="J86" s="5">
        <v>7.1999999999999995E-2</v>
      </c>
      <c r="K86" s="4">
        <v>23.7</v>
      </c>
      <c r="L86" s="4">
        <v>59.2</v>
      </c>
      <c r="M86" s="6">
        <v>4.773880218096723</v>
      </c>
      <c r="N86" s="5">
        <v>6.5000000000000002E-2</v>
      </c>
      <c r="O86" s="5">
        <v>0.60601975889949689</v>
      </c>
      <c r="P86" s="5">
        <v>0.60601975889949689</v>
      </c>
      <c r="Q86" s="8">
        <v>0.20833333333333334</v>
      </c>
      <c r="R86" s="8">
        <v>0.88888888888888884</v>
      </c>
      <c r="S86" s="6">
        <f t="shared" si="3"/>
        <v>16.333333333333332</v>
      </c>
      <c r="T86" s="5">
        <f t="shared" si="4"/>
        <v>3.7103250544867156E-2</v>
      </c>
      <c r="U86" s="3">
        <v>2.21</v>
      </c>
      <c r="V86" s="5">
        <f t="shared" si="5"/>
        <v>1.6788801151523602E-2</v>
      </c>
      <c r="W86" s="3">
        <v>1.6788801151523602E-2</v>
      </c>
    </row>
    <row r="87" spans="1:23" x14ac:dyDescent="0.55000000000000004">
      <c r="A87" s="3">
        <v>42</v>
      </c>
      <c r="B87" s="3" t="s">
        <v>53</v>
      </c>
      <c r="C87" s="3" t="s">
        <v>49</v>
      </c>
      <c r="D87" s="3" t="s">
        <v>41</v>
      </c>
      <c r="E87" s="2" t="s">
        <v>18</v>
      </c>
      <c r="F87" s="3">
        <v>24</v>
      </c>
      <c r="G87" s="4">
        <v>21.1</v>
      </c>
      <c r="H87" s="4">
        <v>94.3</v>
      </c>
      <c r="I87" s="6">
        <v>7.9960059614001171</v>
      </c>
      <c r="J87" s="5">
        <v>3.9E-2</v>
      </c>
      <c r="K87" s="4">
        <v>19.8</v>
      </c>
      <c r="L87" s="4">
        <v>85</v>
      </c>
      <c r="M87" s="6">
        <v>7.3960392285849981</v>
      </c>
      <c r="N87" s="5">
        <v>3.7999999999999999E-2</v>
      </c>
      <c r="O87" s="5">
        <v>0.59996673281511903</v>
      </c>
      <c r="P87" s="5">
        <v>0.59996673281511903</v>
      </c>
      <c r="Q87" s="8">
        <v>0.21180555555555555</v>
      </c>
      <c r="R87" s="8">
        <v>0.88194444444444453</v>
      </c>
      <c r="S87" s="6">
        <f t="shared" si="3"/>
        <v>16.083333333333336</v>
      </c>
      <c r="T87" s="5">
        <f t="shared" si="4"/>
        <v>3.7303631055862319E-2</v>
      </c>
      <c r="U87" s="3">
        <v>2.21</v>
      </c>
      <c r="V87" s="5">
        <f t="shared" si="5"/>
        <v>1.6879471066001048E-2</v>
      </c>
      <c r="W87" s="3">
        <v>1.6879471066001048E-2</v>
      </c>
    </row>
    <row r="88" spans="1:23" x14ac:dyDescent="0.55000000000000004">
      <c r="A88" s="3">
        <v>56</v>
      </c>
      <c r="B88" s="3" t="s">
        <v>53</v>
      </c>
      <c r="C88" s="3" t="s">
        <v>49</v>
      </c>
      <c r="D88" s="3" t="s">
        <v>41</v>
      </c>
      <c r="E88" s="3" t="s">
        <v>35</v>
      </c>
      <c r="F88" s="3">
        <v>82</v>
      </c>
      <c r="G88" s="4">
        <v>32.299999999999997</v>
      </c>
      <c r="H88" s="4">
        <v>61.7</v>
      </c>
      <c r="I88" s="6">
        <v>4.2652631047065999</v>
      </c>
      <c r="J88" s="5">
        <v>6.4000000000000001E-2</v>
      </c>
      <c r="K88" s="4">
        <v>28.1</v>
      </c>
      <c r="L88" s="4">
        <v>49.2</v>
      </c>
      <c r="M88" s="6">
        <v>3.658915313322157</v>
      </c>
      <c r="N88" s="5">
        <v>6.3E-2</v>
      </c>
      <c r="O88" s="5">
        <v>0.60634779138444284</v>
      </c>
      <c r="P88" s="5">
        <v>0.60634779138444284</v>
      </c>
      <c r="Q88" s="8">
        <v>0.20833333333333334</v>
      </c>
      <c r="R88" s="8">
        <v>0.88541666666666663</v>
      </c>
      <c r="S88" s="6">
        <f t="shared" si="3"/>
        <v>16.25</v>
      </c>
      <c r="T88" s="5">
        <f t="shared" si="4"/>
        <v>3.7313710239042633E-2</v>
      </c>
      <c r="U88" s="3">
        <v>2.21</v>
      </c>
      <c r="V88" s="5">
        <f t="shared" si="5"/>
        <v>1.6884031782372234E-2</v>
      </c>
      <c r="W88" s="3">
        <v>1.6884031782372234E-2</v>
      </c>
    </row>
    <row r="89" spans="1:23" x14ac:dyDescent="0.55000000000000004">
      <c r="A89" s="3">
        <v>54</v>
      </c>
      <c r="B89" s="3" t="s">
        <v>48</v>
      </c>
      <c r="C89" s="3" t="s">
        <v>50</v>
      </c>
      <c r="D89" s="3" t="s">
        <v>10</v>
      </c>
      <c r="E89" s="3" t="s">
        <v>33</v>
      </c>
      <c r="F89" s="3">
        <v>75</v>
      </c>
      <c r="G89" s="4">
        <v>28.1</v>
      </c>
      <c r="H89" s="4">
        <v>67.900000000000006</v>
      </c>
      <c r="I89" s="6">
        <v>5.0496006051742777</v>
      </c>
      <c r="J89" s="5">
        <v>0.06</v>
      </c>
      <c r="K89" s="4">
        <v>23.8</v>
      </c>
      <c r="L89" s="4">
        <v>55.2</v>
      </c>
      <c r="M89" s="6">
        <v>4.4428942991793372</v>
      </c>
      <c r="N89" s="5">
        <v>5.6000000000000001E-2</v>
      </c>
      <c r="O89" s="5">
        <v>0.60670630599494046</v>
      </c>
      <c r="P89" s="5">
        <v>0.60670630599494046</v>
      </c>
      <c r="Q89" s="8">
        <v>0.20833333333333334</v>
      </c>
      <c r="R89" s="8">
        <v>0.88541666666666663</v>
      </c>
      <c r="S89" s="6">
        <f t="shared" si="3"/>
        <v>16.25</v>
      </c>
      <c r="T89" s="5">
        <f t="shared" si="4"/>
        <v>3.7335772676611721E-2</v>
      </c>
      <c r="U89" s="3">
        <v>2.21</v>
      </c>
      <c r="V89" s="5">
        <f t="shared" si="5"/>
        <v>1.6894014785797159E-2</v>
      </c>
      <c r="W89" s="3">
        <v>1.6894014785797159E-2</v>
      </c>
    </row>
    <row r="90" spans="1:23" x14ac:dyDescent="0.55000000000000004">
      <c r="A90" s="3">
        <v>7</v>
      </c>
      <c r="B90" s="3" t="s">
        <v>53</v>
      </c>
      <c r="C90" s="3" t="s">
        <v>49</v>
      </c>
      <c r="D90" s="3" t="s">
        <v>41</v>
      </c>
      <c r="E90" s="2" t="s">
        <v>18</v>
      </c>
      <c r="F90" s="3">
        <v>24</v>
      </c>
      <c r="G90" s="4">
        <v>22.1</v>
      </c>
      <c r="H90" s="4">
        <v>90.1</v>
      </c>
      <c r="I90" s="6">
        <v>7.4920499043026298</v>
      </c>
      <c r="J90" s="5">
        <v>0.04</v>
      </c>
      <c r="K90" s="4">
        <v>19.7</v>
      </c>
      <c r="L90" s="4">
        <v>79</v>
      </c>
      <c r="M90" s="6">
        <v>6.8877816231182996</v>
      </c>
      <c r="N90" s="5">
        <v>3.7999999999999999E-2</v>
      </c>
      <c r="O90" s="5">
        <v>0.60426828118433029</v>
      </c>
      <c r="P90" s="5">
        <v>0.60426828118433029</v>
      </c>
      <c r="Q90" s="8">
        <v>0.21180555555555555</v>
      </c>
      <c r="R90" s="8">
        <v>0.88194444444444453</v>
      </c>
      <c r="S90" s="6">
        <f t="shared" si="3"/>
        <v>16.083333333333336</v>
      </c>
      <c r="T90" s="5">
        <f t="shared" si="4"/>
        <v>3.7571084840476492E-2</v>
      </c>
      <c r="U90" s="3">
        <v>2.21</v>
      </c>
      <c r="V90" s="5">
        <f t="shared" si="5"/>
        <v>1.7000490878043659E-2</v>
      </c>
      <c r="W90" s="3">
        <v>1.7000490878043659E-2</v>
      </c>
    </row>
    <row r="91" spans="1:23" x14ac:dyDescent="0.55000000000000004">
      <c r="A91" s="3">
        <v>56</v>
      </c>
      <c r="B91" s="3" t="s">
        <v>53</v>
      </c>
      <c r="C91" s="3" t="s">
        <v>49</v>
      </c>
      <c r="D91" s="3" t="s">
        <v>41</v>
      </c>
      <c r="E91" s="2" t="s">
        <v>20</v>
      </c>
      <c r="F91" s="3">
        <v>30</v>
      </c>
      <c r="G91" s="4">
        <v>27.4</v>
      </c>
      <c r="H91" s="4">
        <v>83.1</v>
      </c>
      <c r="I91" s="6">
        <v>6.2581249982852167</v>
      </c>
      <c r="J91" s="5">
        <v>4.5999999999999999E-2</v>
      </c>
      <c r="K91" s="4">
        <v>23.9</v>
      </c>
      <c r="L91" s="4">
        <v>70.3</v>
      </c>
      <c r="M91" s="6">
        <v>5.6475550423900458</v>
      </c>
      <c r="N91" s="5">
        <v>4.4999999999999998E-2</v>
      </c>
      <c r="O91" s="5">
        <v>0.61056995589517093</v>
      </c>
      <c r="P91" s="5">
        <v>0.61056995589517093</v>
      </c>
      <c r="Q91" s="8">
        <v>0.20833333333333334</v>
      </c>
      <c r="R91" s="8">
        <v>0.88541666666666663</v>
      </c>
      <c r="S91" s="6">
        <f t="shared" si="3"/>
        <v>16.25</v>
      </c>
      <c r="T91" s="5">
        <f t="shared" si="4"/>
        <v>3.7573535747395137E-2</v>
      </c>
      <c r="U91" s="3">
        <v>2.21</v>
      </c>
      <c r="V91" s="5">
        <f t="shared" si="5"/>
        <v>1.7001599885699156E-2</v>
      </c>
      <c r="W91" s="3">
        <v>1.7001599885699156E-2</v>
      </c>
    </row>
    <row r="92" spans="1:23" x14ac:dyDescent="0.55000000000000004">
      <c r="A92" s="3">
        <v>48</v>
      </c>
      <c r="B92" s="3" t="s">
        <v>52</v>
      </c>
      <c r="C92" s="3" t="s">
        <v>49</v>
      </c>
      <c r="D92" s="3" t="s">
        <v>40</v>
      </c>
      <c r="E92" s="3" t="s">
        <v>27</v>
      </c>
      <c r="F92" s="3">
        <v>54</v>
      </c>
      <c r="G92" s="4">
        <v>27.1</v>
      </c>
      <c r="H92" s="4">
        <v>74.7</v>
      </c>
      <c r="I92" s="6">
        <v>5.656106009620391</v>
      </c>
      <c r="J92" s="5">
        <v>7.2999999999999995E-2</v>
      </c>
      <c r="K92" s="4">
        <v>24.5</v>
      </c>
      <c r="L92" s="4">
        <v>63.4</v>
      </c>
      <c r="M92" s="6">
        <v>5.0360248383452699</v>
      </c>
      <c r="N92" s="5">
        <v>7.2999999999999995E-2</v>
      </c>
      <c r="O92" s="5">
        <v>0.62008117127512108</v>
      </c>
      <c r="P92" s="5">
        <v>0.62008117127512108</v>
      </c>
      <c r="Q92" s="8">
        <v>0.20833333333333334</v>
      </c>
      <c r="R92" s="8">
        <v>0.89583333333333337</v>
      </c>
      <c r="S92" s="6">
        <f t="shared" si="3"/>
        <v>16.5</v>
      </c>
      <c r="T92" s="5">
        <f t="shared" si="4"/>
        <v>3.7580677046977033E-2</v>
      </c>
      <c r="U92" s="3">
        <v>2.21</v>
      </c>
      <c r="V92" s="5">
        <f t="shared" si="5"/>
        <v>1.7004831242976033E-2</v>
      </c>
      <c r="W92" s="3">
        <v>1.7004831242976033E-2</v>
      </c>
    </row>
    <row r="93" spans="1:23" x14ac:dyDescent="0.55000000000000004">
      <c r="A93" s="3">
        <v>23</v>
      </c>
      <c r="B93" s="3" t="s">
        <v>52</v>
      </c>
      <c r="C93" s="3" t="s">
        <v>49</v>
      </c>
      <c r="D93" s="3" t="s">
        <v>40</v>
      </c>
      <c r="E93" s="2" t="s">
        <v>8</v>
      </c>
      <c r="F93" s="3">
        <v>5</v>
      </c>
      <c r="G93" s="4">
        <v>20.9</v>
      </c>
      <c r="H93" s="4">
        <v>102.7</v>
      </c>
      <c r="I93" s="6">
        <v>8.7426654485376485</v>
      </c>
      <c r="J93" s="5">
        <v>1.9E-2</v>
      </c>
      <c r="K93" s="4">
        <v>15.6</v>
      </c>
      <c r="L93" s="4">
        <v>85.8</v>
      </c>
      <c r="M93" s="6">
        <v>8.1445417028641742</v>
      </c>
      <c r="N93" s="5">
        <v>1.7999999999999999E-2</v>
      </c>
      <c r="O93" s="5">
        <v>0.59812374567347426</v>
      </c>
      <c r="P93" s="5">
        <v>0.59812374567347426</v>
      </c>
      <c r="Q93" s="8">
        <v>0.20833333333333334</v>
      </c>
      <c r="R93" s="8">
        <v>0.87083333333333324</v>
      </c>
      <c r="S93" s="6">
        <f t="shared" si="3"/>
        <v>15.899999999999997</v>
      </c>
      <c r="T93" s="5">
        <f t="shared" si="4"/>
        <v>3.7617845639841156E-2</v>
      </c>
      <c r="U93" s="3">
        <v>2.21</v>
      </c>
      <c r="V93" s="5">
        <f t="shared" si="5"/>
        <v>1.7021649610787854E-2</v>
      </c>
      <c r="W93" s="3">
        <v>1.7021649610787854E-2</v>
      </c>
    </row>
    <row r="94" spans="1:23" x14ac:dyDescent="0.55000000000000004">
      <c r="A94" s="3">
        <v>8</v>
      </c>
      <c r="B94" s="3" t="s">
        <v>51</v>
      </c>
      <c r="C94" s="3" t="s">
        <v>50</v>
      </c>
      <c r="D94" s="3" t="s">
        <v>9</v>
      </c>
      <c r="E94" s="2" t="s">
        <v>18</v>
      </c>
      <c r="F94" s="3">
        <v>24</v>
      </c>
      <c r="G94" s="4">
        <v>22.4</v>
      </c>
      <c r="H94" s="4">
        <v>89.8</v>
      </c>
      <c r="I94" s="6">
        <v>7.423870192171333</v>
      </c>
      <c r="J94" s="5">
        <v>3.5000000000000003E-2</v>
      </c>
      <c r="K94" s="4">
        <v>19.899999999999999</v>
      </c>
      <c r="L94" s="4">
        <v>78.400000000000006</v>
      </c>
      <c r="M94" s="6">
        <v>6.808095643013222</v>
      </c>
      <c r="N94" s="5">
        <v>3.3000000000000002E-2</v>
      </c>
      <c r="O94" s="5">
        <v>0.61577454915811103</v>
      </c>
      <c r="P94" s="5">
        <v>0.61577454915811103</v>
      </c>
      <c r="Q94" s="8">
        <v>0.21180555555555555</v>
      </c>
      <c r="R94" s="8">
        <v>0.88194444444444453</v>
      </c>
      <c r="S94" s="6">
        <f t="shared" si="3"/>
        <v>16.083333333333336</v>
      </c>
      <c r="T94" s="5">
        <f t="shared" si="4"/>
        <v>3.8286500465789283E-2</v>
      </c>
      <c r="U94" s="3">
        <v>2.21</v>
      </c>
      <c r="V94" s="5">
        <f t="shared" si="5"/>
        <v>1.7324208355560762E-2</v>
      </c>
      <c r="W94" s="3">
        <v>1.7324208355560762E-2</v>
      </c>
    </row>
    <row r="95" spans="1:23" x14ac:dyDescent="0.55000000000000004">
      <c r="A95" s="3">
        <v>56</v>
      </c>
      <c r="B95" s="3" t="s">
        <v>53</v>
      </c>
      <c r="C95" s="3" t="s">
        <v>49</v>
      </c>
      <c r="D95" s="3" t="s">
        <v>41</v>
      </c>
      <c r="E95" s="2" t="s">
        <v>8</v>
      </c>
      <c r="F95" s="3">
        <v>5</v>
      </c>
      <c r="G95" s="4">
        <v>21</v>
      </c>
      <c r="H95" s="4">
        <v>109.2</v>
      </c>
      <c r="I95" s="6">
        <v>9.2776808152250609</v>
      </c>
      <c r="J95" s="5">
        <v>1.9E-2</v>
      </c>
      <c r="K95" s="4">
        <v>15.7</v>
      </c>
      <c r="L95" s="4">
        <v>91.5</v>
      </c>
      <c r="M95" s="6">
        <v>8.667049236615922</v>
      </c>
      <c r="N95" s="5">
        <v>1.7999999999999999E-2</v>
      </c>
      <c r="O95" s="5">
        <v>0.61063157860913897</v>
      </c>
      <c r="P95" s="5">
        <v>0.61063157860913897</v>
      </c>
      <c r="Q95" s="8">
        <v>0.20833333333333334</v>
      </c>
      <c r="R95" s="8">
        <v>0.87083333333333324</v>
      </c>
      <c r="S95" s="6">
        <f t="shared" si="3"/>
        <v>15.899999999999997</v>
      </c>
      <c r="T95" s="5">
        <f t="shared" si="4"/>
        <v>3.8404501799316926E-2</v>
      </c>
      <c r="U95" s="3">
        <v>2.21</v>
      </c>
      <c r="V95" s="5">
        <f t="shared" si="5"/>
        <v>1.7377602624125306E-2</v>
      </c>
      <c r="W95" s="3">
        <v>1.7377602624125306E-2</v>
      </c>
    </row>
    <row r="96" spans="1:23" x14ac:dyDescent="0.55000000000000004">
      <c r="A96" s="3">
        <v>10</v>
      </c>
      <c r="B96" s="3" t="s">
        <v>51</v>
      </c>
      <c r="C96" s="3" t="s">
        <v>49</v>
      </c>
      <c r="D96" s="3" t="s">
        <v>39</v>
      </c>
      <c r="E96" s="2" t="s">
        <v>20</v>
      </c>
      <c r="F96" s="3">
        <v>30</v>
      </c>
      <c r="G96" s="4">
        <v>26.5</v>
      </c>
      <c r="H96" s="4">
        <v>71.099999999999994</v>
      </c>
      <c r="I96" s="6">
        <v>5.4425480254478202</v>
      </c>
      <c r="J96" s="5">
        <v>5.6000000000000001E-2</v>
      </c>
      <c r="K96" s="4">
        <v>23.6</v>
      </c>
      <c r="L96" s="4">
        <v>59.6</v>
      </c>
      <c r="M96" s="6">
        <v>4.8152643482901647</v>
      </c>
      <c r="N96" s="5">
        <v>5.0999999999999997E-2</v>
      </c>
      <c r="O96" s="5">
        <v>0.62728367715765554</v>
      </c>
      <c r="P96" s="5">
        <v>0.62728367715765554</v>
      </c>
      <c r="Q96" s="8">
        <v>0.20833333333333334</v>
      </c>
      <c r="R96" s="8">
        <v>0.88541666666666663</v>
      </c>
      <c r="S96" s="6">
        <f t="shared" si="3"/>
        <v>16.25</v>
      </c>
      <c r="T96" s="5">
        <f t="shared" si="4"/>
        <v>3.8602072440471112E-2</v>
      </c>
      <c r="U96" s="3">
        <v>2.21</v>
      </c>
      <c r="V96" s="5">
        <f t="shared" si="5"/>
        <v>1.7467001104285569E-2</v>
      </c>
      <c r="W96" s="3">
        <v>1.7467001104285569E-2</v>
      </c>
    </row>
    <row r="97" spans="1:23" x14ac:dyDescent="0.55000000000000004">
      <c r="A97" s="3">
        <v>47</v>
      </c>
      <c r="B97" s="3" t="s">
        <v>52</v>
      </c>
      <c r="C97" s="3" t="s">
        <v>50</v>
      </c>
      <c r="D97" s="3" t="s">
        <v>12</v>
      </c>
      <c r="E97" s="2" t="s">
        <v>18</v>
      </c>
      <c r="F97" s="3">
        <v>24</v>
      </c>
      <c r="G97" s="4">
        <v>22.6</v>
      </c>
      <c r="H97" s="4">
        <v>95.4</v>
      </c>
      <c r="I97" s="6">
        <v>7.8564653293239637</v>
      </c>
      <c r="J97" s="5">
        <v>4.8000000000000001E-2</v>
      </c>
      <c r="K97" s="4">
        <v>19.899999999999999</v>
      </c>
      <c r="L97" s="4">
        <v>83.3</v>
      </c>
      <c r="M97" s="6">
        <v>7.2336016207015481</v>
      </c>
      <c r="N97" s="5">
        <v>4.4999999999999998E-2</v>
      </c>
      <c r="O97" s="5">
        <v>0.62286370862241558</v>
      </c>
      <c r="P97" s="5">
        <v>0.62286370862241558</v>
      </c>
      <c r="Q97" s="8">
        <v>0.21180555555555555</v>
      </c>
      <c r="R97" s="8">
        <v>0.88194444444444453</v>
      </c>
      <c r="S97" s="6">
        <f t="shared" si="3"/>
        <v>16.083333333333336</v>
      </c>
      <c r="T97" s="5">
        <f t="shared" si="4"/>
        <v>3.8727277220046562E-2</v>
      </c>
      <c r="U97" s="3">
        <v>2.21</v>
      </c>
      <c r="V97" s="5">
        <f t="shared" si="5"/>
        <v>1.7523654850699802E-2</v>
      </c>
      <c r="W97" s="3">
        <v>1.7523654850699802E-2</v>
      </c>
    </row>
    <row r="98" spans="1:23" x14ac:dyDescent="0.55000000000000004">
      <c r="A98" s="3">
        <v>44</v>
      </c>
      <c r="B98" s="3" t="s">
        <v>53</v>
      </c>
      <c r="C98" s="3" t="s">
        <v>49</v>
      </c>
      <c r="D98" s="3" t="s">
        <v>41</v>
      </c>
      <c r="E98" s="2" t="s">
        <v>14</v>
      </c>
      <c r="F98" s="3">
        <v>10</v>
      </c>
      <c r="G98" s="4">
        <v>22.2</v>
      </c>
      <c r="H98" s="4">
        <v>89.4</v>
      </c>
      <c r="I98" s="6">
        <v>7.4194475443103078</v>
      </c>
      <c r="J98" s="5">
        <v>2.1999999999999999E-2</v>
      </c>
      <c r="K98" s="4">
        <v>20</v>
      </c>
      <c r="L98" s="4">
        <v>78.5</v>
      </c>
      <c r="M98" s="6">
        <v>6.8031468670744406</v>
      </c>
      <c r="N98" s="5">
        <v>2.3E-2</v>
      </c>
      <c r="O98" s="5">
        <v>0.61630067723586723</v>
      </c>
      <c r="P98" s="5">
        <v>0.61630067723586723</v>
      </c>
      <c r="Q98" s="8">
        <v>0.20555555555555557</v>
      </c>
      <c r="R98" s="8">
        <v>0.86805555555555547</v>
      </c>
      <c r="S98" s="6">
        <f t="shared" si="3"/>
        <v>15.899999999999997</v>
      </c>
      <c r="T98" s="5">
        <f t="shared" si="4"/>
        <v>3.8761048882758956E-2</v>
      </c>
      <c r="U98" s="3">
        <v>2.21</v>
      </c>
      <c r="V98" s="5">
        <f t="shared" si="5"/>
        <v>1.7538936146044775E-2</v>
      </c>
      <c r="W98" s="3">
        <v>1.7538936146044775E-2</v>
      </c>
    </row>
    <row r="99" spans="1:23" x14ac:dyDescent="0.55000000000000004">
      <c r="A99" s="3">
        <v>56</v>
      </c>
      <c r="B99" s="3" t="s">
        <v>53</v>
      </c>
      <c r="C99" s="3" t="s">
        <v>49</v>
      </c>
      <c r="D99" s="3" t="s">
        <v>41</v>
      </c>
      <c r="E99" s="2" t="s">
        <v>17</v>
      </c>
      <c r="F99" s="3">
        <v>19</v>
      </c>
      <c r="G99" s="4">
        <v>21.9</v>
      </c>
      <c r="H99" s="4">
        <v>74.099999999999994</v>
      </c>
      <c r="I99" s="6">
        <v>6.1855933110305701</v>
      </c>
      <c r="J99" s="5">
        <v>3.3000000000000002E-2</v>
      </c>
      <c r="K99" s="4">
        <v>16.7</v>
      </c>
      <c r="L99" s="4">
        <v>59.9</v>
      </c>
      <c r="M99" s="6">
        <v>5.554770164787648</v>
      </c>
      <c r="N99" s="5">
        <v>0.03</v>
      </c>
      <c r="O99" s="5">
        <v>0.63082314624292213</v>
      </c>
      <c r="P99" s="5">
        <v>0.63082314624292213</v>
      </c>
      <c r="Q99" s="8">
        <v>0.19930555555555554</v>
      </c>
      <c r="R99" s="8">
        <v>0.875</v>
      </c>
      <c r="S99" s="6">
        <f t="shared" si="3"/>
        <v>16.216666666666669</v>
      </c>
      <c r="T99" s="5">
        <f t="shared" si="4"/>
        <v>3.8899680138309682E-2</v>
      </c>
      <c r="U99" s="3">
        <v>2.21</v>
      </c>
      <c r="V99" s="5">
        <f t="shared" si="5"/>
        <v>1.7601665220954608E-2</v>
      </c>
      <c r="W99" s="3">
        <v>1.7601665220954608E-2</v>
      </c>
    </row>
    <row r="100" spans="1:23" x14ac:dyDescent="0.55000000000000004">
      <c r="A100" s="3">
        <v>11</v>
      </c>
      <c r="B100" s="3" t="s">
        <v>53</v>
      </c>
      <c r="C100" s="3" t="s">
        <v>49</v>
      </c>
      <c r="D100" s="3" t="s">
        <v>41</v>
      </c>
      <c r="E100" s="2" t="s">
        <v>8</v>
      </c>
      <c r="F100" s="3">
        <v>5</v>
      </c>
      <c r="G100" s="4">
        <v>21.3</v>
      </c>
      <c r="H100" s="4">
        <v>106.1</v>
      </c>
      <c r="I100" s="6">
        <v>8.9612750059135831</v>
      </c>
      <c r="J100" s="5">
        <v>1.9E-2</v>
      </c>
      <c r="K100" s="4">
        <v>15.8</v>
      </c>
      <c r="L100" s="4">
        <v>88.2</v>
      </c>
      <c r="M100" s="6">
        <v>8.336640024912171</v>
      </c>
      <c r="N100" s="5">
        <v>1.7999999999999999E-2</v>
      </c>
      <c r="O100" s="5">
        <v>0.62463498100141202</v>
      </c>
      <c r="P100" s="5">
        <v>0.62463498100141202</v>
      </c>
      <c r="Q100" s="8">
        <v>0.20833333333333334</v>
      </c>
      <c r="R100" s="8">
        <v>0.87083333333333324</v>
      </c>
      <c r="S100" s="6">
        <f t="shared" si="3"/>
        <v>15.899999999999997</v>
      </c>
      <c r="T100" s="5">
        <f t="shared" si="4"/>
        <v>3.9285218930906425E-2</v>
      </c>
      <c r="U100" s="3">
        <v>2.21</v>
      </c>
      <c r="V100" s="5">
        <f t="shared" si="5"/>
        <v>1.7776117163306075E-2</v>
      </c>
      <c r="W100" s="3">
        <v>1.7776117163306075E-2</v>
      </c>
    </row>
    <row r="101" spans="1:23" x14ac:dyDescent="0.55000000000000004">
      <c r="A101" s="3">
        <v>49</v>
      </c>
      <c r="B101" s="3" t="s">
        <v>51</v>
      </c>
      <c r="C101" s="3" t="s">
        <v>49</v>
      </c>
      <c r="D101" s="3" t="s">
        <v>39</v>
      </c>
      <c r="E101" s="2" t="s">
        <v>17</v>
      </c>
      <c r="F101" s="3">
        <v>19</v>
      </c>
      <c r="G101" s="4">
        <v>21.8</v>
      </c>
      <c r="H101" s="4">
        <v>82.4</v>
      </c>
      <c r="I101" s="6">
        <v>6.8918503319717184</v>
      </c>
      <c r="J101" s="5">
        <v>3.1E-2</v>
      </c>
      <c r="K101" s="4">
        <v>16.899999999999999</v>
      </c>
      <c r="L101" s="4">
        <v>67.7</v>
      </c>
      <c r="M101" s="6">
        <v>6.2517728666768582</v>
      </c>
      <c r="N101" s="5">
        <v>2.8000000000000001E-2</v>
      </c>
      <c r="O101" s="5">
        <v>0.6400774652948602</v>
      </c>
      <c r="P101" s="5">
        <v>0.6400774652948602</v>
      </c>
      <c r="Q101" s="8">
        <v>0.19930555555555554</v>
      </c>
      <c r="R101" s="8">
        <v>0.875</v>
      </c>
      <c r="S101" s="6">
        <f t="shared" si="3"/>
        <v>16.216666666666669</v>
      </c>
      <c r="T101" s="5">
        <f t="shared" si="4"/>
        <v>3.947034729464708E-2</v>
      </c>
      <c r="U101" s="3">
        <v>2.21</v>
      </c>
      <c r="V101" s="5">
        <f t="shared" si="5"/>
        <v>1.7859885653686462E-2</v>
      </c>
      <c r="W101" s="3">
        <v>1.7859885653686462E-2</v>
      </c>
    </row>
    <row r="102" spans="1:23" x14ac:dyDescent="0.55000000000000004">
      <c r="A102" s="3">
        <v>52</v>
      </c>
      <c r="B102" s="3" t="s">
        <v>48</v>
      </c>
      <c r="C102" s="3" t="s">
        <v>49</v>
      </c>
      <c r="D102" s="3" t="s">
        <v>38</v>
      </c>
      <c r="E102" s="2" t="s">
        <v>18</v>
      </c>
      <c r="F102" s="3">
        <v>24</v>
      </c>
      <c r="G102" s="4">
        <v>22.7</v>
      </c>
      <c r="H102" s="4">
        <v>81.7</v>
      </c>
      <c r="I102" s="6">
        <v>6.7152945888239337</v>
      </c>
      <c r="J102" s="5">
        <v>3.2000000000000001E-2</v>
      </c>
      <c r="K102" s="4">
        <v>20.100000000000001</v>
      </c>
      <c r="L102" s="4">
        <v>70.3</v>
      </c>
      <c r="M102" s="6">
        <v>6.0803336912118731</v>
      </c>
      <c r="N102" s="5">
        <v>3.1E-2</v>
      </c>
      <c r="O102" s="5">
        <v>0.63496089761206065</v>
      </c>
      <c r="P102" s="5">
        <v>0.63496089761206065</v>
      </c>
      <c r="Q102" s="8">
        <v>0.21180555555555555</v>
      </c>
      <c r="R102" s="8">
        <v>0.88194444444444453</v>
      </c>
      <c r="S102" s="6">
        <f t="shared" si="3"/>
        <v>16.083333333333336</v>
      </c>
      <c r="T102" s="5">
        <f t="shared" si="4"/>
        <v>3.947943404841827E-2</v>
      </c>
      <c r="U102" s="3">
        <v>2.21</v>
      </c>
      <c r="V102" s="5">
        <f t="shared" si="5"/>
        <v>1.7863997306976593E-2</v>
      </c>
      <c r="W102" s="3">
        <v>1.7863997306976593E-2</v>
      </c>
    </row>
    <row r="103" spans="1:23" x14ac:dyDescent="0.55000000000000004">
      <c r="A103" s="3">
        <v>24</v>
      </c>
      <c r="B103" s="3" t="s">
        <v>52</v>
      </c>
      <c r="C103" s="3" t="s">
        <v>49</v>
      </c>
      <c r="D103" s="3" t="s">
        <v>40</v>
      </c>
      <c r="E103" s="2" t="s">
        <v>18</v>
      </c>
      <c r="F103" s="3">
        <v>24</v>
      </c>
      <c r="G103" s="4">
        <v>22.3</v>
      </c>
      <c r="H103" s="4">
        <v>89.6</v>
      </c>
      <c r="I103" s="6">
        <v>7.4216667264966159</v>
      </c>
      <c r="J103" s="5">
        <v>3.3000000000000002E-2</v>
      </c>
      <c r="K103" s="4">
        <v>20</v>
      </c>
      <c r="L103" s="4">
        <v>78.3</v>
      </c>
      <c r="M103" s="6">
        <v>6.785814008814377</v>
      </c>
      <c r="N103" s="5">
        <v>3.6999999999999998E-2</v>
      </c>
      <c r="O103" s="5">
        <v>0.63585271768223883</v>
      </c>
      <c r="P103" s="5">
        <v>0.63585271768223883</v>
      </c>
      <c r="Q103" s="8">
        <v>0.21180555555555555</v>
      </c>
      <c r="R103" s="8">
        <v>0.88194444444444453</v>
      </c>
      <c r="S103" s="6">
        <f t="shared" si="3"/>
        <v>16.083333333333336</v>
      </c>
      <c r="T103" s="5">
        <f t="shared" si="4"/>
        <v>3.9534884000968211E-2</v>
      </c>
      <c r="U103" s="3">
        <v>2.21</v>
      </c>
      <c r="V103" s="5">
        <f t="shared" si="5"/>
        <v>1.7889087783243537E-2</v>
      </c>
      <c r="W103" s="3">
        <v>1.7889087783243537E-2</v>
      </c>
    </row>
    <row r="104" spans="1:23" x14ac:dyDescent="0.55000000000000004">
      <c r="A104" s="3">
        <v>2</v>
      </c>
      <c r="B104" s="3" t="s">
        <v>48</v>
      </c>
      <c r="C104" s="3" t="s">
        <v>49</v>
      </c>
      <c r="D104" s="3" t="s">
        <v>38</v>
      </c>
      <c r="E104" s="2" t="s">
        <v>24</v>
      </c>
      <c r="F104" s="3">
        <v>44</v>
      </c>
      <c r="G104" s="4">
        <v>24.8</v>
      </c>
      <c r="H104" s="4">
        <v>85.2</v>
      </c>
      <c r="I104" s="6">
        <v>6.7297696698327556</v>
      </c>
      <c r="J104" s="5">
        <v>6.3E-2</v>
      </c>
      <c r="K104" s="4">
        <v>21.1</v>
      </c>
      <c r="L104" s="4">
        <v>71.5</v>
      </c>
      <c r="M104" s="6">
        <v>6.0627192602344477</v>
      </c>
      <c r="N104" s="5">
        <v>5.8000000000000003E-2</v>
      </c>
      <c r="O104" s="5">
        <v>0.66705040959830786</v>
      </c>
      <c r="P104" s="5">
        <v>0.66705040959830786</v>
      </c>
      <c r="Q104" s="8">
        <v>0.20277777777777781</v>
      </c>
      <c r="R104" s="8">
        <v>0.90277777777777779</v>
      </c>
      <c r="S104" s="6">
        <f t="shared" si="3"/>
        <v>16.799999999999997</v>
      </c>
      <c r="T104" s="5">
        <f t="shared" si="4"/>
        <v>3.970538152370881E-2</v>
      </c>
      <c r="U104" s="3">
        <v>2.21</v>
      </c>
      <c r="V104" s="5">
        <f t="shared" si="5"/>
        <v>1.7966235983578646E-2</v>
      </c>
      <c r="W104" s="3">
        <v>1.7966235983578646E-2</v>
      </c>
    </row>
    <row r="105" spans="1:23" x14ac:dyDescent="0.55000000000000004">
      <c r="A105" s="3">
        <v>52</v>
      </c>
      <c r="B105" s="3" t="s">
        <v>48</v>
      </c>
      <c r="C105" s="3" t="s">
        <v>49</v>
      </c>
      <c r="D105" s="3" t="s">
        <v>38</v>
      </c>
      <c r="E105" s="2" t="s">
        <v>17</v>
      </c>
      <c r="F105" s="3">
        <v>19</v>
      </c>
      <c r="G105" s="4">
        <v>21.9</v>
      </c>
      <c r="H105" s="4">
        <v>71</v>
      </c>
      <c r="I105" s="6">
        <v>5.9268168027418424</v>
      </c>
      <c r="J105" s="5">
        <v>3.1E-2</v>
      </c>
      <c r="K105" s="4">
        <v>16.899999999999999</v>
      </c>
      <c r="L105" s="4">
        <v>57.2</v>
      </c>
      <c r="M105" s="6">
        <v>5.2821478282705518</v>
      </c>
      <c r="N105" s="5">
        <v>2.7E-2</v>
      </c>
      <c r="O105" s="5">
        <v>0.64466897447129057</v>
      </c>
      <c r="P105" s="5">
        <v>0.64466897447129057</v>
      </c>
      <c r="Q105" s="8">
        <v>0.19930555555555554</v>
      </c>
      <c r="R105" s="8">
        <v>0.875</v>
      </c>
      <c r="S105" s="6">
        <f t="shared" si="3"/>
        <v>16.216666666666669</v>
      </c>
      <c r="T105" s="5">
        <f t="shared" si="4"/>
        <v>3.9753482495660256E-2</v>
      </c>
      <c r="U105" s="3">
        <v>2.21</v>
      </c>
      <c r="V105" s="5">
        <f t="shared" si="5"/>
        <v>1.7988001129258035E-2</v>
      </c>
      <c r="W105" s="3">
        <v>1.7988001129258035E-2</v>
      </c>
    </row>
    <row r="106" spans="1:23" x14ac:dyDescent="0.55000000000000004">
      <c r="A106" s="3">
        <v>24</v>
      </c>
      <c r="B106" s="3" t="s">
        <v>52</v>
      </c>
      <c r="C106" s="3" t="s">
        <v>49</v>
      </c>
      <c r="D106" s="3" t="s">
        <v>40</v>
      </c>
      <c r="E106" s="2" t="s">
        <v>8</v>
      </c>
      <c r="F106" s="3">
        <v>5</v>
      </c>
      <c r="G106" s="4">
        <v>21.2</v>
      </c>
      <c r="H106" s="4">
        <v>100.5</v>
      </c>
      <c r="I106" s="6">
        <v>8.5049811825299564</v>
      </c>
      <c r="J106" s="5">
        <v>1.9E-2</v>
      </c>
      <c r="K106" s="4">
        <v>15.7</v>
      </c>
      <c r="L106" s="4">
        <v>83.1</v>
      </c>
      <c r="M106" s="6">
        <v>7.8713857001397063</v>
      </c>
      <c r="N106" s="5">
        <v>1.7999999999999999E-2</v>
      </c>
      <c r="O106" s="5">
        <v>0.6335954823902501</v>
      </c>
      <c r="P106" s="5">
        <v>0.6335954823902501</v>
      </c>
      <c r="Q106" s="8">
        <v>0.20833333333333334</v>
      </c>
      <c r="R106" s="8">
        <v>0.87083333333333324</v>
      </c>
      <c r="S106" s="6">
        <f t="shared" si="3"/>
        <v>15.899999999999997</v>
      </c>
      <c r="T106" s="5">
        <f t="shared" si="4"/>
        <v>3.9848772477374228E-2</v>
      </c>
      <c r="U106" s="3">
        <v>2.21</v>
      </c>
      <c r="V106" s="5">
        <f t="shared" si="5"/>
        <v>1.8031118768042639E-2</v>
      </c>
      <c r="W106" s="3">
        <v>1.8031118768042639E-2</v>
      </c>
    </row>
    <row r="107" spans="1:23" x14ac:dyDescent="0.55000000000000004">
      <c r="A107" s="3">
        <v>46</v>
      </c>
      <c r="B107" s="3" t="s">
        <v>51</v>
      </c>
      <c r="C107" s="3" t="s">
        <v>49</v>
      </c>
      <c r="D107" s="3" t="s">
        <v>39</v>
      </c>
      <c r="E107" s="2" t="s">
        <v>14</v>
      </c>
      <c r="F107" s="3">
        <v>10</v>
      </c>
      <c r="G107" s="4">
        <v>22.2</v>
      </c>
      <c r="H107" s="4">
        <v>93.9</v>
      </c>
      <c r="I107" s="6">
        <v>7.7929096690239144</v>
      </c>
      <c r="J107" s="5">
        <v>2.1000000000000001E-2</v>
      </c>
      <c r="K107" s="4">
        <v>20</v>
      </c>
      <c r="L107" s="4">
        <v>82.6</v>
      </c>
      <c r="M107" s="6">
        <v>7.1584704614057157</v>
      </c>
      <c r="N107" s="5">
        <v>2.1000000000000001E-2</v>
      </c>
      <c r="O107" s="5">
        <v>0.63443920761819861</v>
      </c>
      <c r="P107" s="5">
        <v>0.63443920761819861</v>
      </c>
      <c r="Q107" s="8">
        <v>0.20555555555555557</v>
      </c>
      <c r="R107" s="8">
        <v>0.86805555555555547</v>
      </c>
      <c r="S107" s="6">
        <f t="shared" si="3"/>
        <v>15.899999999999997</v>
      </c>
      <c r="T107" s="5">
        <f t="shared" si="4"/>
        <v>3.9901836957119415E-2</v>
      </c>
      <c r="U107" s="3">
        <v>2.21</v>
      </c>
      <c r="V107" s="5">
        <f t="shared" si="5"/>
        <v>1.8055129844850415E-2</v>
      </c>
      <c r="W107" s="3">
        <v>1.8055129844850415E-2</v>
      </c>
    </row>
    <row r="108" spans="1:23" x14ac:dyDescent="0.55000000000000004">
      <c r="A108" s="3">
        <v>31</v>
      </c>
      <c r="B108" s="3" t="s">
        <v>52</v>
      </c>
      <c r="C108" s="3" t="s">
        <v>49</v>
      </c>
      <c r="D108" s="3" t="s">
        <v>40</v>
      </c>
      <c r="E108" s="2" t="s">
        <v>17</v>
      </c>
      <c r="F108" s="3">
        <v>19</v>
      </c>
      <c r="G108" s="4">
        <v>22</v>
      </c>
      <c r="H108" s="4">
        <v>69.599999999999994</v>
      </c>
      <c r="I108" s="6">
        <v>5.7986666611674158</v>
      </c>
      <c r="J108" s="5">
        <v>3.3000000000000002E-2</v>
      </c>
      <c r="K108" s="4">
        <v>17</v>
      </c>
      <c r="L108" s="4">
        <v>55.9</v>
      </c>
      <c r="M108" s="6">
        <v>5.151291232323902</v>
      </c>
      <c r="N108" s="5">
        <v>0.03</v>
      </c>
      <c r="O108" s="5">
        <v>0.64737542884351384</v>
      </c>
      <c r="P108" s="5">
        <v>0.64737542884351384</v>
      </c>
      <c r="Q108" s="8">
        <v>0.19930555555555554</v>
      </c>
      <c r="R108" s="8">
        <v>0.875</v>
      </c>
      <c r="S108" s="6">
        <f t="shared" si="3"/>
        <v>16.216666666666669</v>
      </c>
      <c r="T108" s="5">
        <f t="shared" si="4"/>
        <v>3.9920375879353369E-2</v>
      </c>
      <c r="U108" s="3">
        <v>2.21</v>
      </c>
      <c r="V108" s="5">
        <f t="shared" si="5"/>
        <v>1.8063518497444961E-2</v>
      </c>
      <c r="W108" s="3">
        <v>1.8063518497444961E-2</v>
      </c>
    </row>
    <row r="109" spans="1:23" x14ac:dyDescent="0.55000000000000004">
      <c r="A109" s="3">
        <v>64</v>
      </c>
      <c r="B109" s="3" t="s">
        <v>53</v>
      </c>
      <c r="C109" s="3" t="s">
        <v>50</v>
      </c>
      <c r="D109" s="3" t="s">
        <v>11</v>
      </c>
      <c r="E109" s="2" t="s">
        <v>16</v>
      </c>
      <c r="F109" s="3">
        <v>16</v>
      </c>
      <c r="G109" s="4">
        <v>21.1</v>
      </c>
      <c r="H109" s="4">
        <v>102.9</v>
      </c>
      <c r="I109" s="6">
        <v>8.7252281381555896</v>
      </c>
      <c r="J109" s="5">
        <v>3.7999999999999999E-2</v>
      </c>
      <c r="K109" s="4">
        <v>19.8</v>
      </c>
      <c r="L109" s="4">
        <v>93</v>
      </c>
      <c r="M109" s="6">
        <v>8.0921370383341742</v>
      </c>
      <c r="N109" s="5">
        <v>3.7999999999999999E-2</v>
      </c>
      <c r="O109" s="5">
        <v>0.63309109982141543</v>
      </c>
      <c r="P109" s="5">
        <v>0.63309109982141543</v>
      </c>
      <c r="Q109" s="8">
        <v>0.20833333333333334</v>
      </c>
      <c r="R109" s="8">
        <v>0.86805555555555547</v>
      </c>
      <c r="S109" s="6">
        <f t="shared" si="3"/>
        <v>15.83333333333333</v>
      </c>
      <c r="T109" s="5">
        <f t="shared" si="4"/>
        <v>3.9984701041352558E-2</v>
      </c>
      <c r="U109" s="3">
        <v>2.21</v>
      </c>
      <c r="V109" s="5">
        <f t="shared" si="5"/>
        <v>1.8092624905589397E-2</v>
      </c>
      <c r="W109" s="3">
        <v>1.8092624905589397E-2</v>
      </c>
    </row>
    <row r="110" spans="1:23" x14ac:dyDescent="0.55000000000000004">
      <c r="A110" s="3">
        <v>6</v>
      </c>
      <c r="B110" s="3" t="s">
        <v>51</v>
      </c>
      <c r="C110" s="3" t="s">
        <v>49</v>
      </c>
      <c r="D110" s="3" t="s">
        <v>39</v>
      </c>
      <c r="E110" s="2" t="s">
        <v>18</v>
      </c>
      <c r="F110" s="3">
        <v>24</v>
      </c>
      <c r="G110" s="4">
        <v>22.3</v>
      </c>
      <c r="H110" s="4">
        <v>88.6</v>
      </c>
      <c r="I110" s="6">
        <v>7.3388356246383948</v>
      </c>
      <c r="J110" s="5">
        <v>0.03</v>
      </c>
      <c r="K110" s="4">
        <v>19.899999999999999</v>
      </c>
      <c r="L110" s="4">
        <v>77.099999999999994</v>
      </c>
      <c r="M110" s="6">
        <v>6.6952063019938706</v>
      </c>
      <c r="N110" s="5">
        <v>0.03</v>
      </c>
      <c r="O110" s="5">
        <v>0.64362932264452422</v>
      </c>
      <c r="P110" s="5">
        <v>0.64362932264452422</v>
      </c>
      <c r="Q110" s="8">
        <v>0.21180555555555555</v>
      </c>
      <c r="R110" s="8">
        <v>0.88194444444444453</v>
      </c>
      <c r="S110" s="6">
        <f t="shared" si="3"/>
        <v>16.083333333333336</v>
      </c>
      <c r="T110" s="5">
        <f t="shared" si="4"/>
        <v>4.0018403480488546E-2</v>
      </c>
      <c r="U110" s="3">
        <v>2.21</v>
      </c>
      <c r="V110" s="5">
        <f t="shared" si="5"/>
        <v>1.8107874878049116E-2</v>
      </c>
      <c r="W110" s="3">
        <v>1.8107874878049116E-2</v>
      </c>
    </row>
    <row r="111" spans="1:23" x14ac:dyDescent="0.55000000000000004">
      <c r="A111" s="3">
        <v>58</v>
      </c>
      <c r="B111" s="3" t="s">
        <v>53</v>
      </c>
      <c r="C111" s="3" t="s">
        <v>49</v>
      </c>
      <c r="D111" s="3" t="s">
        <v>41</v>
      </c>
      <c r="E111" s="2" t="s">
        <v>17</v>
      </c>
      <c r="F111" s="3">
        <v>19</v>
      </c>
      <c r="G111" s="4">
        <v>21.7</v>
      </c>
      <c r="H111" s="4">
        <v>74.2</v>
      </c>
      <c r="I111" s="6">
        <v>6.218121823568052</v>
      </c>
      <c r="J111" s="5">
        <v>3.4000000000000002E-2</v>
      </c>
      <c r="K111" s="4">
        <v>16.600000000000001</v>
      </c>
      <c r="L111" s="4">
        <v>59.9</v>
      </c>
      <c r="M111" s="6">
        <v>5.5664796552283846</v>
      </c>
      <c r="N111" s="5">
        <v>3.2000000000000001E-2</v>
      </c>
      <c r="O111" s="5">
        <v>0.65164216833966737</v>
      </c>
      <c r="P111" s="5">
        <v>0.65164216833966737</v>
      </c>
      <c r="Q111" s="8">
        <v>0.19930555555555554</v>
      </c>
      <c r="R111" s="8">
        <v>0.875</v>
      </c>
      <c r="S111" s="6">
        <f t="shared" si="3"/>
        <v>16.216666666666669</v>
      </c>
      <c r="T111" s="5">
        <f t="shared" si="4"/>
        <v>4.0183484173052453E-2</v>
      </c>
      <c r="U111" s="3">
        <v>2.21</v>
      </c>
      <c r="V111" s="5">
        <f t="shared" si="5"/>
        <v>1.8182572024005635E-2</v>
      </c>
      <c r="W111" s="3">
        <v>1.8182572024005635E-2</v>
      </c>
    </row>
    <row r="112" spans="1:23" x14ac:dyDescent="0.55000000000000004">
      <c r="A112" s="3">
        <v>53</v>
      </c>
      <c r="B112" s="3" t="s">
        <v>48</v>
      </c>
      <c r="C112" s="3" t="s">
        <v>49</v>
      </c>
      <c r="D112" s="3" t="s">
        <v>38</v>
      </c>
      <c r="E112" s="3" t="s">
        <v>35</v>
      </c>
      <c r="F112" s="3">
        <v>82</v>
      </c>
      <c r="G112" s="4">
        <v>31.9</v>
      </c>
      <c r="H112" s="4">
        <v>64.099999999999994</v>
      </c>
      <c r="I112" s="6">
        <v>4.4613767960273814</v>
      </c>
      <c r="J112" s="5">
        <v>6.2E-2</v>
      </c>
      <c r="K112" s="4">
        <v>27.7</v>
      </c>
      <c r="L112" s="4">
        <v>50.8</v>
      </c>
      <c r="M112" s="6">
        <v>3.805068737621462</v>
      </c>
      <c r="N112" s="5">
        <v>5.3999999999999999E-2</v>
      </c>
      <c r="O112" s="5">
        <v>0.65630805840591933</v>
      </c>
      <c r="P112" s="5">
        <v>0.65630805840591933</v>
      </c>
      <c r="Q112" s="8">
        <v>0.20833333333333334</v>
      </c>
      <c r="R112" s="8">
        <v>0.88541666666666663</v>
      </c>
      <c r="S112" s="6">
        <f t="shared" si="3"/>
        <v>16.25</v>
      </c>
      <c r="T112" s="5">
        <f t="shared" si="4"/>
        <v>4.0388188209595034E-2</v>
      </c>
      <c r="U112" s="3">
        <v>2.21</v>
      </c>
      <c r="V112" s="5">
        <f t="shared" si="5"/>
        <v>1.8275198284884633E-2</v>
      </c>
      <c r="W112" s="3">
        <v>1.8275198284884633E-2</v>
      </c>
    </row>
    <row r="113" spans="1:23" x14ac:dyDescent="0.55000000000000004">
      <c r="A113" s="3">
        <v>58</v>
      </c>
      <c r="B113" s="3" t="s">
        <v>53</v>
      </c>
      <c r="C113" s="3" t="s">
        <v>49</v>
      </c>
      <c r="D113" s="3" t="s">
        <v>41</v>
      </c>
      <c r="E113" s="2" t="s">
        <v>20</v>
      </c>
      <c r="F113" s="3">
        <v>30</v>
      </c>
      <c r="G113" s="4">
        <v>27.4</v>
      </c>
      <c r="H113" s="4">
        <v>78.900000000000006</v>
      </c>
      <c r="I113" s="6">
        <v>5.9418298720180953</v>
      </c>
      <c r="J113" s="5">
        <v>0.05</v>
      </c>
      <c r="K113" s="4">
        <v>23.6</v>
      </c>
      <c r="L113" s="4">
        <v>65.400000000000006</v>
      </c>
      <c r="M113" s="6">
        <v>5.2838638989626974</v>
      </c>
      <c r="N113" s="5">
        <v>4.5999999999999999E-2</v>
      </c>
      <c r="O113" s="5">
        <v>0.65796597305539795</v>
      </c>
      <c r="P113" s="5">
        <v>0.65796597305539795</v>
      </c>
      <c r="Q113" s="8">
        <v>0.20833333333333334</v>
      </c>
      <c r="R113" s="8">
        <v>0.88541666666666663</v>
      </c>
      <c r="S113" s="6">
        <f t="shared" si="3"/>
        <v>16.25</v>
      </c>
      <c r="T113" s="5">
        <f t="shared" si="4"/>
        <v>4.0490213726486028E-2</v>
      </c>
      <c r="U113" s="3">
        <v>2.21</v>
      </c>
      <c r="V113" s="5">
        <f t="shared" si="5"/>
        <v>1.8321363677142998E-2</v>
      </c>
      <c r="W113" s="3">
        <v>1.8321363677142998E-2</v>
      </c>
    </row>
    <row r="114" spans="1:23" x14ac:dyDescent="0.55000000000000004">
      <c r="A114" s="3">
        <v>2</v>
      </c>
      <c r="B114" s="3" t="s">
        <v>48</v>
      </c>
      <c r="C114" s="3" t="s">
        <v>49</v>
      </c>
      <c r="D114" s="3" t="s">
        <v>38</v>
      </c>
      <c r="E114" s="2" t="s">
        <v>23</v>
      </c>
      <c r="F114" s="3">
        <v>40</v>
      </c>
      <c r="G114" s="4">
        <v>28</v>
      </c>
      <c r="H114" s="4">
        <v>85.5</v>
      </c>
      <c r="I114" s="6">
        <v>6.3698576377664669</v>
      </c>
      <c r="J114" s="5">
        <v>6.2E-2</v>
      </c>
      <c r="K114" s="4">
        <v>23.4</v>
      </c>
      <c r="L114" s="4">
        <v>70.3</v>
      </c>
      <c r="M114" s="6">
        <v>5.701390731564441</v>
      </c>
      <c r="N114" s="5">
        <v>5.3999999999999999E-2</v>
      </c>
      <c r="O114" s="5">
        <v>0.66846690620202587</v>
      </c>
      <c r="P114" s="5">
        <v>0.66846690620202587</v>
      </c>
      <c r="Q114" s="8">
        <v>0.20833333333333334</v>
      </c>
      <c r="R114" s="8">
        <v>0.89027777777777783</v>
      </c>
      <c r="S114" s="6">
        <f t="shared" si="3"/>
        <v>16.366666666666667</v>
      </c>
      <c r="T114" s="5">
        <f t="shared" si="4"/>
        <v>4.084319182497103E-2</v>
      </c>
      <c r="U114" s="3">
        <v>2.21</v>
      </c>
      <c r="V114" s="5">
        <f t="shared" si="5"/>
        <v>1.8481082273742545E-2</v>
      </c>
      <c r="W114" s="3">
        <v>1.8481082273742545E-2</v>
      </c>
    </row>
    <row r="115" spans="1:23" x14ac:dyDescent="0.55000000000000004">
      <c r="A115" s="3">
        <v>2</v>
      </c>
      <c r="B115" s="3" t="s">
        <v>48</v>
      </c>
      <c r="C115" s="3" t="s">
        <v>49</v>
      </c>
      <c r="D115" s="3" t="s">
        <v>38</v>
      </c>
      <c r="E115" s="3" t="s">
        <v>34</v>
      </c>
      <c r="F115" s="3">
        <v>79</v>
      </c>
      <c r="G115" s="4">
        <v>28.8</v>
      </c>
      <c r="H115" s="4">
        <v>68.400000000000006</v>
      </c>
      <c r="I115" s="6">
        <v>5.0238548805493615</v>
      </c>
      <c r="J115" s="5">
        <v>7.1999999999999995E-2</v>
      </c>
      <c r="K115" s="4">
        <v>25.1</v>
      </c>
      <c r="L115" s="4">
        <v>55.5</v>
      </c>
      <c r="M115" s="6">
        <v>4.3593892431667056</v>
      </c>
      <c r="N115" s="5">
        <v>7.0000000000000007E-2</v>
      </c>
      <c r="O115" s="5">
        <v>0.66446563738265585</v>
      </c>
      <c r="P115" s="5">
        <v>0.66446563738265585</v>
      </c>
      <c r="Q115" s="8">
        <v>0.20833333333333334</v>
      </c>
      <c r="R115" s="8">
        <v>0.88541666666666663</v>
      </c>
      <c r="S115" s="6">
        <f t="shared" si="3"/>
        <v>16.25</v>
      </c>
      <c r="T115" s="5">
        <f t="shared" si="4"/>
        <v>4.0890193069701895E-2</v>
      </c>
      <c r="U115" s="3">
        <v>2.21</v>
      </c>
      <c r="V115" s="5">
        <f t="shared" si="5"/>
        <v>1.8502349805294978E-2</v>
      </c>
      <c r="W115" s="3">
        <v>1.8502349805294978E-2</v>
      </c>
    </row>
    <row r="116" spans="1:23" x14ac:dyDescent="0.55000000000000004">
      <c r="A116" s="3">
        <v>6</v>
      </c>
      <c r="B116" s="3" t="s">
        <v>51</v>
      </c>
      <c r="C116" s="3" t="s">
        <v>49</v>
      </c>
      <c r="D116" s="3" t="s">
        <v>39</v>
      </c>
      <c r="E116" s="2" t="s">
        <v>8</v>
      </c>
      <c r="F116" s="3">
        <v>5</v>
      </c>
      <c r="G116" s="4">
        <v>21.2</v>
      </c>
      <c r="H116" s="4">
        <v>100.3</v>
      </c>
      <c r="I116" s="6">
        <v>8.4880558468433307</v>
      </c>
      <c r="J116" s="5">
        <v>1.9E-2</v>
      </c>
      <c r="K116" s="4">
        <v>15.4</v>
      </c>
      <c r="L116" s="4">
        <v>82.2</v>
      </c>
      <c r="M116" s="6">
        <v>7.8363541165708144</v>
      </c>
      <c r="N116" s="5">
        <v>1.7999999999999999E-2</v>
      </c>
      <c r="O116" s="5">
        <v>0.65170173027251632</v>
      </c>
      <c r="P116" s="5">
        <v>0.65170173027251632</v>
      </c>
      <c r="Q116" s="8">
        <v>0.20833333333333334</v>
      </c>
      <c r="R116" s="8">
        <v>0.87083333333333324</v>
      </c>
      <c r="S116" s="6">
        <f t="shared" si="3"/>
        <v>15.899999999999997</v>
      </c>
      <c r="T116" s="5">
        <f t="shared" si="4"/>
        <v>4.0987530205818648E-2</v>
      </c>
      <c r="U116" s="3">
        <v>2.21</v>
      </c>
      <c r="V116" s="5">
        <f t="shared" si="5"/>
        <v>1.8546393758288982E-2</v>
      </c>
      <c r="W116" s="3">
        <v>1.8546393758288982E-2</v>
      </c>
    </row>
    <row r="117" spans="1:23" x14ac:dyDescent="0.55000000000000004">
      <c r="A117" s="3">
        <v>44</v>
      </c>
      <c r="B117" s="3" t="s">
        <v>53</v>
      </c>
      <c r="C117" s="3" t="s">
        <v>49</v>
      </c>
      <c r="D117" s="3" t="s">
        <v>41</v>
      </c>
      <c r="E117" s="2" t="s">
        <v>15</v>
      </c>
      <c r="F117" s="3">
        <v>12</v>
      </c>
      <c r="G117" s="4">
        <v>22.6</v>
      </c>
      <c r="H117" s="4">
        <v>98.6</v>
      </c>
      <c r="I117" s="6">
        <v>8.1199945646891258</v>
      </c>
      <c r="J117" s="5">
        <v>2.4E-2</v>
      </c>
      <c r="K117" s="4">
        <v>19.5</v>
      </c>
      <c r="L117" s="4">
        <v>85.3</v>
      </c>
      <c r="M117" s="6">
        <v>7.4670529452546806</v>
      </c>
      <c r="N117" s="5">
        <v>2.3E-2</v>
      </c>
      <c r="O117" s="5">
        <v>0.65294161943444529</v>
      </c>
      <c r="P117" s="5">
        <v>0.65294161943444529</v>
      </c>
      <c r="Q117" s="8">
        <v>0.21319444444444444</v>
      </c>
      <c r="R117" s="8">
        <v>0.875</v>
      </c>
      <c r="S117" s="6">
        <f t="shared" si="3"/>
        <v>15.883333333333333</v>
      </c>
      <c r="T117" s="5">
        <f t="shared" si="4"/>
        <v>4.1108601433438322E-2</v>
      </c>
      <c r="U117" s="3">
        <v>2.21</v>
      </c>
      <c r="V117" s="5">
        <f t="shared" si="5"/>
        <v>1.8601177119202859E-2</v>
      </c>
      <c r="W117" s="3">
        <v>1.8601177119202859E-2</v>
      </c>
    </row>
    <row r="118" spans="1:23" x14ac:dyDescent="0.55000000000000004">
      <c r="A118" s="3">
        <v>58</v>
      </c>
      <c r="B118" s="3" t="s">
        <v>53</v>
      </c>
      <c r="C118" s="3" t="s">
        <v>49</v>
      </c>
      <c r="D118" s="3" t="s">
        <v>41</v>
      </c>
      <c r="E118" s="3" t="s">
        <v>33</v>
      </c>
      <c r="F118" s="3">
        <v>75</v>
      </c>
      <c r="G118" s="4">
        <v>27.9</v>
      </c>
      <c r="H118" s="4">
        <v>68.7</v>
      </c>
      <c r="I118" s="6">
        <v>5.1274061740614805</v>
      </c>
      <c r="J118" s="5">
        <v>6.5000000000000002E-2</v>
      </c>
      <c r="K118" s="4">
        <v>23.7</v>
      </c>
      <c r="L118" s="4">
        <v>55.3</v>
      </c>
      <c r="M118" s="6">
        <v>4.4593847307558914</v>
      </c>
      <c r="N118" s="5">
        <v>5.8999999999999997E-2</v>
      </c>
      <c r="O118" s="5">
        <v>0.6680214433055891</v>
      </c>
      <c r="P118" s="5">
        <v>0.6680214433055891</v>
      </c>
      <c r="Q118" s="8">
        <v>0.20833333333333334</v>
      </c>
      <c r="R118" s="8">
        <v>0.88541666666666663</v>
      </c>
      <c r="S118" s="6">
        <f t="shared" si="3"/>
        <v>16.25</v>
      </c>
      <c r="T118" s="5">
        <f t="shared" si="4"/>
        <v>4.1109011895728562E-2</v>
      </c>
      <c r="U118" s="3">
        <v>2.21</v>
      </c>
      <c r="V118" s="5">
        <f t="shared" si="5"/>
        <v>1.8601362848745955E-2</v>
      </c>
      <c r="W118" s="3">
        <v>1.8601362848745955E-2</v>
      </c>
    </row>
    <row r="119" spans="1:23" x14ac:dyDescent="0.55000000000000004">
      <c r="A119" s="3">
        <v>44</v>
      </c>
      <c r="B119" s="3" t="s">
        <v>53</v>
      </c>
      <c r="C119" s="3" t="s">
        <v>49</v>
      </c>
      <c r="D119" s="3" t="s">
        <v>41</v>
      </c>
      <c r="E119" s="2" t="s">
        <v>17</v>
      </c>
      <c r="F119" s="3">
        <v>19</v>
      </c>
      <c r="G119" s="4">
        <v>21.9</v>
      </c>
      <c r="H119" s="4">
        <v>75.7</v>
      </c>
      <c r="I119" s="6">
        <v>6.3191553798247533</v>
      </c>
      <c r="J119" s="5">
        <v>3.3000000000000002E-2</v>
      </c>
      <c r="K119" s="4">
        <v>16.899999999999999</v>
      </c>
      <c r="L119" s="4">
        <v>61.2</v>
      </c>
      <c r="M119" s="6">
        <v>5.651528795282478</v>
      </c>
      <c r="N119" s="5">
        <v>2.9000000000000001E-2</v>
      </c>
      <c r="O119" s="5">
        <v>0.6676265845422753</v>
      </c>
      <c r="P119" s="5">
        <v>0.6676265845422753</v>
      </c>
      <c r="Q119" s="8">
        <v>0.19930555555555554</v>
      </c>
      <c r="R119" s="8">
        <v>0.875</v>
      </c>
      <c r="S119" s="6">
        <f t="shared" si="3"/>
        <v>16.216666666666669</v>
      </c>
      <c r="T119" s="5">
        <f t="shared" si="4"/>
        <v>4.1169162458927558E-2</v>
      </c>
      <c r="U119" s="3">
        <v>2.21</v>
      </c>
      <c r="V119" s="5">
        <f t="shared" si="5"/>
        <v>1.8628580298157265E-2</v>
      </c>
      <c r="W119" s="3">
        <v>1.8628580298157265E-2</v>
      </c>
    </row>
    <row r="120" spans="1:23" x14ac:dyDescent="0.55000000000000004">
      <c r="A120" s="3">
        <v>47</v>
      </c>
      <c r="B120" s="3" t="s">
        <v>52</v>
      </c>
      <c r="C120" s="3" t="s">
        <v>50</v>
      </c>
      <c r="D120" s="3" t="s">
        <v>12</v>
      </c>
      <c r="E120" s="2" t="s">
        <v>17</v>
      </c>
      <c r="F120" s="3">
        <v>19</v>
      </c>
      <c r="G120" s="4">
        <v>21.8</v>
      </c>
      <c r="H120" s="4">
        <v>68.3</v>
      </c>
      <c r="I120" s="6">
        <v>5.7125409911852953</v>
      </c>
      <c r="J120" s="5">
        <v>4.7E-2</v>
      </c>
      <c r="K120" s="4">
        <v>16.7</v>
      </c>
      <c r="L120" s="4">
        <v>54.4</v>
      </c>
      <c r="M120" s="6">
        <v>5.0447328374699172</v>
      </c>
      <c r="N120" s="5">
        <v>4.2999999999999997E-2</v>
      </c>
      <c r="O120" s="5">
        <v>0.66780815371537816</v>
      </c>
      <c r="P120" s="5">
        <v>0.66780815371537816</v>
      </c>
      <c r="Q120" s="8">
        <v>0.19930555555555554</v>
      </c>
      <c r="R120" s="8">
        <v>0.875</v>
      </c>
      <c r="S120" s="6">
        <f t="shared" si="3"/>
        <v>16.216666666666669</v>
      </c>
      <c r="T120" s="5">
        <f t="shared" si="4"/>
        <v>4.1180358913589607E-2</v>
      </c>
      <c r="U120" s="3">
        <v>2.21</v>
      </c>
      <c r="V120" s="5">
        <f t="shared" si="5"/>
        <v>1.8633646567235113E-2</v>
      </c>
      <c r="W120" s="3">
        <v>1.8633646567235113E-2</v>
      </c>
    </row>
    <row r="121" spans="1:23" x14ac:dyDescent="0.55000000000000004">
      <c r="A121" s="3">
        <v>35</v>
      </c>
      <c r="B121" s="3" t="s">
        <v>51</v>
      </c>
      <c r="C121" s="3" t="s">
        <v>50</v>
      </c>
      <c r="D121" s="3" t="s">
        <v>9</v>
      </c>
      <c r="E121" s="2" t="s">
        <v>18</v>
      </c>
      <c r="F121" s="3">
        <v>24</v>
      </c>
      <c r="G121" s="4">
        <v>22</v>
      </c>
      <c r="H121" s="4">
        <v>109</v>
      </c>
      <c r="I121" s="6">
        <v>9.0812452021156389</v>
      </c>
      <c r="J121" s="5">
        <v>3.5999999999999997E-2</v>
      </c>
      <c r="K121" s="4">
        <v>20.100000000000001</v>
      </c>
      <c r="L121" s="4">
        <v>97.3</v>
      </c>
      <c r="M121" s="6">
        <v>8.4155969865564035</v>
      </c>
      <c r="N121" s="5">
        <v>3.4000000000000002E-2</v>
      </c>
      <c r="O121" s="5">
        <v>0.66564821555923537</v>
      </c>
      <c r="P121" s="5">
        <v>0.66564821555923537</v>
      </c>
      <c r="Q121" s="8">
        <v>0.21180555555555555</v>
      </c>
      <c r="R121" s="8">
        <v>0.88194444444444453</v>
      </c>
      <c r="S121" s="6">
        <f t="shared" si="3"/>
        <v>16.083333333333336</v>
      </c>
      <c r="T121" s="5">
        <f t="shared" si="4"/>
        <v>4.1387453817154522E-2</v>
      </c>
      <c r="U121" s="3">
        <v>2.21</v>
      </c>
      <c r="V121" s="5">
        <f t="shared" si="5"/>
        <v>1.8727354668395712E-2</v>
      </c>
      <c r="W121" s="3">
        <v>1.8727354668395712E-2</v>
      </c>
    </row>
    <row r="122" spans="1:23" x14ac:dyDescent="0.55000000000000004">
      <c r="A122" s="3">
        <v>1</v>
      </c>
      <c r="B122" s="3" t="s">
        <v>51</v>
      </c>
      <c r="C122" s="3" t="s">
        <v>49</v>
      </c>
      <c r="D122" s="3" t="s">
        <v>39</v>
      </c>
      <c r="E122" s="2" t="s">
        <v>8</v>
      </c>
      <c r="F122" s="3">
        <v>5</v>
      </c>
      <c r="G122" s="4">
        <v>21.3</v>
      </c>
      <c r="H122" s="4">
        <v>108.2</v>
      </c>
      <c r="I122" s="6">
        <v>9.1386423717233711</v>
      </c>
      <c r="J122" s="5">
        <v>1.9E-2</v>
      </c>
      <c r="K122" s="4">
        <v>15.6</v>
      </c>
      <c r="L122" s="4">
        <v>89.3</v>
      </c>
      <c r="M122" s="6">
        <v>8.4767782525148103</v>
      </c>
      <c r="N122" s="5">
        <v>1.7999999999999999E-2</v>
      </c>
      <c r="O122" s="5">
        <v>0.66186411920856081</v>
      </c>
      <c r="P122" s="5">
        <v>0.66186411920856081</v>
      </c>
      <c r="Q122" s="8">
        <v>0.20833333333333334</v>
      </c>
      <c r="R122" s="8">
        <v>0.87083333333333324</v>
      </c>
      <c r="S122" s="6">
        <f t="shared" si="3"/>
        <v>15.899999999999997</v>
      </c>
      <c r="T122" s="5">
        <f t="shared" si="4"/>
        <v>4.1626674164060434E-2</v>
      </c>
      <c r="U122" s="3">
        <v>2.21</v>
      </c>
      <c r="V122" s="5">
        <f t="shared" si="5"/>
        <v>1.8835599169258116E-2</v>
      </c>
      <c r="W122" s="3">
        <v>1.8835599169258116E-2</v>
      </c>
    </row>
    <row r="123" spans="1:23" x14ac:dyDescent="0.55000000000000004">
      <c r="A123" s="3">
        <v>8</v>
      </c>
      <c r="B123" s="3" t="s">
        <v>51</v>
      </c>
      <c r="C123" s="3" t="s">
        <v>50</v>
      </c>
      <c r="D123" s="3" t="s">
        <v>9</v>
      </c>
      <c r="E123" s="2" t="s">
        <v>15</v>
      </c>
      <c r="F123" s="3">
        <v>12</v>
      </c>
      <c r="G123" s="4">
        <v>22</v>
      </c>
      <c r="H123" s="4">
        <v>101.7</v>
      </c>
      <c r="I123" s="6">
        <v>8.4730517161023897</v>
      </c>
      <c r="J123" s="5">
        <v>3.4000000000000002E-2</v>
      </c>
      <c r="K123" s="4">
        <v>19.100000000000001</v>
      </c>
      <c r="L123" s="4">
        <v>88.5</v>
      </c>
      <c r="M123" s="6">
        <v>7.8100737173279269</v>
      </c>
      <c r="N123" s="5">
        <v>3.1E-2</v>
      </c>
      <c r="O123" s="5">
        <v>0.66297799877446284</v>
      </c>
      <c r="P123" s="5">
        <v>0.66297799877446284</v>
      </c>
      <c r="Q123" s="8">
        <v>0.21319444444444444</v>
      </c>
      <c r="R123" s="8">
        <v>0.875</v>
      </c>
      <c r="S123" s="6">
        <f t="shared" si="3"/>
        <v>15.883333333333333</v>
      </c>
      <c r="T123" s="5">
        <f t="shared" si="4"/>
        <v>4.1740482609095249E-2</v>
      </c>
      <c r="U123" s="3">
        <v>2.21</v>
      </c>
      <c r="V123" s="5">
        <f t="shared" si="5"/>
        <v>1.888709620321052E-2</v>
      </c>
      <c r="W123" s="3">
        <v>1.888709620321052E-2</v>
      </c>
    </row>
    <row r="124" spans="1:23" x14ac:dyDescent="0.55000000000000004">
      <c r="A124" s="3">
        <v>25</v>
      </c>
      <c r="B124" s="3" t="s">
        <v>53</v>
      </c>
      <c r="C124" s="3" t="s">
        <v>49</v>
      </c>
      <c r="D124" s="3" t="s">
        <v>41</v>
      </c>
      <c r="E124" s="3" t="s">
        <v>26</v>
      </c>
      <c r="F124" s="3">
        <v>51</v>
      </c>
      <c r="G124" s="4">
        <v>26.1</v>
      </c>
      <c r="H124" s="4">
        <v>54.1</v>
      </c>
      <c r="I124" s="6">
        <v>4.1716541787791472</v>
      </c>
      <c r="J124" s="5">
        <v>7.4999999999999997E-2</v>
      </c>
      <c r="K124" s="4">
        <v>24</v>
      </c>
      <c r="L124" s="4">
        <v>43.6</v>
      </c>
      <c r="M124" s="6">
        <v>3.4959968199191476</v>
      </c>
      <c r="N124" s="5">
        <v>9.4E-2</v>
      </c>
      <c r="O124" s="5">
        <v>0.67565735885999967</v>
      </c>
      <c r="P124" s="5">
        <v>0.67565735885999967</v>
      </c>
      <c r="Q124" s="8">
        <v>0.20833333333333334</v>
      </c>
      <c r="R124" s="8">
        <v>0.875</v>
      </c>
      <c r="S124" s="6">
        <f t="shared" si="3"/>
        <v>16</v>
      </c>
      <c r="T124" s="5">
        <f t="shared" si="4"/>
        <v>4.2228584928749979E-2</v>
      </c>
      <c r="U124" s="3">
        <v>2.21</v>
      </c>
      <c r="V124" s="5">
        <f t="shared" si="5"/>
        <v>1.9107956981334832E-2</v>
      </c>
      <c r="W124" s="3">
        <v>1.9107956981334832E-2</v>
      </c>
    </row>
    <row r="125" spans="1:23" x14ac:dyDescent="0.55000000000000004">
      <c r="A125" s="3">
        <v>63</v>
      </c>
      <c r="B125" s="3" t="s">
        <v>51</v>
      </c>
      <c r="C125" s="3" t="s">
        <v>49</v>
      </c>
      <c r="D125" s="3" t="s">
        <v>39</v>
      </c>
      <c r="E125" s="2" t="s">
        <v>17</v>
      </c>
      <c r="F125" s="3">
        <v>19</v>
      </c>
      <c r="G125" s="4">
        <v>21.8</v>
      </c>
      <c r="H125" s="4">
        <v>75.599999999999994</v>
      </c>
      <c r="I125" s="6">
        <v>6.3231054016633719</v>
      </c>
      <c r="J125" s="5">
        <v>2.9000000000000001E-2</v>
      </c>
      <c r="K125" s="4">
        <v>16.399999999999999</v>
      </c>
      <c r="L125" s="4">
        <v>60.4</v>
      </c>
      <c r="M125" s="6">
        <v>5.6366899197011113</v>
      </c>
      <c r="N125" s="5">
        <v>2.5999999999999999E-2</v>
      </c>
      <c r="O125" s="5">
        <v>0.68641548196226054</v>
      </c>
      <c r="P125" s="5">
        <v>0.68641548196226054</v>
      </c>
      <c r="Q125" s="8">
        <v>0.19930555555555554</v>
      </c>
      <c r="R125" s="8">
        <v>0.875</v>
      </c>
      <c r="S125" s="6">
        <f t="shared" si="3"/>
        <v>16.216666666666669</v>
      </c>
      <c r="T125" s="5">
        <f t="shared" si="4"/>
        <v>4.232777894936858E-2</v>
      </c>
      <c r="U125" s="3">
        <v>2.21</v>
      </c>
      <c r="V125" s="5">
        <f t="shared" si="5"/>
        <v>1.9152841153560446E-2</v>
      </c>
      <c r="W125" s="3">
        <v>1.9152841153560446E-2</v>
      </c>
    </row>
    <row r="126" spans="1:23" x14ac:dyDescent="0.55000000000000004">
      <c r="A126" s="3">
        <v>52</v>
      </c>
      <c r="B126" s="3" t="s">
        <v>48</v>
      </c>
      <c r="C126" s="3" t="s">
        <v>49</v>
      </c>
      <c r="D126" s="3" t="s">
        <v>38</v>
      </c>
      <c r="E126" s="2" t="s">
        <v>14</v>
      </c>
      <c r="F126" s="3">
        <v>10</v>
      </c>
      <c r="G126" s="4">
        <v>22.1</v>
      </c>
      <c r="H126" s="4">
        <v>92</v>
      </c>
      <c r="I126" s="6">
        <v>7.650039857889479</v>
      </c>
      <c r="J126" s="5">
        <v>2.1999999999999999E-2</v>
      </c>
      <c r="K126" s="4">
        <v>20</v>
      </c>
      <c r="L126" s="4">
        <v>80.5</v>
      </c>
      <c r="M126" s="6">
        <v>6.9764754496750632</v>
      </c>
      <c r="N126" s="5">
        <v>2.1999999999999999E-2</v>
      </c>
      <c r="O126" s="5">
        <v>0.67356440821441588</v>
      </c>
      <c r="P126" s="5">
        <v>0.67356440821441588</v>
      </c>
      <c r="Q126" s="8">
        <v>0.20555555555555557</v>
      </c>
      <c r="R126" s="8">
        <v>0.86805555555555547</v>
      </c>
      <c r="S126" s="6">
        <f t="shared" si="3"/>
        <v>15.899999999999997</v>
      </c>
      <c r="T126" s="5">
        <f t="shared" si="4"/>
        <v>4.236254139713308E-2</v>
      </c>
      <c r="U126" s="3">
        <v>2.21</v>
      </c>
      <c r="V126" s="5">
        <f t="shared" si="5"/>
        <v>1.9168570767933522E-2</v>
      </c>
      <c r="W126" s="3">
        <v>1.9168570767933522E-2</v>
      </c>
    </row>
    <row r="127" spans="1:23" x14ac:dyDescent="0.55000000000000004">
      <c r="A127" s="3">
        <v>30</v>
      </c>
      <c r="B127" s="3" t="s">
        <v>52</v>
      </c>
      <c r="C127" s="3" t="s">
        <v>49</v>
      </c>
      <c r="D127" s="3" t="s">
        <v>40</v>
      </c>
      <c r="E127" s="2" t="s">
        <v>14</v>
      </c>
      <c r="F127" s="3">
        <v>10</v>
      </c>
      <c r="G127" s="4">
        <v>22.3</v>
      </c>
      <c r="H127" s="4">
        <v>94.7</v>
      </c>
      <c r="I127" s="6">
        <v>7.8441053459735439</v>
      </c>
      <c r="J127" s="5">
        <v>2.4E-2</v>
      </c>
      <c r="K127" s="4">
        <v>20.100000000000001</v>
      </c>
      <c r="L127" s="4">
        <v>82.9</v>
      </c>
      <c r="M127" s="6">
        <v>7.170123229039322</v>
      </c>
      <c r="N127" s="5">
        <v>2.4E-2</v>
      </c>
      <c r="O127" s="5">
        <v>0.67398211693422194</v>
      </c>
      <c r="P127" s="5">
        <v>0.67398211693422194</v>
      </c>
      <c r="Q127" s="8">
        <v>0.20555555555555557</v>
      </c>
      <c r="R127" s="8">
        <v>0.86805555555555547</v>
      </c>
      <c r="S127" s="6">
        <f t="shared" si="3"/>
        <v>15.899999999999997</v>
      </c>
      <c r="T127" s="5">
        <f t="shared" si="4"/>
        <v>4.2388812385800133E-2</v>
      </c>
      <c r="U127" s="3">
        <v>2.21</v>
      </c>
      <c r="V127" s="5">
        <f t="shared" si="5"/>
        <v>1.918045809312223E-2</v>
      </c>
      <c r="W127" s="3">
        <v>1.918045809312223E-2</v>
      </c>
    </row>
    <row r="128" spans="1:23" x14ac:dyDescent="0.55000000000000004">
      <c r="A128" s="3">
        <v>15</v>
      </c>
      <c r="B128" s="3" t="s">
        <v>48</v>
      </c>
      <c r="C128" s="3" t="s">
        <v>49</v>
      </c>
      <c r="D128" s="3" t="s">
        <v>38</v>
      </c>
      <c r="E128" s="3" t="s">
        <v>28</v>
      </c>
      <c r="F128" s="3">
        <v>58</v>
      </c>
      <c r="G128" s="4">
        <v>27.6</v>
      </c>
      <c r="H128" s="4">
        <v>74.900000000000006</v>
      </c>
      <c r="I128" s="6">
        <v>5.6203201367501947</v>
      </c>
      <c r="J128" s="5">
        <v>8.5000000000000006E-2</v>
      </c>
      <c r="K128" s="4">
        <v>23</v>
      </c>
      <c r="L128" s="4">
        <v>60.3</v>
      </c>
      <c r="M128" s="6">
        <v>4.9278788598816741</v>
      </c>
      <c r="N128" s="5">
        <v>7.4999999999999997E-2</v>
      </c>
      <c r="O128" s="5">
        <v>0.69244127686852064</v>
      </c>
      <c r="P128" s="5">
        <v>0.69244127686852064</v>
      </c>
      <c r="Q128" s="8">
        <v>0.20833333333333334</v>
      </c>
      <c r="R128" s="8">
        <v>0.88888888888888884</v>
      </c>
      <c r="S128" s="6">
        <f t="shared" si="3"/>
        <v>16.333333333333332</v>
      </c>
      <c r="T128" s="5">
        <f t="shared" si="4"/>
        <v>4.2394363889909428E-2</v>
      </c>
      <c r="U128" s="3">
        <v>2.21</v>
      </c>
      <c r="V128" s="5">
        <f t="shared" si="5"/>
        <v>1.918297008593187E-2</v>
      </c>
      <c r="W128" s="3">
        <v>1.918297008593187E-2</v>
      </c>
    </row>
    <row r="129" spans="1:23" x14ac:dyDescent="0.55000000000000004">
      <c r="A129" s="3">
        <v>31</v>
      </c>
      <c r="B129" s="3" t="s">
        <v>52</v>
      </c>
      <c r="C129" s="3" t="s">
        <v>49</v>
      </c>
      <c r="D129" s="3" t="s">
        <v>40</v>
      </c>
      <c r="E129" s="2" t="s">
        <v>8</v>
      </c>
      <c r="F129" s="3">
        <v>5</v>
      </c>
      <c r="G129" s="4">
        <v>21.1</v>
      </c>
      <c r="H129" s="4">
        <v>106.3</v>
      </c>
      <c r="I129" s="6">
        <v>9.013525277803101</v>
      </c>
      <c r="J129" s="5">
        <v>0.02</v>
      </c>
      <c r="K129" s="4">
        <v>15.8</v>
      </c>
      <c r="L129" s="4">
        <v>88.2</v>
      </c>
      <c r="M129" s="6">
        <v>8.336640024912171</v>
      </c>
      <c r="N129" s="5">
        <v>1.7999999999999999E-2</v>
      </c>
      <c r="O129" s="5">
        <v>0.67688525289092993</v>
      </c>
      <c r="P129" s="5">
        <v>0.67688525289092993</v>
      </c>
      <c r="Q129" s="8">
        <v>0.20833333333333334</v>
      </c>
      <c r="R129" s="8">
        <v>0.87083333333333324</v>
      </c>
      <c r="S129" s="6">
        <f t="shared" si="3"/>
        <v>15.899999999999997</v>
      </c>
      <c r="T129" s="5">
        <f t="shared" si="4"/>
        <v>4.2571399552888682E-2</v>
      </c>
      <c r="U129" s="3">
        <v>2.21</v>
      </c>
      <c r="V129" s="5">
        <f t="shared" si="5"/>
        <v>1.9263076720764109E-2</v>
      </c>
      <c r="W129" s="3">
        <v>1.9263076720764109E-2</v>
      </c>
    </row>
    <row r="130" spans="1:23" x14ac:dyDescent="0.55000000000000004">
      <c r="A130" s="3">
        <v>25</v>
      </c>
      <c r="B130" s="3" t="s">
        <v>53</v>
      </c>
      <c r="C130" s="3" t="s">
        <v>49</v>
      </c>
      <c r="D130" s="3" t="s">
        <v>41</v>
      </c>
      <c r="E130" s="2" t="s">
        <v>20</v>
      </c>
      <c r="F130" s="3">
        <v>30</v>
      </c>
      <c r="G130" s="4">
        <v>27.2</v>
      </c>
      <c r="H130" s="4">
        <v>71.2</v>
      </c>
      <c r="I130" s="6">
        <v>5.3813509525183338</v>
      </c>
      <c r="J130" s="5">
        <v>5.7000000000000002E-2</v>
      </c>
      <c r="K130" s="4">
        <v>23.1</v>
      </c>
      <c r="L130" s="4">
        <v>57.4</v>
      </c>
      <c r="M130" s="6">
        <v>4.6819151051507673</v>
      </c>
      <c r="N130" s="5">
        <v>5.6000000000000001E-2</v>
      </c>
      <c r="O130" s="5">
        <v>0.69943584736756659</v>
      </c>
      <c r="P130" s="5">
        <v>0.69943584736756659</v>
      </c>
      <c r="Q130" s="8">
        <v>0.20833333333333334</v>
      </c>
      <c r="R130" s="8">
        <v>0.88541666666666663</v>
      </c>
      <c r="S130" s="6">
        <f t="shared" ref="S130:S193" si="6">(R130-Q130)*24</f>
        <v>16.25</v>
      </c>
      <c r="T130" s="5">
        <f t="shared" ref="T130:T193" si="7">P130/S130</f>
        <v>4.3042205991850255E-2</v>
      </c>
      <c r="U130" s="3">
        <v>2.21</v>
      </c>
      <c r="V130" s="5">
        <f t="shared" ref="V130:V193" si="8">(I130-M130)/U130/S130</f>
        <v>1.9476111308529526E-2</v>
      </c>
      <c r="W130" s="3">
        <v>1.9476111308529526E-2</v>
      </c>
    </row>
    <row r="131" spans="1:23" x14ac:dyDescent="0.55000000000000004">
      <c r="A131" s="3">
        <v>5</v>
      </c>
      <c r="B131" s="3" t="s">
        <v>48</v>
      </c>
      <c r="C131" s="3" t="s">
        <v>49</v>
      </c>
      <c r="D131" s="3" t="s">
        <v>38</v>
      </c>
      <c r="E131" s="3" t="s">
        <v>26</v>
      </c>
      <c r="F131" s="3">
        <v>51</v>
      </c>
      <c r="G131" s="4">
        <v>27</v>
      </c>
      <c r="H131" s="4">
        <v>66</v>
      </c>
      <c r="I131" s="6">
        <v>5.0064229277193837</v>
      </c>
      <c r="J131" s="5">
        <v>8.1000000000000003E-2</v>
      </c>
      <c r="K131" s="4">
        <v>24.1</v>
      </c>
      <c r="L131" s="4">
        <v>53.9</v>
      </c>
      <c r="M131" s="6">
        <v>4.3137387731706482</v>
      </c>
      <c r="N131" s="5">
        <v>7.8E-2</v>
      </c>
      <c r="O131" s="5">
        <v>0.69268415454873544</v>
      </c>
      <c r="P131" s="5">
        <v>0.69268415454873544</v>
      </c>
      <c r="Q131" s="8">
        <v>0.20833333333333334</v>
      </c>
      <c r="R131" s="8">
        <v>0.875</v>
      </c>
      <c r="S131" s="6">
        <f t="shared" si="6"/>
        <v>16</v>
      </c>
      <c r="T131" s="5">
        <f t="shared" si="7"/>
        <v>4.3292759659295965E-2</v>
      </c>
      <c r="U131" s="3">
        <v>2.21</v>
      </c>
      <c r="V131" s="5">
        <f t="shared" si="8"/>
        <v>1.9589484008731207E-2</v>
      </c>
      <c r="W131" s="3">
        <v>1.9589484008731207E-2</v>
      </c>
    </row>
    <row r="132" spans="1:23" x14ac:dyDescent="0.55000000000000004">
      <c r="A132" s="3">
        <v>42</v>
      </c>
      <c r="B132" s="3" t="s">
        <v>53</v>
      </c>
      <c r="C132" s="3" t="s">
        <v>49</v>
      </c>
      <c r="D132" s="3" t="s">
        <v>41</v>
      </c>
      <c r="E132" s="2" t="s">
        <v>14</v>
      </c>
      <c r="F132" s="3">
        <v>10</v>
      </c>
      <c r="G132" s="4">
        <v>22.2</v>
      </c>
      <c r="H132" s="4">
        <v>85.1</v>
      </c>
      <c r="I132" s="6">
        <v>7.0625837362506401</v>
      </c>
      <c r="J132" s="5">
        <v>2.5000000000000001E-2</v>
      </c>
      <c r="K132" s="4">
        <v>20</v>
      </c>
      <c r="L132" s="4">
        <v>73.5</v>
      </c>
      <c r="M132" s="6">
        <v>6.3698254105728829</v>
      </c>
      <c r="N132" s="5">
        <v>2.5000000000000001E-2</v>
      </c>
      <c r="O132" s="5">
        <v>0.69275832567775719</v>
      </c>
      <c r="P132" s="5">
        <v>0.69275832567775719</v>
      </c>
      <c r="Q132" s="8">
        <v>0.20555555555555557</v>
      </c>
      <c r="R132" s="8">
        <v>0.86805555555555547</v>
      </c>
      <c r="S132" s="6">
        <f t="shared" si="6"/>
        <v>15.899999999999997</v>
      </c>
      <c r="T132" s="5">
        <f t="shared" si="7"/>
        <v>4.3569706017469012E-2</v>
      </c>
      <c r="U132" s="3">
        <v>2.21</v>
      </c>
      <c r="V132" s="5">
        <f t="shared" si="8"/>
        <v>1.9714799102927158E-2</v>
      </c>
      <c r="W132" s="3">
        <v>1.9714799102927158E-2</v>
      </c>
    </row>
    <row r="133" spans="1:23" x14ac:dyDescent="0.55000000000000004">
      <c r="A133" s="3">
        <v>52</v>
      </c>
      <c r="B133" s="3" t="s">
        <v>48</v>
      </c>
      <c r="C133" s="3" t="s">
        <v>49</v>
      </c>
      <c r="D133" s="3" t="s">
        <v>38</v>
      </c>
      <c r="E133" s="2" t="s">
        <v>16</v>
      </c>
      <c r="F133" s="3">
        <v>16</v>
      </c>
      <c r="G133" s="4">
        <v>21.1</v>
      </c>
      <c r="H133" s="4">
        <v>79.099999999999994</v>
      </c>
      <c r="I133" s="6">
        <v>6.707148160623003</v>
      </c>
      <c r="J133" s="5">
        <v>2.7E-2</v>
      </c>
      <c r="K133" s="4">
        <v>19.8</v>
      </c>
      <c r="L133" s="4">
        <v>69.099999999999994</v>
      </c>
      <c r="M133" s="6">
        <v>6.0125448317085093</v>
      </c>
      <c r="N133" s="5">
        <v>2.5999999999999999E-2</v>
      </c>
      <c r="O133" s="5">
        <v>0.69460332891449372</v>
      </c>
      <c r="P133" s="5">
        <v>0.69460332891449372</v>
      </c>
      <c r="Q133" s="8">
        <v>0.20833333333333334</v>
      </c>
      <c r="R133" s="8">
        <v>0.86805555555555547</v>
      </c>
      <c r="S133" s="6">
        <f t="shared" si="6"/>
        <v>15.83333333333333</v>
      </c>
      <c r="T133" s="5">
        <f t="shared" si="7"/>
        <v>4.3869683931441715E-2</v>
      </c>
      <c r="U133" s="3">
        <v>2.21</v>
      </c>
      <c r="V133" s="5">
        <f t="shared" si="8"/>
        <v>1.9850535715584487E-2</v>
      </c>
      <c r="W133" s="3">
        <v>1.9850535715584487E-2</v>
      </c>
    </row>
    <row r="134" spans="1:23" x14ac:dyDescent="0.55000000000000004">
      <c r="A134" s="3">
        <v>49</v>
      </c>
      <c r="B134" s="3" t="s">
        <v>51</v>
      </c>
      <c r="C134" s="3" t="s">
        <v>49</v>
      </c>
      <c r="D134" s="3" t="s">
        <v>39</v>
      </c>
      <c r="E134" s="2" t="s">
        <v>8</v>
      </c>
      <c r="F134" s="3">
        <v>5</v>
      </c>
      <c r="G134" s="4">
        <v>20.7</v>
      </c>
      <c r="H134" s="4">
        <v>105</v>
      </c>
      <c r="I134" s="6">
        <v>8.9738695218424027</v>
      </c>
      <c r="J134" s="5">
        <v>1.9E-2</v>
      </c>
      <c r="K134" s="4">
        <v>15.5</v>
      </c>
      <c r="L134" s="4">
        <v>87</v>
      </c>
      <c r="M134" s="6">
        <v>8.2761680985028416</v>
      </c>
      <c r="N134" s="5">
        <v>1.9E-2</v>
      </c>
      <c r="O134" s="5">
        <v>0.69770142333956109</v>
      </c>
      <c r="P134" s="5">
        <v>0.69770142333956109</v>
      </c>
      <c r="Q134" s="8">
        <v>0.20833333333333334</v>
      </c>
      <c r="R134" s="8">
        <v>0.87083333333333324</v>
      </c>
      <c r="S134" s="6">
        <f t="shared" si="6"/>
        <v>15.899999999999997</v>
      </c>
      <c r="T134" s="5">
        <f t="shared" si="7"/>
        <v>4.3880592662865488E-2</v>
      </c>
      <c r="U134" s="3">
        <v>2.21</v>
      </c>
      <c r="V134" s="5">
        <f t="shared" si="8"/>
        <v>1.9855471793151804E-2</v>
      </c>
      <c r="W134" s="3">
        <v>1.9855471793151804E-2</v>
      </c>
    </row>
    <row r="135" spans="1:23" x14ac:dyDescent="0.55000000000000004">
      <c r="A135" s="3">
        <v>5</v>
      </c>
      <c r="B135" s="3" t="s">
        <v>48</v>
      </c>
      <c r="C135" s="3" t="s">
        <v>49</v>
      </c>
      <c r="D135" s="3" t="s">
        <v>38</v>
      </c>
      <c r="E135" s="3" t="s">
        <v>33</v>
      </c>
      <c r="F135" s="3">
        <v>75</v>
      </c>
      <c r="G135" s="4">
        <v>26.6</v>
      </c>
      <c r="H135" s="4">
        <v>69.900000000000006</v>
      </c>
      <c r="I135" s="6">
        <v>5.3409426941713889</v>
      </c>
      <c r="J135" s="5">
        <v>7.6999999999999999E-2</v>
      </c>
      <c r="K135" s="4">
        <v>22.8</v>
      </c>
      <c r="L135" s="4">
        <v>56.4</v>
      </c>
      <c r="M135" s="6">
        <v>4.6268721228927312</v>
      </c>
      <c r="N135" s="5">
        <v>7.1999999999999995E-2</v>
      </c>
      <c r="O135" s="5">
        <v>0.7140705712786577</v>
      </c>
      <c r="P135" s="5">
        <v>0.7140705712786577</v>
      </c>
      <c r="Q135" s="8">
        <v>0.20833333333333334</v>
      </c>
      <c r="R135" s="8">
        <v>0.88541666666666663</v>
      </c>
      <c r="S135" s="6">
        <f t="shared" si="6"/>
        <v>16.25</v>
      </c>
      <c r="T135" s="5">
        <f t="shared" si="7"/>
        <v>4.3942804386378938E-2</v>
      </c>
      <c r="U135" s="3">
        <v>2.21</v>
      </c>
      <c r="V135" s="5">
        <f t="shared" si="8"/>
        <v>1.9883621894289112E-2</v>
      </c>
      <c r="W135" s="3">
        <v>1.9883621894289112E-2</v>
      </c>
    </row>
    <row r="136" spans="1:23" x14ac:dyDescent="0.55000000000000004">
      <c r="A136" s="3">
        <v>17</v>
      </c>
      <c r="B136" s="3" t="s">
        <v>52</v>
      </c>
      <c r="C136" s="3" t="s">
        <v>50</v>
      </c>
      <c r="D136" s="3" t="s">
        <v>12</v>
      </c>
      <c r="E136" s="2" t="s">
        <v>17</v>
      </c>
      <c r="F136" s="3">
        <v>19</v>
      </c>
      <c r="G136" s="4">
        <v>22</v>
      </c>
      <c r="H136" s="4">
        <v>64.3</v>
      </c>
      <c r="I136" s="6">
        <v>5.3571015274865648</v>
      </c>
      <c r="J136" s="5">
        <v>5.8000000000000003E-2</v>
      </c>
      <c r="K136" s="4">
        <v>17</v>
      </c>
      <c r="L136" s="4">
        <v>50.4</v>
      </c>
      <c r="M136" s="6">
        <v>4.6444557801274531</v>
      </c>
      <c r="N136" s="5">
        <v>5.5E-2</v>
      </c>
      <c r="O136" s="5">
        <v>0.71264574735911168</v>
      </c>
      <c r="P136" s="5">
        <v>0.71264574735911168</v>
      </c>
      <c r="Q136" s="8">
        <v>0.19930555555555554</v>
      </c>
      <c r="R136" s="8">
        <v>0.875</v>
      </c>
      <c r="S136" s="6">
        <f t="shared" si="6"/>
        <v>16.216666666666669</v>
      </c>
      <c r="T136" s="5">
        <f t="shared" si="7"/>
        <v>4.394526705194933E-2</v>
      </c>
      <c r="U136" s="3">
        <v>2.21</v>
      </c>
      <c r="V136" s="5">
        <f t="shared" si="8"/>
        <v>1.9884736222601503E-2</v>
      </c>
      <c r="W136" s="3">
        <v>1.9884736222601503E-2</v>
      </c>
    </row>
    <row r="137" spans="1:23" x14ac:dyDescent="0.55000000000000004">
      <c r="A137" s="3">
        <v>22</v>
      </c>
      <c r="B137" s="3" t="s">
        <v>48</v>
      </c>
      <c r="C137" s="3" t="s">
        <v>49</v>
      </c>
      <c r="D137" s="3" t="s">
        <v>38</v>
      </c>
      <c r="E137" s="2" t="s">
        <v>8</v>
      </c>
      <c r="F137" s="3">
        <v>5</v>
      </c>
      <c r="G137" s="4">
        <v>21.1</v>
      </c>
      <c r="H137" s="4">
        <v>103.9</v>
      </c>
      <c r="I137" s="6">
        <v>8.8100214145225042</v>
      </c>
      <c r="J137" s="5">
        <v>0.02</v>
      </c>
      <c r="K137" s="4">
        <v>15.7</v>
      </c>
      <c r="L137" s="4">
        <v>85.6</v>
      </c>
      <c r="M137" s="6">
        <v>8.1081903240909625</v>
      </c>
      <c r="N137" s="5">
        <v>1.7999999999999999E-2</v>
      </c>
      <c r="O137" s="5">
        <v>0.70183109043154168</v>
      </c>
      <c r="P137" s="5">
        <v>0.70183109043154168</v>
      </c>
      <c r="Q137" s="8">
        <v>0.20833333333333334</v>
      </c>
      <c r="R137" s="8">
        <v>0.87083333333333324</v>
      </c>
      <c r="S137" s="6">
        <f t="shared" si="6"/>
        <v>15.899999999999997</v>
      </c>
      <c r="T137" s="5">
        <f t="shared" si="7"/>
        <v>4.4140320152927161E-2</v>
      </c>
      <c r="U137" s="3">
        <v>2.21</v>
      </c>
      <c r="V137" s="5">
        <f t="shared" si="8"/>
        <v>1.9972995544310933E-2</v>
      </c>
      <c r="W137" s="3">
        <v>1.9972995544310933E-2</v>
      </c>
    </row>
    <row r="138" spans="1:23" x14ac:dyDescent="0.55000000000000004">
      <c r="A138" s="3">
        <v>53</v>
      </c>
      <c r="B138" s="3" t="s">
        <v>48</v>
      </c>
      <c r="C138" s="3" t="s">
        <v>49</v>
      </c>
      <c r="D138" s="3" t="s">
        <v>38</v>
      </c>
      <c r="E138" s="2" t="s">
        <v>24</v>
      </c>
      <c r="F138" s="3">
        <v>44</v>
      </c>
      <c r="G138" s="4">
        <v>25.5</v>
      </c>
      <c r="H138" s="4">
        <v>80.8</v>
      </c>
      <c r="I138" s="6">
        <v>6.2997347556441969</v>
      </c>
      <c r="J138" s="5">
        <v>6.0999999999999999E-2</v>
      </c>
      <c r="K138" s="4">
        <v>21</v>
      </c>
      <c r="L138" s="4">
        <v>65.400000000000006</v>
      </c>
      <c r="M138" s="6">
        <v>5.5564132354919318</v>
      </c>
      <c r="N138" s="5">
        <v>5.7000000000000002E-2</v>
      </c>
      <c r="O138" s="5">
        <v>0.74332152015226516</v>
      </c>
      <c r="P138" s="5">
        <v>0.74332152015226516</v>
      </c>
      <c r="Q138" s="8">
        <v>0.20277777777777781</v>
      </c>
      <c r="R138" s="8">
        <v>0.90277777777777779</v>
      </c>
      <c r="S138" s="6">
        <f t="shared" si="6"/>
        <v>16.799999999999997</v>
      </c>
      <c r="T138" s="5">
        <f t="shared" si="7"/>
        <v>4.4245328580491981E-2</v>
      </c>
      <c r="U138" s="3">
        <v>2.21</v>
      </c>
      <c r="V138" s="5">
        <f t="shared" si="8"/>
        <v>2.0020510669905876E-2</v>
      </c>
      <c r="W138" s="3">
        <v>2.0020510669905876E-2</v>
      </c>
    </row>
    <row r="139" spans="1:23" x14ac:dyDescent="0.55000000000000004">
      <c r="A139" s="3">
        <v>30</v>
      </c>
      <c r="B139" s="3" t="s">
        <v>52</v>
      </c>
      <c r="C139" s="3" t="s">
        <v>49</v>
      </c>
      <c r="D139" s="3" t="s">
        <v>40</v>
      </c>
      <c r="E139" s="2" t="s">
        <v>8</v>
      </c>
      <c r="F139" s="3">
        <v>5</v>
      </c>
      <c r="G139" s="4">
        <v>21.2</v>
      </c>
      <c r="H139" s="4">
        <v>106.4</v>
      </c>
      <c r="I139" s="6">
        <v>9.0042785852854479</v>
      </c>
      <c r="J139" s="5">
        <v>0.02</v>
      </c>
      <c r="K139" s="4">
        <v>15.8</v>
      </c>
      <c r="L139" s="4">
        <v>87.7</v>
      </c>
      <c r="M139" s="6">
        <v>8.2893801608253685</v>
      </c>
      <c r="N139" s="5">
        <v>1.7999999999999999E-2</v>
      </c>
      <c r="O139" s="5">
        <v>0.71489842446007934</v>
      </c>
      <c r="P139" s="5">
        <v>0.71489842446007934</v>
      </c>
      <c r="Q139" s="8">
        <v>0.20833333333333334</v>
      </c>
      <c r="R139" s="8">
        <v>0.87083333333333324</v>
      </c>
      <c r="S139" s="6">
        <f t="shared" si="6"/>
        <v>15.899999999999997</v>
      </c>
      <c r="T139" s="5">
        <f t="shared" si="7"/>
        <v>4.4962165060382357E-2</v>
      </c>
      <c r="U139" s="3">
        <v>2.21</v>
      </c>
      <c r="V139" s="5">
        <f t="shared" si="8"/>
        <v>2.0344871068046316E-2</v>
      </c>
      <c r="W139" s="3">
        <v>2.0344871068046316E-2</v>
      </c>
    </row>
    <row r="140" spans="1:23" x14ac:dyDescent="0.55000000000000004">
      <c r="A140" s="3">
        <v>63</v>
      </c>
      <c r="B140" s="3" t="s">
        <v>51</v>
      </c>
      <c r="C140" s="3" t="s">
        <v>49</v>
      </c>
      <c r="D140" s="3" t="s">
        <v>39</v>
      </c>
      <c r="E140" s="2" t="s">
        <v>8</v>
      </c>
      <c r="F140" s="3">
        <v>5</v>
      </c>
      <c r="G140" s="4">
        <v>20.7</v>
      </c>
      <c r="H140" s="4">
        <v>105.7</v>
      </c>
      <c r="I140" s="6">
        <v>9.0336953186546847</v>
      </c>
      <c r="J140" s="5">
        <v>0.02</v>
      </c>
      <c r="K140" s="4">
        <v>15.5</v>
      </c>
      <c r="L140" s="4">
        <v>87.4</v>
      </c>
      <c r="M140" s="6">
        <v>8.3142194460821646</v>
      </c>
      <c r="N140" s="5">
        <v>1.7000000000000001E-2</v>
      </c>
      <c r="O140" s="5">
        <v>0.7194758725725201</v>
      </c>
      <c r="P140" s="5">
        <v>0.7194758725725201</v>
      </c>
      <c r="Q140" s="8">
        <v>0.20833333333333334</v>
      </c>
      <c r="R140" s="8">
        <v>0.87083333333333324</v>
      </c>
      <c r="S140" s="6">
        <f t="shared" si="6"/>
        <v>15.899999999999997</v>
      </c>
      <c r="T140" s="5">
        <f t="shared" si="7"/>
        <v>4.5250054878774856E-2</v>
      </c>
      <c r="U140" s="3">
        <v>2.21</v>
      </c>
      <c r="V140" s="5">
        <f t="shared" si="8"/>
        <v>2.0475137954196768E-2</v>
      </c>
      <c r="W140" s="3">
        <v>2.0475137954196768E-2</v>
      </c>
    </row>
    <row r="141" spans="1:23" x14ac:dyDescent="0.55000000000000004">
      <c r="A141" s="3">
        <v>2</v>
      </c>
      <c r="B141" s="3" t="s">
        <v>48</v>
      </c>
      <c r="C141" s="3" t="s">
        <v>49</v>
      </c>
      <c r="D141" s="3" t="s">
        <v>38</v>
      </c>
      <c r="E141" s="2" t="s">
        <v>15</v>
      </c>
      <c r="F141" s="3">
        <v>12</v>
      </c>
      <c r="G141" s="4">
        <v>22.2</v>
      </c>
      <c r="H141" s="4">
        <v>100.8</v>
      </c>
      <c r="I141" s="6">
        <v>8.365551593584776</v>
      </c>
      <c r="J141" s="5">
        <v>2.5000000000000001E-2</v>
      </c>
      <c r="K141" s="4">
        <v>19.3</v>
      </c>
      <c r="L141" s="4">
        <v>87</v>
      </c>
      <c r="M141" s="6">
        <v>7.646675064016117</v>
      </c>
      <c r="N141" s="5">
        <v>2.5000000000000001E-2</v>
      </c>
      <c r="O141" s="5">
        <v>0.718876529568659</v>
      </c>
      <c r="P141" s="5">
        <v>0.718876529568659</v>
      </c>
      <c r="Q141" s="8">
        <v>0.21319444444444444</v>
      </c>
      <c r="R141" s="8">
        <v>0.875</v>
      </c>
      <c r="S141" s="6">
        <f t="shared" si="6"/>
        <v>15.883333333333333</v>
      </c>
      <c r="T141" s="5">
        <f t="shared" si="7"/>
        <v>4.5259802491206237E-2</v>
      </c>
      <c r="U141" s="3">
        <v>2.21</v>
      </c>
      <c r="V141" s="5">
        <f t="shared" si="8"/>
        <v>2.0479548638554855E-2</v>
      </c>
      <c r="W141" s="3">
        <v>2.0479548638554855E-2</v>
      </c>
    </row>
    <row r="142" spans="1:23" x14ac:dyDescent="0.55000000000000004">
      <c r="A142" s="3">
        <v>6</v>
      </c>
      <c r="B142" s="3" t="s">
        <v>51</v>
      </c>
      <c r="C142" s="3" t="s">
        <v>49</v>
      </c>
      <c r="D142" s="3" t="s">
        <v>39</v>
      </c>
      <c r="E142" s="3" t="s">
        <v>28</v>
      </c>
      <c r="F142" s="3">
        <v>58</v>
      </c>
      <c r="G142" s="4">
        <v>28.5</v>
      </c>
      <c r="H142" s="4">
        <v>93.5</v>
      </c>
      <c r="I142" s="6">
        <v>6.9040439807596794</v>
      </c>
      <c r="J142" s="5">
        <v>5.8000000000000003E-2</v>
      </c>
      <c r="K142" s="4">
        <v>24.1</v>
      </c>
      <c r="L142" s="4">
        <v>77</v>
      </c>
      <c r="M142" s="6">
        <v>6.1624839616723541</v>
      </c>
      <c r="N142" s="5">
        <v>5.1999999999999998E-2</v>
      </c>
      <c r="O142" s="5">
        <v>0.74156001908732527</v>
      </c>
      <c r="P142" s="5">
        <v>0.74156001908732527</v>
      </c>
      <c r="Q142" s="8">
        <v>0.20833333333333334</v>
      </c>
      <c r="R142" s="8">
        <v>0.88888888888888884</v>
      </c>
      <c r="S142" s="6">
        <f t="shared" si="6"/>
        <v>16.333333333333332</v>
      </c>
      <c r="T142" s="5">
        <f t="shared" si="7"/>
        <v>4.5401633821672976E-2</v>
      </c>
      <c r="U142" s="3">
        <v>2.21</v>
      </c>
      <c r="V142" s="5">
        <f t="shared" si="8"/>
        <v>2.0543725711164244E-2</v>
      </c>
      <c r="W142" s="3">
        <v>2.0543725711164244E-2</v>
      </c>
    </row>
    <row r="143" spans="1:23" x14ac:dyDescent="0.55000000000000004">
      <c r="A143" s="3">
        <v>43</v>
      </c>
      <c r="B143" s="3" t="s">
        <v>51</v>
      </c>
      <c r="C143" s="3" t="s">
        <v>50</v>
      </c>
      <c r="D143" s="3" t="s">
        <v>9</v>
      </c>
      <c r="E143" s="2" t="s">
        <v>15</v>
      </c>
      <c r="F143" s="3">
        <v>12</v>
      </c>
      <c r="G143" s="4">
        <v>22</v>
      </c>
      <c r="H143" s="4">
        <v>100.6</v>
      </c>
      <c r="I143" s="6">
        <v>8.3814061223195715</v>
      </c>
      <c r="J143" s="5">
        <v>3.3000000000000002E-2</v>
      </c>
      <c r="K143" s="4">
        <v>19.5</v>
      </c>
      <c r="L143" s="4">
        <v>87.5</v>
      </c>
      <c r="M143" s="6">
        <v>7.6596381325883307</v>
      </c>
      <c r="N143" s="5">
        <v>3.1E-2</v>
      </c>
      <c r="O143" s="5">
        <v>0.72176798973124079</v>
      </c>
      <c r="P143" s="5">
        <v>0.72176798973124079</v>
      </c>
      <c r="Q143" s="8">
        <v>0.21319444444444444</v>
      </c>
      <c r="R143" s="8">
        <v>0.875</v>
      </c>
      <c r="S143" s="6">
        <f t="shared" si="6"/>
        <v>15.883333333333333</v>
      </c>
      <c r="T143" s="5">
        <f t="shared" si="7"/>
        <v>4.5441846153068677E-2</v>
      </c>
      <c r="U143" s="3">
        <v>2.21</v>
      </c>
      <c r="V143" s="5">
        <f t="shared" si="8"/>
        <v>2.0561921336230169E-2</v>
      </c>
      <c r="W143" s="3">
        <v>2.0561921336230169E-2</v>
      </c>
    </row>
    <row r="144" spans="1:23" x14ac:dyDescent="0.55000000000000004">
      <c r="A144" s="3">
        <v>46</v>
      </c>
      <c r="B144" s="3" t="s">
        <v>51</v>
      </c>
      <c r="C144" s="3" t="s">
        <v>49</v>
      </c>
      <c r="D144" s="3" t="s">
        <v>39</v>
      </c>
      <c r="E144" s="2" t="s">
        <v>21</v>
      </c>
      <c r="F144" s="3">
        <v>33</v>
      </c>
      <c r="G144" s="4">
        <v>29.8</v>
      </c>
      <c r="H144" s="4">
        <v>68.099999999999994</v>
      </c>
      <c r="I144" s="6">
        <v>4.9146099736089432</v>
      </c>
      <c r="J144" s="5">
        <v>4.9000000000000002E-2</v>
      </c>
      <c r="K144" s="4">
        <v>26.2</v>
      </c>
      <c r="L144" s="4">
        <v>54.3</v>
      </c>
      <c r="M144" s="6">
        <v>4.1794070164531041</v>
      </c>
      <c r="N144" s="5">
        <v>4.7E-2</v>
      </c>
      <c r="O144" s="5">
        <v>0.73520295715583917</v>
      </c>
      <c r="P144" s="5">
        <v>0.73520295715583917</v>
      </c>
      <c r="Q144" s="8">
        <v>0.20833333333333334</v>
      </c>
      <c r="R144" s="8">
        <v>0.88194444444444453</v>
      </c>
      <c r="S144" s="6">
        <f t="shared" si="6"/>
        <v>16.166666666666668</v>
      </c>
      <c r="T144" s="5">
        <f t="shared" si="7"/>
        <v>4.5476471576649843E-2</v>
      </c>
      <c r="U144" s="3">
        <v>2.21</v>
      </c>
      <c r="V144" s="5">
        <f t="shared" si="8"/>
        <v>2.0577588948710333E-2</v>
      </c>
      <c r="W144" s="3">
        <v>2.0577588948710333E-2</v>
      </c>
    </row>
    <row r="145" spans="1:23" x14ac:dyDescent="0.55000000000000004">
      <c r="A145" s="3">
        <v>22</v>
      </c>
      <c r="B145" s="3" t="s">
        <v>48</v>
      </c>
      <c r="C145" s="3" t="s">
        <v>49</v>
      </c>
      <c r="D145" s="3" t="s">
        <v>38</v>
      </c>
      <c r="E145" s="3" t="s">
        <v>28</v>
      </c>
      <c r="F145" s="3">
        <v>58</v>
      </c>
      <c r="G145" s="4">
        <v>27.5</v>
      </c>
      <c r="H145" s="4">
        <v>67.400000000000006</v>
      </c>
      <c r="I145" s="6">
        <v>5.0666464874271204</v>
      </c>
      <c r="J145" s="5">
        <v>7.4999999999999997E-2</v>
      </c>
      <c r="K145" s="4">
        <v>23.1</v>
      </c>
      <c r="L145" s="4">
        <v>53</v>
      </c>
      <c r="M145" s="6">
        <v>4.3230226580660398</v>
      </c>
      <c r="N145" s="5">
        <v>7.3999999999999996E-2</v>
      </c>
      <c r="O145" s="5">
        <v>0.74362382936108062</v>
      </c>
      <c r="P145" s="5">
        <v>0.74362382936108062</v>
      </c>
      <c r="Q145" s="8">
        <v>0.20833333333333334</v>
      </c>
      <c r="R145" s="8">
        <v>0.88888888888888884</v>
      </c>
      <c r="S145" s="6">
        <f t="shared" si="6"/>
        <v>16.333333333333332</v>
      </c>
      <c r="T145" s="5">
        <f t="shared" si="7"/>
        <v>4.5527989552719222E-2</v>
      </c>
      <c r="U145" s="3">
        <v>2.21</v>
      </c>
      <c r="V145" s="5">
        <f t="shared" si="8"/>
        <v>2.0600900250099197E-2</v>
      </c>
      <c r="W145" s="3">
        <v>2.0600900250099197E-2</v>
      </c>
    </row>
    <row r="146" spans="1:23" x14ac:dyDescent="0.55000000000000004">
      <c r="A146" s="3">
        <v>20</v>
      </c>
      <c r="B146" s="3" t="s">
        <v>52</v>
      </c>
      <c r="C146" s="3" t="s">
        <v>50</v>
      </c>
      <c r="D146" s="3" t="s">
        <v>12</v>
      </c>
      <c r="E146" s="2" t="s">
        <v>14</v>
      </c>
      <c r="F146" s="3">
        <v>10</v>
      </c>
      <c r="G146" s="4">
        <v>22.1</v>
      </c>
      <c r="H146" s="4">
        <v>92.8</v>
      </c>
      <c r="I146" s="6">
        <v>7.7165619436102562</v>
      </c>
      <c r="J146" s="5">
        <v>3.7999999999999999E-2</v>
      </c>
      <c r="K146" s="4">
        <v>19.8</v>
      </c>
      <c r="L146" s="4">
        <v>80.3</v>
      </c>
      <c r="M146" s="6">
        <v>6.9870817653573569</v>
      </c>
      <c r="N146" s="5">
        <v>3.6999999999999998E-2</v>
      </c>
      <c r="O146" s="5">
        <v>0.72948017825289924</v>
      </c>
      <c r="P146" s="5">
        <v>0.72948017825289924</v>
      </c>
      <c r="Q146" s="8">
        <v>0.20555555555555557</v>
      </c>
      <c r="R146" s="8">
        <v>0.86805555555555547</v>
      </c>
      <c r="S146" s="6">
        <f t="shared" si="6"/>
        <v>15.899999999999997</v>
      </c>
      <c r="T146" s="5">
        <f t="shared" si="7"/>
        <v>4.5879256493893045E-2</v>
      </c>
      <c r="U146" s="3">
        <v>2.21</v>
      </c>
      <c r="V146" s="5">
        <f t="shared" si="8"/>
        <v>2.0759844567372416E-2</v>
      </c>
      <c r="W146" s="3">
        <v>2.0759844567372416E-2</v>
      </c>
    </row>
    <row r="147" spans="1:23" x14ac:dyDescent="0.55000000000000004">
      <c r="A147" s="3">
        <v>50</v>
      </c>
      <c r="B147" s="3" t="s">
        <v>53</v>
      </c>
      <c r="C147" s="3" t="s">
        <v>50</v>
      </c>
      <c r="D147" s="3" t="s">
        <v>11</v>
      </c>
      <c r="E147" s="3" t="s">
        <v>33</v>
      </c>
      <c r="F147" s="3">
        <v>75</v>
      </c>
      <c r="G147" s="4">
        <v>28.3</v>
      </c>
      <c r="H147" s="4">
        <v>72.599999999999994</v>
      </c>
      <c r="I147" s="6">
        <v>5.3798999769962199</v>
      </c>
      <c r="J147" s="5">
        <v>4.9000000000000002E-2</v>
      </c>
      <c r="K147" s="4">
        <v>24.2</v>
      </c>
      <c r="L147" s="4">
        <v>58</v>
      </c>
      <c r="M147" s="6">
        <v>4.6331328041639566</v>
      </c>
      <c r="N147" s="5">
        <v>3.9E-2</v>
      </c>
      <c r="O147" s="5">
        <v>0.74676717283226335</v>
      </c>
      <c r="P147" s="5">
        <v>0.74676717283226335</v>
      </c>
      <c r="Q147" s="8">
        <v>0.20833333333333334</v>
      </c>
      <c r="R147" s="8">
        <v>0.88541666666666663</v>
      </c>
      <c r="S147" s="6">
        <f t="shared" si="6"/>
        <v>16.25</v>
      </c>
      <c r="T147" s="5">
        <f t="shared" si="7"/>
        <v>4.5954902943523897E-2</v>
      </c>
      <c r="U147" s="3">
        <v>2.21</v>
      </c>
      <c r="V147" s="5">
        <f t="shared" si="8"/>
        <v>2.0794073730101312E-2</v>
      </c>
      <c r="W147" s="3">
        <v>2.0794073730101312E-2</v>
      </c>
    </row>
    <row r="148" spans="1:23" x14ac:dyDescent="0.55000000000000004">
      <c r="A148" s="3">
        <v>8</v>
      </c>
      <c r="B148" s="3" t="s">
        <v>51</v>
      </c>
      <c r="C148" s="3" t="s">
        <v>50</v>
      </c>
      <c r="D148" s="3" t="s">
        <v>9</v>
      </c>
      <c r="E148" s="2" t="s">
        <v>8</v>
      </c>
      <c r="F148" s="3">
        <v>5</v>
      </c>
      <c r="G148" s="4">
        <v>20.8</v>
      </c>
      <c r="H148" s="4">
        <v>119.6</v>
      </c>
      <c r="I148" s="6">
        <v>10.201463548775891</v>
      </c>
      <c r="J148" s="5">
        <v>3.1E-2</v>
      </c>
      <c r="K148" s="4">
        <v>15.2</v>
      </c>
      <c r="L148" s="4">
        <v>98.9</v>
      </c>
      <c r="M148" s="6">
        <v>9.4690718424361773</v>
      </c>
      <c r="N148" s="5">
        <v>2.7E-2</v>
      </c>
      <c r="O148" s="5">
        <v>0.73239170633971362</v>
      </c>
      <c r="P148" s="5">
        <v>0.73239170633971362</v>
      </c>
      <c r="Q148" s="8">
        <v>0.20833333333333334</v>
      </c>
      <c r="R148" s="8">
        <v>0.87083333333333324</v>
      </c>
      <c r="S148" s="6">
        <f t="shared" si="6"/>
        <v>15.899999999999997</v>
      </c>
      <c r="T148" s="5">
        <f t="shared" si="7"/>
        <v>4.6062371467906524E-2</v>
      </c>
      <c r="U148" s="3">
        <v>2.21</v>
      </c>
      <c r="V148" s="5">
        <f t="shared" si="8"/>
        <v>2.0842702021677161E-2</v>
      </c>
      <c r="W148" s="3">
        <v>2.0842702021677161E-2</v>
      </c>
    </row>
    <row r="149" spans="1:23" x14ac:dyDescent="0.55000000000000004">
      <c r="A149" s="3">
        <v>31</v>
      </c>
      <c r="B149" s="3" t="s">
        <v>52</v>
      </c>
      <c r="C149" s="3" t="s">
        <v>49</v>
      </c>
      <c r="D149" s="3" t="s">
        <v>40</v>
      </c>
      <c r="E149" s="2" t="s">
        <v>18</v>
      </c>
      <c r="F149" s="3">
        <v>24</v>
      </c>
      <c r="G149" s="4">
        <v>22.4</v>
      </c>
      <c r="H149" s="4">
        <v>97.3</v>
      </c>
      <c r="I149" s="6">
        <v>8.0439038941900964</v>
      </c>
      <c r="J149" s="5">
        <v>3.5999999999999997E-2</v>
      </c>
      <c r="K149" s="4">
        <v>19.8</v>
      </c>
      <c r="L149" s="4">
        <v>83.9</v>
      </c>
      <c r="M149" s="6">
        <v>7.3003257797444858</v>
      </c>
      <c r="N149" s="5">
        <v>3.4000000000000002E-2</v>
      </c>
      <c r="O149" s="5">
        <v>0.74357811444561062</v>
      </c>
      <c r="P149" s="5">
        <v>0.74357811444561062</v>
      </c>
      <c r="Q149" s="8">
        <v>0.21180555555555555</v>
      </c>
      <c r="R149" s="8">
        <v>0.88194444444444453</v>
      </c>
      <c r="S149" s="6">
        <f t="shared" si="6"/>
        <v>16.083333333333336</v>
      </c>
      <c r="T149" s="5">
        <f t="shared" si="7"/>
        <v>4.6232836131333298E-2</v>
      </c>
      <c r="U149" s="3">
        <v>2.21</v>
      </c>
      <c r="V149" s="5">
        <f t="shared" si="8"/>
        <v>2.0919835353544476E-2</v>
      </c>
      <c r="W149" s="3">
        <v>2.0919835353544476E-2</v>
      </c>
    </row>
    <row r="150" spans="1:23" x14ac:dyDescent="0.55000000000000004">
      <c r="A150" s="3">
        <v>5</v>
      </c>
      <c r="B150" s="3" t="s">
        <v>48</v>
      </c>
      <c r="C150" s="3" t="s">
        <v>49</v>
      </c>
      <c r="D150" s="3" t="s">
        <v>38</v>
      </c>
      <c r="E150" s="2" t="s">
        <v>21</v>
      </c>
      <c r="F150" s="3">
        <v>33</v>
      </c>
      <c r="G150" s="4">
        <v>29.6</v>
      </c>
      <c r="H150" s="4">
        <v>58</v>
      </c>
      <c r="I150" s="6">
        <v>4.2003930962981224</v>
      </c>
      <c r="J150" s="5">
        <v>5.7000000000000002E-2</v>
      </c>
      <c r="K150" s="4">
        <v>25.9</v>
      </c>
      <c r="L150" s="4">
        <v>44.6</v>
      </c>
      <c r="M150" s="6">
        <v>3.4517673308383845</v>
      </c>
      <c r="N150" s="5">
        <v>5.5E-2</v>
      </c>
      <c r="O150" s="5">
        <v>0.74862576545973791</v>
      </c>
      <c r="P150" s="5">
        <v>0.74862576545973791</v>
      </c>
      <c r="Q150" s="8">
        <v>0.20833333333333334</v>
      </c>
      <c r="R150" s="8">
        <v>0.88194444444444453</v>
      </c>
      <c r="S150" s="6">
        <f t="shared" si="6"/>
        <v>16.166666666666668</v>
      </c>
      <c r="T150" s="5">
        <f t="shared" si="7"/>
        <v>4.6306748378952857E-2</v>
      </c>
      <c r="U150" s="3">
        <v>2.21</v>
      </c>
      <c r="V150" s="5">
        <f t="shared" si="8"/>
        <v>2.0953279809480932E-2</v>
      </c>
      <c r="W150" s="3">
        <v>2.0953279809480932E-2</v>
      </c>
    </row>
    <row r="151" spans="1:23" x14ac:dyDescent="0.55000000000000004">
      <c r="A151" s="3">
        <v>10</v>
      </c>
      <c r="B151" s="3" t="s">
        <v>51</v>
      </c>
      <c r="C151" s="3" t="s">
        <v>49</v>
      </c>
      <c r="D151" s="3" t="s">
        <v>39</v>
      </c>
      <c r="E151" s="2" t="s">
        <v>14</v>
      </c>
      <c r="F151" s="3">
        <v>10</v>
      </c>
      <c r="G151" s="4">
        <v>22.5</v>
      </c>
      <c r="H151" s="4">
        <v>96.8</v>
      </c>
      <c r="I151" s="6">
        <v>7.9871379683843546</v>
      </c>
      <c r="J151" s="5">
        <v>2.5000000000000001E-2</v>
      </c>
      <c r="K151" s="4">
        <v>20.2</v>
      </c>
      <c r="L151" s="4">
        <v>84</v>
      </c>
      <c r="M151" s="6">
        <v>7.2507772817873821</v>
      </c>
      <c r="N151" s="5">
        <v>2.4E-2</v>
      </c>
      <c r="O151" s="5">
        <v>0.73636068659697251</v>
      </c>
      <c r="P151" s="5">
        <v>0.73636068659697251</v>
      </c>
      <c r="Q151" s="8">
        <v>0.20555555555555557</v>
      </c>
      <c r="R151" s="8">
        <v>0.86805555555555547</v>
      </c>
      <c r="S151" s="6">
        <f t="shared" si="6"/>
        <v>15.899999999999997</v>
      </c>
      <c r="T151" s="5">
        <f t="shared" si="7"/>
        <v>4.6311992867734131E-2</v>
      </c>
      <c r="U151" s="3">
        <v>2.21</v>
      </c>
      <c r="V151" s="5">
        <f t="shared" si="8"/>
        <v>2.0955652881327658E-2</v>
      </c>
      <c r="W151" s="3">
        <v>2.0955652881327658E-2</v>
      </c>
    </row>
    <row r="152" spans="1:23" x14ac:dyDescent="0.55000000000000004">
      <c r="A152" s="3">
        <v>45</v>
      </c>
      <c r="B152" s="3" t="s">
        <v>48</v>
      </c>
      <c r="C152" s="3" t="s">
        <v>50</v>
      </c>
      <c r="D152" s="3" t="s">
        <v>10</v>
      </c>
      <c r="E152" s="2" t="s">
        <v>17</v>
      </c>
      <c r="F152" s="3">
        <v>19</v>
      </c>
      <c r="G152" s="4">
        <v>22</v>
      </c>
      <c r="H152" s="4">
        <v>75.5</v>
      </c>
      <c r="I152" s="6">
        <v>6.2902203005479889</v>
      </c>
      <c r="J152" s="5">
        <v>3.9E-2</v>
      </c>
      <c r="K152" s="4">
        <v>17</v>
      </c>
      <c r="L152" s="4">
        <v>60.1</v>
      </c>
      <c r="M152" s="6">
        <v>5.5383292140011893</v>
      </c>
      <c r="N152" s="5">
        <v>3.5000000000000003E-2</v>
      </c>
      <c r="O152" s="5">
        <v>0.75189108654679959</v>
      </c>
      <c r="P152" s="5">
        <v>0.75189108654679959</v>
      </c>
      <c r="Q152" s="8">
        <v>0.19930555555555554</v>
      </c>
      <c r="R152" s="8">
        <v>0.875</v>
      </c>
      <c r="S152" s="6">
        <f t="shared" si="6"/>
        <v>16.216666666666669</v>
      </c>
      <c r="T152" s="5">
        <f t="shared" si="7"/>
        <v>4.6365329077911584E-2</v>
      </c>
      <c r="U152" s="3">
        <v>2.21</v>
      </c>
      <c r="V152" s="5">
        <f t="shared" si="8"/>
        <v>2.0979786913082162E-2</v>
      </c>
      <c r="W152" s="3">
        <v>2.0979786913082162E-2</v>
      </c>
    </row>
    <row r="153" spans="1:23" x14ac:dyDescent="0.55000000000000004">
      <c r="A153" s="3">
        <v>26</v>
      </c>
      <c r="B153" s="3" t="s">
        <v>52</v>
      </c>
      <c r="C153" s="3" t="s">
        <v>50</v>
      </c>
      <c r="D153" s="3" t="s">
        <v>12</v>
      </c>
      <c r="E153" s="2" t="s">
        <v>8</v>
      </c>
      <c r="F153" s="3">
        <v>5</v>
      </c>
      <c r="G153" s="4">
        <v>20.9</v>
      </c>
      <c r="H153" s="4">
        <v>122.4</v>
      </c>
      <c r="I153" s="6">
        <v>10.419690855900761</v>
      </c>
      <c r="J153" s="5">
        <v>3.5000000000000003E-2</v>
      </c>
      <c r="K153" s="4">
        <v>15.7</v>
      </c>
      <c r="L153" s="4">
        <v>102.2</v>
      </c>
      <c r="M153" s="6">
        <v>9.6805730271272932</v>
      </c>
      <c r="N153" s="5">
        <v>3.1E-2</v>
      </c>
      <c r="O153" s="5">
        <v>0.73911782877346788</v>
      </c>
      <c r="P153" s="5">
        <v>0.73911782877346788</v>
      </c>
      <c r="Q153" s="8">
        <v>0.20833333333333334</v>
      </c>
      <c r="R153" s="8">
        <v>0.87083333333333324</v>
      </c>
      <c r="S153" s="6">
        <f t="shared" si="6"/>
        <v>15.899999999999997</v>
      </c>
      <c r="T153" s="5">
        <f t="shared" si="7"/>
        <v>4.6485398036067174E-2</v>
      </c>
      <c r="U153" s="3">
        <v>2.21</v>
      </c>
      <c r="V153" s="5">
        <f t="shared" si="8"/>
        <v>2.1034116758401437E-2</v>
      </c>
      <c r="W153" s="3">
        <v>2.1034116758401437E-2</v>
      </c>
    </row>
    <row r="154" spans="1:23" x14ac:dyDescent="0.55000000000000004">
      <c r="A154" s="3">
        <v>59</v>
      </c>
      <c r="B154" s="3" t="s">
        <v>52</v>
      </c>
      <c r="C154" s="3" t="s">
        <v>49</v>
      </c>
      <c r="D154" s="3" t="s">
        <v>40</v>
      </c>
      <c r="E154" s="2" t="s">
        <v>14</v>
      </c>
      <c r="F154" s="3">
        <v>10</v>
      </c>
      <c r="G154" s="4">
        <v>22.1</v>
      </c>
      <c r="H154" s="4">
        <v>93.7</v>
      </c>
      <c r="I154" s="6">
        <v>7.7913992900461322</v>
      </c>
      <c r="J154" s="5">
        <v>2.3E-2</v>
      </c>
      <c r="K154" s="4">
        <v>19.899999999999999</v>
      </c>
      <c r="L154" s="4">
        <v>81.2</v>
      </c>
      <c r="M154" s="6">
        <v>7.0512419159779798</v>
      </c>
      <c r="N154" s="5">
        <v>2.3E-2</v>
      </c>
      <c r="O154" s="5">
        <v>0.74015737406815241</v>
      </c>
      <c r="P154" s="5">
        <v>0.74015737406815241</v>
      </c>
      <c r="Q154" s="8">
        <v>0.20555555555555557</v>
      </c>
      <c r="R154" s="8">
        <v>0.86805555555555547</v>
      </c>
      <c r="S154" s="6">
        <f t="shared" si="6"/>
        <v>15.899999999999997</v>
      </c>
      <c r="T154" s="5">
        <f t="shared" si="7"/>
        <v>4.6550778243280036E-2</v>
      </c>
      <c r="U154" s="3">
        <v>2.21</v>
      </c>
      <c r="V154" s="5">
        <f t="shared" si="8"/>
        <v>2.1063700562570151E-2</v>
      </c>
      <c r="W154" s="3">
        <v>2.1063700562570151E-2</v>
      </c>
    </row>
    <row r="155" spans="1:23" x14ac:dyDescent="0.55000000000000004">
      <c r="A155" s="3">
        <v>46</v>
      </c>
      <c r="B155" s="3" t="s">
        <v>51</v>
      </c>
      <c r="C155" s="3" t="s">
        <v>49</v>
      </c>
      <c r="D155" s="3" t="s">
        <v>39</v>
      </c>
      <c r="E155" s="2" t="s">
        <v>16</v>
      </c>
      <c r="F155" s="3">
        <v>16</v>
      </c>
      <c r="G155" s="4">
        <v>20.9</v>
      </c>
      <c r="H155" s="4">
        <v>85.7</v>
      </c>
      <c r="I155" s="6">
        <v>7.2954861629958758</v>
      </c>
      <c r="J155" s="5">
        <v>2.5000000000000001E-2</v>
      </c>
      <c r="K155" s="4">
        <v>19.7</v>
      </c>
      <c r="L155" s="4">
        <v>75.2</v>
      </c>
      <c r="M155" s="6">
        <v>6.5564706083353954</v>
      </c>
      <c r="N155" s="5">
        <v>2.5000000000000001E-2</v>
      </c>
      <c r="O155" s="5">
        <v>0.73901555466048041</v>
      </c>
      <c r="P155" s="5">
        <v>0.73901555466048041</v>
      </c>
      <c r="Q155" s="8">
        <v>0.20833333333333334</v>
      </c>
      <c r="R155" s="8">
        <v>0.86805555555555547</v>
      </c>
      <c r="S155" s="6">
        <f t="shared" si="6"/>
        <v>15.83333333333333</v>
      </c>
      <c r="T155" s="5">
        <f t="shared" si="7"/>
        <v>4.6674666610135612E-2</v>
      </c>
      <c r="U155" s="3">
        <v>2.21</v>
      </c>
      <c r="V155" s="5">
        <f t="shared" si="8"/>
        <v>2.1119758647120186E-2</v>
      </c>
      <c r="W155" s="3">
        <v>2.1119758647120186E-2</v>
      </c>
    </row>
    <row r="156" spans="1:23" x14ac:dyDescent="0.55000000000000004">
      <c r="A156" s="3">
        <v>4</v>
      </c>
      <c r="B156" s="3" t="s">
        <v>48</v>
      </c>
      <c r="C156" s="3" t="s">
        <v>49</v>
      </c>
      <c r="D156" s="3" t="s">
        <v>38</v>
      </c>
      <c r="E156" s="2" t="s">
        <v>15</v>
      </c>
      <c r="F156" s="3">
        <v>12</v>
      </c>
      <c r="G156" s="4">
        <v>22.2</v>
      </c>
      <c r="H156" s="4">
        <v>97.5</v>
      </c>
      <c r="I156" s="6">
        <v>8.0916793687947983</v>
      </c>
      <c r="J156" s="5">
        <v>2.4E-2</v>
      </c>
      <c r="K156" s="4">
        <v>19.3</v>
      </c>
      <c r="L156" s="4">
        <v>83.6</v>
      </c>
      <c r="M156" s="6">
        <v>7.3478394868016936</v>
      </c>
      <c r="N156" s="5">
        <v>2.3E-2</v>
      </c>
      <c r="O156" s="5">
        <v>0.74383988199310469</v>
      </c>
      <c r="P156" s="5">
        <v>0.74383988199310469</v>
      </c>
      <c r="Q156" s="8">
        <v>0.21319444444444444</v>
      </c>
      <c r="R156" s="8">
        <v>0.875</v>
      </c>
      <c r="S156" s="6">
        <f t="shared" si="6"/>
        <v>15.883333333333333</v>
      </c>
      <c r="T156" s="5">
        <f t="shared" si="7"/>
        <v>4.6831472108694948E-2</v>
      </c>
      <c r="U156" s="3">
        <v>2.21</v>
      </c>
      <c r="V156" s="5">
        <f t="shared" si="8"/>
        <v>2.1190711361400428E-2</v>
      </c>
      <c r="W156" s="3">
        <v>2.1190711361400428E-2</v>
      </c>
    </row>
    <row r="157" spans="1:23" x14ac:dyDescent="0.55000000000000004">
      <c r="A157" s="3">
        <v>31</v>
      </c>
      <c r="B157" s="3" t="s">
        <v>52</v>
      </c>
      <c r="C157" s="3" t="s">
        <v>49</v>
      </c>
      <c r="D157" s="3" t="s">
        <v>40</v>
      </c>
      <c r="E157" s="2" t="s">
        <v>15</v>
      </c>
      <c r="F157" s="3">
        <v>12</v>
      </c>
      <c r="G157" s="4">
        <v>22.5</v>
      </c>
      <c r="H157" s="4">
        <v>102.7</v>
      </c>
      <c r="I157" s="6">
        <v>8.4739573280276161</v>
      </c>
      <c r="J157" s="5">
        <v>2.5000000000000001E-2</v>
      </c>
      <c r="K157" s="4">
        <v>19.5</v>
      </c>
      <c r="L157" s="4">
        <v>88.3</v>
      </c>
      <c r="M157" s="6">
        <v>7.7296691098005672</v>
      </c>
      <c r="N157" s="5">
        <v>2.3E-2</v>
      </c>
      <c r="O157" s="5">
        <v>0.74428821822704894</v>
      </c>
      <c r="P157" s="5">
        <v>0.74428821822704894</v>
      </c>
      <c r="Q157" s="8">
        <v>0.21319444444444444</v>
      </c>
      <c r="R157" s="8">
        <v>0.875</v>
      </c>
      <c r="S157" s="6">
        <f t="shared" si="6"/>
        <v>15.883333333333333</v>
      </c>
      <c r="T157" s="5">
        <f t="shared" si="7"/>
        <v>4.6859698943990488E-2</v>
      </c>
      <c r="U157" s="3">
        <v>2.21</v>
      </c>
      <c r="V157" s="5">
        <f t="shared" si="8"/>
        <v>2.1203483685063571E-2</v>
      </c>
      <c r="W157" s="3">
        <v>2.1203483685063571E-2</v>
      </c>
    </row>
    <row r="158" spans="1:23" x14ac:dyDescent="0.55000000000000004">
      <c r="A158" s="3">
        <v>29</v>
      </c>
      <c r="B158" s="3" t="s">
        <v>52</v>
      </c>
      <c r="C158" s="3" t="s">
        <v>50</v>
      </c>
      <c r="D158" s="3" t="s">
        <v>12</v>
      </c>
      <c r="E158" s="2" t="s">
        <v>18</v>
      </c>
      <c r="F158" s="3">
        <v>24</v>
      </c>
      <c r="G158" s="4">
        <v>22.5</v>
      </c>
      <c r="H158" s="4">
        <v>112.4</v>
      </c>
      <c r="I158" s="6">
        <v>9.2743213599834871</v>
      </c>
      <c r="J158" s="5">
        <v>4.9000000000000002E-2</v>
      </c>
      <c r="K158" s="4">
        <v>20.2</v>
      </c>
      <c r="L158" s="4">
        <v>98.7</v>
      </c>
      <c r="M158" s="6">
        <v>8.5196633061001741</v>
      </c>
      <c r="N158" s="5">
        <v>4.5999999999999999E-2</v>
      </c>
      <c r="O158" s="5">
        <v>0.75465805388331297</v>
      </c>
      <c r="P158" s="5">
        <v>0.75465805388331297</v>
      </c>
      <c r="Q158" s="8">
        <v>0.21180555555555555</v>
      </c>
      <c r="R158" s="8">
        <v>0.88194444444444453</v>
      </c>
      <c r="S158" s="6">
        <f t="shared" si="6"/>
        <v>16.083333333333336</v>
      </c>
      <c r="T158" s="5">
        <f t="shared" si="7"/>
        <v>4.6921744282900281E-2</v>
      </c>
      <c r="U158" s="3">
        <v>2.21</v>
      </c>
      <c r="V158" s="5">
        <f t="shared" si="8"/>
        <v>2.1231558499049903E-2</v>
      </c>
      <c r="W158" s="3">
        <v>2.1231558499049903E-2</v>
      </c>
    </row>
    <row r="159" spans="1:23" x14ac:dyDescent="0.55000000000000004">
      <c r="A159" s="3">
        <v>42</v>
      </c>
      <c r="B159" s="3" t="s">
        <v>53</v>
      </c>
      <c r="C159" s="3" t="s">
        <v>49</v>
      </c>
      <c r="D159" s="3" t="s">
        <v>41</v>
      </c>
      <c r="E159" s="2" t="s">
        <v>17</v>
      </c>
      <c r="F159" s="3">
        <v>19</v>
      </c>
      <c r="G159" s="4">
        <v>21.8</v>
      </c>
      <c r="H159" s="4">
        <v>76.5</v>
      </c>
      <c r="I159" s="6">
        <v>6.3983804659688879</v>
      </c>
      <c r="J159" s="5">
        <v>3.7999999999999999E-2</v>
      </c>
      <c r="K159" s="4">
        <v>16.899999999999999</v>
      </c>
      <c r="L159" s="4">
        <v>60.9</v>
      </c>
      <c r="M159" s="6">
        <v>5.623825222756583</v>
      </c>
      <c r="N159" s="5">
        <v>3.4000000000000002E-2</v>
      </c>
      <c r="O159" s="5">
        <v>0.77455524321230484</v>
      </c>
      <c r="P159" s="5">
        <v>0.77455524321230484</v>
      </c>
      <c r="Q159" s="8">
        <v>0.19930555555555554</v>
      </c>
      <c r="R159" s="8">
        <v>0.875</v>
      </c>
      <c r="S159" s="6">
        <f t="shared" si="6"/>
        <v>16.216666666666669</v>
      </c>
      <c r="T159" s="5">
        <f t="shared" si="7"/>
        <v>4.7762913250501832E-2</v>
      </c>
      <c r="U159" s="3">
        <v>2.21</v>
      </c>
      <c r="V159" s="5">
        <f t="shared" si="8"/>
        <v>2.1612177941403545E-2</v>
      </c>
      <c r="W159" s="3">
        <v>2.1612177941403545E-2</v>
      </c>
    </row>
    <row r="160" spans="1:23" x14ac:dyDescent="0.55000000000000004">
      <c r="A160" s="3">
        <v>55</v>
      </c>
      <c r="B160" s="3" t="s">
        <v>52</v>
      </c>
      <c r="C160" s="3" t="s">
        <v>49</v>
      </c>
      <c r="D160" s="3" t="s">
        <v>40</v>
      </c>
      <c r="E160" s="2" t="s">
        <v>20</v>
      </c>
      <c r="F160" s="3">
        <v>30</v>
      </c>
      <c r="G160" s="4">
        <v>27.6</v>
      </c>
      <c r="H160" s="4">
        <v>80.8</v>
      </c>
      <c r="I160" s="6">
        <v>6.0630422837038145</v>
      </c>
      <c r="J160" s="5">
        <v>4.8000000000000001E-2</v>
      </c>
      <c r="K160" s="4">
        <v>24</v>
      </c>
      <c r="L160" s="4">
        <v>65.900000000000006</v>
      </c>
      <c r="M160" s="6">
        <v>5.2840869365291709</v>
      </c>
      <c r="N160" s="5">
        <v>4.5999999999999999E-2</v>
      </c>
      <c r="O160" s="5">
        <v>0.77895534717464354</v>
      </c>
      <c r="P160" s="5">
        <v>0.77895534717464354</v>
      </c>
      <c r="Q160" s="8">
        <v>0.20833333333333334</v>
      </c>
      <c r="R160" s="8">
        <v>0.88541666666666663</v>
      </c>
      <c r="S160" s="6">
        <f t="shared" si="6"/>
        <v>16.25</v>
      </c>
      <c r="T160" s="5">
        <f t="shared" si="7"/>
        <v>4.793571367228576E-2</v>
      </c>
      <c r="U160" s="3">
        <v>2.21</v>
      </c>
      <c r="V160" s="5">
        <f t="shared" si="8"/>
        <v>2.1690368177504867E-2</v>
      </c>
      <c r="W160" s="3">
        <v>2.1690368177504867E-2</v>
      </c>
    </row>
    <row r="161" spans="1:23" x14ac:dyDescent="0.55000000000000004">
      <c r="A161" s="3">
        <v>62</v>
      </c>
      <c r="B161" s="3" t="s">
        <v>52</v>
      </c>
      <c r="C161" s="3" t="s">
        <v>49</v>
      </c>
      <c r="D161" s="3" t="s">
        <v>40</v>
      </c>
      <c r="E161" s="2" t="s">
        <v>8</v>
      </c>
      <c r="F161" s="3">
        <v>5</v>
      </c>
      <c r="G161" s="4">
        <v>20.7</v>
      </c>
      <c r="H161" s="4">
        <v>106.9</v>
      </c>
      <c r="I161" s="6">
        <v>9.136253827475743</v>
      </c>
      <c r="J161" s="5">
        <v>1.9E-2</v>
      </c>
      <c r="K161" s="4">
        <v>15.6</v>
      </c>
      <c r="L161" s="4">
        <v>88.2</v>
      </c>
      <c r="M161" s="6">
        <v>8.3723610511960391</v>
      </c>
      <c r="N161" s="5">
        <v>1.7999999999999999E-2</v>
      </c>
      <c r="O161" s="5">
        <v>0.76389277627970387</v>
      </c>
      <c r="P161" s="5">
        <v>0.76389277627970387</v>
      </c>
      <c r="Q161" s="8">
        <v>0.20833333333333334</v>
      </c>
      <c r="R161" s="8">
        <v>0.87083333333333324</v>
      </c>
      <c r="S161" s="6">
        <f t="shared" si="6"/>
        <v>15.899999999999997</v>
      </c>
      <c r="T161" s="5">
        <f t="shared" si="7"/>
        <v>4.8043570835201513E-2</v>
      </c>
      <c r="U161" s="3">
        <v>2.21</v>
      </c>
      <c r="V161" s="5">
        <f t="shared" si="8"/>
        <v>2.1739172323620597E-2</v>
      </c>
      <c r="W161" s="3">
        <v>2.1739172323620597E-2</v>
      </c>
    </row>
    <row r="162" spans="1:23" x14ac:dyDescent="0.55000000000000004">
      <c r="A162" s="3">
        <v>1</v>
      </c>
      <c r="B162" s="3" t="s">
        <v>51</v>
      </c>
      <c r="C162" s="3" t="s">
        <v>49</v>
      </c>
      <c r="D162" s="3" t="s">
        <v>39</v>
      </c>
      <c r="E162" s="3" t="s">
        <v>34</v>
      </c>
      <c r="F162" s="3">
        <v>79</v>
      </c>
      <c r="G162" s="4">
        <v>29</v>
      </c>
      <c r="H162" s="4">
        <v>63</v>
      </c>
      <c r="I162" s="6">
        <v>4.6109017637430352</v>
      </c>
      <c r="J162" s="5">
        <v>4.9000000000000002E-2</v>
      </c>
      <c r="K162" s="4">
        <v>25.5</v>
      </c>
      <c r="L162" s="4">
        <v>49.1</v>
      </c>
      <c r="M162" s="6">
        <v>3.8281804022540853</v>
      </c>
      <c r="N162" s="5">
        <v>4.4999999999999998E-2</v>
      </c>
      <c r="O162" s="5">
        <v>0.78272136148894988</v>
      </c>
      <c r="P162" s="5">
        <v>0.78272136148894988</v>
      </c>
      <c r="Q162" s="8">
        <v>0.20833333333333334</v>
      </c>
      <c r="R162" s="8">
        <v>0.88541666666666663</v>
      </c>
      <c r="S162" s="6">
        <f t="shared" si="6"/>
        <v>16.25</v>
      </c>
      <c r="T162" s="5">
        <f t="shared" si="7"/>
        <v>4.8167468399319992E-2</v>
      </c>
      <c r="U162" s="3">
        <v>2.21</v>
      </c>
      <c r="V162" s="5">
        <f t="shared" si="8"/>
        <v>2.1795234569828053E-2</v>
      </c>
      <c r="W162" s="3">
        <v>2.1795234569828053E-2</v>
      </c>
    </row>
    <row r="163" spans="1:23" x14ac:dyDescent="0.55000000000000004">
      <c r="A163" s="3">
        <v>55</v>
      </c>
      <c r="B163" s="3" t="s">
        <v>52</v>
      </c>
      <c r="C163" s="3" t="s">
        <v>49</v>
      </c>
      <c r="D163" s="3" t="s">
        <v>40</v>
      </c>
      <c r="E163" s="2" t="s">
        <v>8</v>
      </c>
      <c r="F163" s="3">
        <v>5</v>
      </c>
      <c r="G163" s="4">
        <v>20.9</v>
      </c>
      <c r="H163" s="4">
        <v>109.4</v>
      </c>
      <c r="I163" s="6">
        <v>9.3130243434276405</v>
      </c>
      <c r="J163" s="5">
        <v>2.1000000000000001E-2</v>
      </c>
      <c r="K163" s="4">
        <v>15.7</v>
      </c>
      <c r="L163" s="4">
        <v>90.2</v>
      </c>
      <c r="M163" s="6">
        <v>8.54391083216127</v>
      </c>
      <c r="N163" s="5">
        <v>1.9E-2</v>
      </c>
      <c r="O163" s="5">
        <v>0.76911351126637051</v>
      </c>
      <c r="P163" s="5">
        <v>0.76911351126637051</v>
      </c>
      <c r="Q163" s="8">
        <v>0.20833333333333334</v>
      </c>
      <c r="R163" s="8">
        <v>0.87083333333333324</v>
      </c>
      <c r="S163" s="6">
        <f t="shared" si="6"/>
        <v>15.899999999999997</v>
      </c>
      <c r="T163" s="5">
        <f t="shared" si="7"/>
        <v>4.837191894757048E-2</v>
      </c>
      <c r="U163" s="3">
        <v>2.21</v>
      </c>
      <c r="V163" s="5">
        <f t="shared" si="8"/>
        <v>2.1887746130122392E-2</v>
      </c>
      <c r="W163" s="3">
        <v>2.1887746130122392E-2</v>
      </c>
    </row>
    <row r="164" spans="1:23" x14ac:dyDescent="0.55000000000000004">
      <c r="A164" s="3">
        <v>30</v>
      </c>
      <c r="B164" s="3" t="s">
        <v>52</v>
      </c>
      <c r="C164" s="3" t="s">
        <v>49</v>
      </c>
      <c r="D164" s="3" t="s">
        <v>40</v>
      </c>
      <c r="E164" s="2" t="s">
        <v>20</v>
      </c>
      <c r="F164" s="3">
        <v>30</v>
      </c>
      <c r="G164" s="4">
        <v>26.3</v>
      </c>
      <c r="H164" s="4">
        <v>78.7</v>
      </c>
      <c r="I164" s="6">
        <v>6.0463661910107636</v>
      </c>
      <c r="J164" s="5">
        <v>4.8000000000000001E-2</v>
      </c>
      <c r="K164" s="4">
        <v>23.3</v>
      </c>
      <c r="L164" s="4">
        <v>64.7</v>
      </c>
      <c r="M164" s="6">
        <v>5.2572340379882521</v>
      </c>
      <c r="N164" s="5">
        <v>4.5999999999999999E-2</v>
      </c>
      <c r="O164" s="5">
        <v>0.7891321530225115</v>
      </c>
      <c r="P164" s="5">
        <v>0.7891321530225115</v>
      </c>
      <c r="Q164" s="8">
        <v>0.20833333333333334</v>
      </c>
      <c r="R164" s="8">
        <v>0.88541666666666663</v>
      </c>
      <c r="S164" s="6">
        <f t="shared" si="6"/>
        <v>16.25</v>
      </c>
      <c r="T164" s="5">
        <f t="shared" si="7"/>
        <v>4.8561978647539167E-2</v>
      </c>
      <c r="U164" s="3">
        <v>2.21</v>
      </c>
      <c r="V164" s="5">
        <f t="shared" si="8"/>
        <v>2.1973745994361613E-2</v>
      </c>
      <c r="W164" s="3">
        <v>2.1973745994361613E-2</v>
      </c>
    </row>
    <row r="165" spans="1:23" x14ac:dyDescent="0.55000000000000004">
      <c r="A165" s="3">
        <v>57</v>
      </c>
      <c r="B165" s="3" t="s">
        <v>52</v>
      </c>
      <c r="C165" s="3" t="s">
        <v>50</v>
      </c>
      <c r="D165" s="3" t="s">
        <v>12</v>
      </c>
      <c r="E165" s="2" t="s">
        <v>17</v>
      </c>
      <c r="F165" s="3">
        <v>19</v>
      </c>
      <c r="G165" s="4">
        <v>21.6</v>
      </c>
      <c r="H165" s="4">
        <v>86</v>
      </c>
      <c r="I165" s="6">
        <v>7.2210723400319532</v>
      </c>
      <c r="J165" s="5">
        <v>3.9E-2</v>
      </c>
      <c r="K165" s="4">
        <v>16.600000000000001</v>
      </c>
      <c r="L165" s="4">
        <v>69.2</v>
      </c>
      <c r="M165" s="6">
        <v>6.4307244097129264</v>
      </c>
      <c r="N165" s="5">
        <v>3.5000000000000003E-2</v>
      </c>
      <c r="O165" s="5">
        <v>0.79034793031902684</v>
      </c>
      <c r="P165" s="5">
        <v>0.79034793031902684</v>
      </c>
      <c r="Q165" s="8">
        <v>0.19930555555555554</v>
      </c>
      <c r="R165" s="8">
        <v>0.875</v>
      </c>
      <c r="S165" s="6">
        <f t="shared" si="6"/>
        <v>16.216666666666669</v>
      </c>
      <c r="T165" s="5">
        <f t="shared" si="7"/>
        <v>4.8736768570546353E-2</v>
      </c>
      <c r="U165" s="3">
        <v>2.21</v>
      </c>
      <c r="V165" s="5">
        <f t="shared" si="8"/>
        <v>2.2052836457260794E-2</v>
      </c>
      <c r="W165" s="3">
        <v>2.2052836457260794E-2</v>
      </c>
    </row>
    <row r="166" spans="1:23" x14ac:dyDescent="0.55000000000000004">
      <c r="A166" s="3">
        <v>58</v>
      </c>
      <c r="B166" s="3" t="s">
        <v>53</v>
      </c>
      <c r="C166" s="3" t="s">
        <v>49</v>
      </c>
      <c r="D166" s="3" t="s">
        <v>41</v>
      </c>
      <c r="E166" s="2" t="s">
        <v>16</v>
      </c>
      <c r="F166" s="3">
        <v>16</v>
      </c>
      <c r="G166" s="4">
        <v>21</v>
      </c>
      <c r="H166" s="4">
        <v>80.2</v>
      </c>
      <c r="I166" s="6">
        <v>6.813827851474815</v>
      </c>
      <c r="J166" s="5">
        <v>3.1E-2</v>
      </c>
      <c r="K166" s="4">
        <v>19.7</v>
      </c>
      <c r="L166" s="4">
        <v>69.3</v>
      </c>
      <c r="M166" s="6">
        <v>6.0420666643303571</v>
      </c>
      <c r="N166" s="5">
        <v>3.1E-2</v>
      </c>
      <c r="O166" s="5">
        <v>0.77176118714445785</v>
      </c>
      <c r="P166" s="5">
        <v>0.77176118714445785</v>
      </c>
      <c r="Q166" s="8">
        <v>0.20833333333333334</v>
      </c>
      <c r="R166" s="8">
        <v>0.86805555555555547</v>
      </c>
      <c r="S166" s="6">
        <f t="shared" si="6"/>
        <v>15.83333333333333</v>
      </c>
      <c r="T166" s="5">
        <f t="shared" si="7"/>
        <v>4.8742811819649977E-2</v>
      </c>
      <c r="U166" s="3">
        <v>2.21</v>
      </c>
      <c r="V166" s="5">
        <f t="shared" si="8"/>
        <v>2.2055570959117636E-2</v>
      </c>
      <c r="W166" s="3">
        <v>2.2055570959117636E-2</v>
      </c>
    </row>
    <row r="167" spans="1:23" x14ac:dyDescent="0.55000000000000004">
      <c r="A167" s="3">
        <v>22</v>
      </c>
      <c r="B167" s="3" t="s">
        <v>48</v>
      </c>
      <c r="C167" s="3" t="s">
        <v>49</v>
      </c>
      <c r="D167" s="3" t="s">
        <v>38</v>
      </c>
      <c r="E167" s="2" t="s">
        <v>22</v>
      </c>
      <c r="F167" s="3">
        <v>37</v>
      </c>
      <c r="G167" s="4">
        <v>29</v>
      </c>
      <c r="H167" s="4">
        <v>65.3</v>
      </c>
      <c r="I167" s="6">
        <v>4.7792362725780988</v>
      </c>
      <c r="J167" s="5">
        <v>6.6000000000000003E-2</v>
      </c>
      <c r="K167" s="4">
        <v>24.2</v>
      </c>
      <c r="L167" s="4">
        <v>49.8</v>
      </c>
      <c r="M167" s="6">
        <v>3.9781036835752595</v>
      </c>
      <c r="N167" s="5">
        <v>0.06</v>
      </c>
      <c r="O167" s="5">
        <v>0.80113258900283935</v>
      </c>
      <c r="P167" s="5">
        <v>0.80113258900283935</v>
      </c>
      <c r="Q167" s="8">
        <v>0.20138888888888887</v>
      </c>
      <c r="R167" s="8">
        <v>0.88541666666666663</v>
      </c>
      <c r="S167" s="6">
        <f t="shared" si="6"/>
        <v>16.416666666666668</v>
      </c>
      <c r="T167" s="5">
        <f t="shared" si="7"/>
        <v>4.8799954660071428E-2</v>
      </c>
      <c r="U167" s="3">
        <v>2.21</v>
      </c>
      <c r="V167" s="5">
        <f t="shared" si="8"/>
        <v>2.2081427447996124E-2</v>
      </c>
      <c r="W167" s="3">
        <v>2.2081427447996124E-2</v>
      </c>
    </row>
    <row r="168" spans="1:23" x14ac:dyDescent="0.55000000000000004">
      <c r="A168" s="3">
        <v>5</v>
      </c>
      <c r="B168" s="3" t="s">
        <v>48</v>
      </c>
      <c r="C168" s="3" t="s">
        <v>49</v>
      </c>
      <c r="D168" s="3" t="s">
        <v>38</v>
      </c>
      <c r="E168" s="2" t="s">
        <v>15</v>
      </c>
      <c r="F168" s="3">
        <v>12</v>
      </c>
      <c r="G168" s="4">
        <v>22.1</v>
      </c>
      <c r="H168" s="4">
        <v>100</v>
      </c>
      <c r="I168" s="6">
        <v>8.3152607150972599</v>
      </c>
      <c r="J168" s="5">
        <v>2.1999999999999999E-2</v>
      </c>
      <c r="K168" s="4">
        <v>19.2</v>
      </c>
      <c r="L168" s="4">
        <v>85.6</v>
      </c>
      <c r="M168" s="6">
        <v>7.5388607820471725</v>
      </c>
      <c r="N168" s="5">
        <v>2.3E-2</v>
      </c>
      <c r="O168" s="5">
        <v>0.77639993305008748</v>
      </c>
      <c r="P168" s="5">
        <v>0.77639993305008748</v>
      </c>
      <c r="Q168" s="8">
        <v>0.21319444444444444</v>
      </c>
      <c r="R168" s="8">
        <v>0.875</v>
      </c>
      <c r="S168" s="6">
        <f t="shared" si="6"/>
        <v>15.883333333333333</v>
      </c>
      <c r="T168" s="5">
        <f t="shared" si="7"/>
        <v>4.8881422857298268E-2</v>
      </c>
      <c r="U168" s="3">
        <v>2.21</v>
      </c>
      <c r="V168" s="5">
        <f t="shared" si="8"/>
        <v>2.2118290885655326E-2</v>
      </c>
      <c r="W168" s="3">
        <v>2.2118290885655326E-2</v>
      </c>
    </row>
    <row r="169" spans="1:23" x14ac:dyDescent="0.55000000000000004">
      <c r="A169" s="3">
        <v>56</v>
      </c>
      <c r="B169" s="3" t="s">
        <v>53</v>
      </c>
      <c r="C169" s="3" t="s">
        <v>49</v>
      </c>
      <c r="D169" s="3" t="s">
        <v>41</v>
      </c>
      <c r="E169" s="2" t="s">
        <v>15</v>
      </c>
      <c r="F169" s="3">
        <v>12</v>
      </c>
      <c r="G169" s="4">
        <v>22.8</v>
      </c>
      <c r="H169" s="4">
        <v>109.7</v>
      </c>
      <c r="I169" s="6">
        <v>8.9994303525058967</v>
      </c>
      <c r="J169" s="5">
        <v>2.5000000000000001E-2</v>
      </c>
      <c r="K169" s="4">
        <v>19.5</v>
      </c>
      <c r="L169" s="4">
        <v>93.9</v>
      </c>
      <c r="M169" s="6">
        <v>8.2198859502862209</v>
      </c>
      <c r="N169" s="5">
        <v>2.4E-2</v>
      </c>
      <c r="O169" s="5">
        <v>0.7795444022196758</v>
      </c>
      <c r="P169" s="5">
        <v>0.7795444022196758</v>
      </c>
      <c r="Q169" s="8">
        <v>0.21319444444444444</v>
      </c>
      <c r="R169" s="8">
        <v>0.875</v>
      </c>
      <c r="S169" s="6">
        <f t="shared" si="6"/>
        <v>15.883333333333333</v>
      </c>
      <c r="T169" s="5">
        <f t="shared" si="7"/>
        <v>4.9079395732613378E-2</v>
      </c>
      <c r="U169" s="3">
        <v>2.21</v>
      </c>
      <c r="V169" s="5">
        <f t="shared" si="8"/>
        <v>2.2207871372223249E-2</v>
      </c>
      <c r="W169" s="3">
        <v>2.2207871372223249E-2</v>
      </c>
    </row>
    <row r="170" spans="1:23" x14ac:dyDescent="0.55000000000000004">
      <c r="A170" s="3">
        <v>23</v>
      </c>
      <c r="B170" s="3" t="s">
        <v>52</v>
      </c>
      <c r="C170" s="3" t="s">
        <v>49</v>
      </c>
      <c r="D170" s="3" t="s">
        <v>40</v>
      </c>
      <c r="E170" s="2" t="s">
        <v>17</v>
      </c>
      <c r="F170" s="3">
        <v>19</v>
      </c>
      <c r="G170" s="4">
        <v>21.9</v>
      </c>
      <c r="H170" s="4">
        <v>70.599999999999994</v>
      </c>
      <c r="I170" s="6">
        <v>5.8934262855432973</v>
      </c>
      <c r="J170" s="5">
        <v>3.4000000000000002E-2</v>
      </c>
      <c r="K170" s="4">
        <v>17</v>
      </c>
      <c r="L170" s="4">
        <v>55.3</v>
      </c>
      <c r="M170" s="6">
        <v>5.0960000920842887</v>
      </c>
      <c r="N170" s="5">
        <v>0.03</v>
      </c>
      <c r="O170" s="5">
        <v>0.79742619345900856</v>
      </c>
      <c r="P170" s="5">
        <v>0.79742619345900856</v>
      </c>
      <c r="Q170" s="8">
        <v>0.19930555555555554</v>
      </c>
      <c r="R170" s="8">
        <v>0.875</v>
      </c>
      <c r="S170" s="6">
        <f t="shared" si="6"/>
        <v>16.216666666666669</v>
      </c>
      <c r="T170" s="5">
        <f t="shared" si="7"/>
        <v>4.9173249339712753E-2</v>
      </c>
      <c r="U170" s="3">
        <v>2.21</v>
      </c>
      <c r="V170" s="5">
        <f t="shared" si="8"/>
        <v>2.2250339067743326E-2</v>
      </c>
      <c r="W170" s="3">
        <v>2.2250339067743326E-2</v>
      </c>
    </row>
    <row r="171" spans="1:23" x14ac:dyDescent="0.55000000000000004">
      <c r="A171" s="3">
        <v>15</v>
      </c>
      <c r="B171" s="3" t="s">
        <v>48</v>
      </c>
      <c r="C171" s="3" t="s">
        <v>49</v>
      </c>
      <c r="D171" s="3" t="s">
        <v>38</v>
      </c>
      <c r="E171" s="2" t="s">
        <v>18</v>
      </c>
      <c r="F171" s="3">
        <v>24</v>
      </c>
      <c r="G171" s="4">
        <v>22.4</v>
      </c>
      <c r="H171" s="4">
        <v>91.5</v>
      </c>
      <c r="I171" s="6">
        <v>7.5644111646289192</v>
      </c>
      <c r="J171" s="5">
        <v>3.3000000000000002E-2</v>
      </c>
      <c r="K171" s="4">
        <v>19.899999999999999</v>
      </c>
      <c r="L171" s="4">
        <v>78</v>
      </c>
      <c r="M171" s="6">
        <v>6.7733604611611131</v>
      </c>
      <c r="N171" s="5">
        <v>3.2000000000000001E-2</v>
      </c>
      <c r="O171" s="5">
        <v>0.79105070346780604</v>
      </c>
      <c r="P171" s="5">
        <v>0.79105070346780604</v>
      </c>
      <c r="Q171" s="8">
        <v>0.21180555555555555</v>
      </c>
      <c r="R171" s="8">
        <v>0.88194444444444453</v>
      </c>
      <c r="S171" s="6">
        <f t="shared" si="6"/>
        <v>16.083333333333336</v>
      </c>
      <c r="T171" s="5">
        <f t="shared" si="7"/>
        <v>4.9184499697480163E-2</v>
      </c>
      <c r="U171" s="3">
        <v>2.21</v>
      </c>
      <c r="V171" s="5">
        <f t="shared" si="8"/>
        <v>2.2255429727366591E-2</v>
      </c>
      <c r="W171" s="3">
        <v>2.2255429727366591E-2</v>
      </c>
    </row>
    <row r="172" spans="1:23" x14ac:dyDescent="0.55000000000000004">
      <c r="A172" s="3">
        <v>47</v>
      </c>
      <c r="B172" s="3" t="s">
        <v>52</v>
      </c>
      <c r="C172" s="3" t="s">
        <v>50</v>
      </c>
      <c r="D172" s="3" t="s">
        <v>12</v>
      </c>
      <c r="E172" s="3" t="s">
        <v>33</v>
      </c>
      <c r="F172" s="3">
        <v>75</v>
      </c>
      <c r="G172" s="4">
        <v>28.2</v>
      </c>
      <c r="H172" s="4">
        <v>71.3</v>
      </c>
      <c r="I172" s="6">
        <v>5.2929944934517756</v>
      </c>
      <c r="J172" s="5">
        <v>0.06</v>
      </c>
      <c r="K172" s="4">
        <v>23.9</v>
      </c>
      <c r="L172" s="4">
        <v>55.9</v>
      </c>
      <c r="M172" s="6">
        <v>4.4907301119431517</v>
      </c>
      <c r="N172" s="5">
        <v>5.5E-2</v>
      </c>
      <c r="O172" s="5">
        <v>0.80226438150862389</v>
      </c>
      <c r="P172" s="5">
        <v>0.80226438150862389</v>
      </c>
      <c r="Q172" s="8">
        <v>0.20833333333333334</v>
      </c>
      <c r="R172" s="8">
        <v>0.88541666666666663</v>
      </c>
      <c r="S172" s="6">
        <f t="shared" si="6"/>
        <v>16.25</v>
      </c>
      <c r="T172" s="5">
        <f t="shared" si="7"/>
        <v>4.9370115785146086E-2</v>
      </c>
      <c r="U172" s="3">
        <v>2.21</v>
      </c>
      <c r="V172" s="5">
        <f t="shared" si="8"/>
        <v>2.2339418907305921E-2</v>
      </c>
      <c r="W172" s="3">
        <v>2.2339418907305921E-2</v>
      </c>
    </row>
    <row r="173" spans="1:23" x14ac:dyDescent="0.55000000000000004">
      <c r="A173" s="3">
        <v>15</v>
      </c>
      <c r="B173" s="3" t="s">
        <v>48</v>
      </c>
      <c r="C173" s="3" t="s">
        <v>49</v>
      </c>
      <c r="D173" s="3" t="s">
        <v>38</v>
      </c>
      <c r="E173" s="2" t="s">
        <v>16</v>
      </c>
      <c r="F173" s="3">
        <v>16</v>
      </c>
      <c r="G173" s="4">
        <v>20.7</v>
      </c>
      <c r="H173" s="4">
        <v>75.7</v>
      </c>
      <c r="I173" s="6">
        <v>6.4697325981282852</v>
      </c>
      <c r="J173" s="5">
        <v>2.7E-2</v>
      </c>
      <c r="K173" s="4">
        <v>19.600000000000001</v>
      </c>
      <c r="L173" s="4">
        <v>65.099999999999994</v>
      </c>
      <c r="M173" s="6">
        <v>5.6873056859319044</v>
      </c>
      <c r="N173" s="5">
        <v>2.7E-2</v>
      </c>
      <c r="O173" s="5">
        <v>0.78242691219638072</v>
      </c>
      <c r="P173" s="5">
        <v>0.78242691219638072</v>
      </c>
      <c r="Q173" s="8">
        <v>0.20833333333333334</v>
      </c>
      <c r="R173" s="8">
        <v>0.86805555555555547</v>
      </c>
      <c r="S173" s="6">
        <f t="shared" si="6"/>
        <v>15.83333333333333</v>
      </c>
      <c r="T173" s="5">
        <f t="shared" si="7"/>
        <v>4.9416436559771425E-2</v>
      </c>
      <c r="U173" s="3">
        <v>2.21</v>
      </c>
      <c r="V173" s="5">
        <f t="shared" si="8"/>
        <v>2.2360378533833224E-2</v>
      </c>
      <c r="W173" s="3">
        <v>2.2360378533833224E-2</v>
      </c>
    </row>
    <row r="174" spans="1:23" x14ac:dyDescent="0.55000000000000004">
      <c r="A174" s="3">
        <v>62</v>
      </c>
      <c r="B174" s="3" t="s">
        <v>52</v>
      </c>
      <c r="C174" s="3" t="s">
        <v>49</v>
      </c>
      <c r="D174" s="3" t="s">
        <v>40</v>
      </c>
      <c r="E174" s="2" t="s">
        <v>14</v>
      </c>
      <c r="F174" s="3">
        <v>10</v>
      </c>
      <c r="G174" s="4">
        <v>22</v>
      </c>
      <c r="H174" s="4">
        <v>97.3</v>
      </c>
      <c r="I174" s="6">
        <v>8.1064693409711168</v>
      </c>
      <c r="J174" s="5">
        <v>2.3E-2</v>
      </c>
      <c r="K174" s="4">
        <v>19.8</v>
      </c>
      <c r="L174" s="4">
        <v>84.1</v>
      </c>
      <c r="M174" s="6">
        <v>7.3177282249882145</v>
      </c>
      <c r="N174" s="5">
        <v>2.3E-2</v>
      </c>
      <c r="O174" s="5">
        <v>0.78874111598290231</v>
      </c>
      <c r="P174" s="5">
        <v>0.78874111598290231</v>
      </c>
      <c r="Q174" s="8">
        <v>0.20555555555555557</v>
      </c>
      <c r="R174" s="8">
        <v>0.86805555555555547</v>
      </c>
      <c r="S174" s="6">
        <f t="shared" si="6"/>
        <v>15.899999999999997</v>
      </c>
      <c r="T174" s="5">
        <f t="shared" si="7"/>
        <v>4.9606359495780031E-2</v>
      </c>
      <c r="U174" s="3">
        <v>2.21</v>
      </c>
      <c r="V174" s="5">
        <f t="shared" si="8"/>
        <v>2.2446316513927617E-2</v>
      </c>
      <c r="W174" s="3">
        <v>2.2446316513927617E-2</v>
      </c>
    </row>
    <row r="175" spans="1:23" x14ac:dyDescent="0.55000000000000004">
      <c r="A175" s="3">
        <v>43</v>
      </c>
      <c r="B175" s="3" t="s">
        <v>51</v>
      </c>
      <c r="C175" s="3" t="s">
        <v>50</v>
      </c>
      <c r="D175" s="3" t="s">
        <v>9</v>
      </c>
      <c r="E175" s="2" t="s">
        <v>8</v>
      </c>
      <c r="F175" s="3">
        <v>5</v>
      </c>
      <c r="G175" s="4">
        <v>20.399999999999999</v>
      </c>
      <c r="H175" s="4">
        <v>116.4</v>
      </c>
      <c r="I175" s="6">
        <v>10.007566766437629</v>
      </c>
      <c r="J175" s="5">
        <v>3.1E-2</v>
      </c>
      <c r="K175" s="4">
        <v>15.4</v>
      </c>
      <c r="L175" s="4">
        <v>96.7</v>
      </c>
      <c r="M175" s="6">
        <v>9.2186793561118954</v>
      </c>
      <c r="N175" s="5">
        <v>2.5999999999999999E-2</v>
      </c>
      <c r="O175" s="5">
        <v>0.78888741032573328</v>
      </c>
      <c r="P175" s="5">
        <v>0.78888741032573328</v>
      </c>
      <c r="Q175" s="8">
        <v>0.20833333333333334</v>
      </c>
      <c r="R175" s="8">
        <v>0.87083333333333324</v>
      </c>
      <c r="S175" s="6">
        <f t="shared" si="6"/>
        <v>15.899999999999997</v>
      </c>
      <c r="T175" s="5">
        <f t="shared" si="7"/>
        <v>4.9615560397844871E-2</v>
      </c>
      <c r="U175" s="3">
        <v>2.21</v>
      </c>
      <c r="V175" s="5">
        <f t="shared" si="8"/>
        <v>2.2450479818029355E-2</v>
      </c>
      <c r="W175" s="3">
        <v>2.2450479818029355E-2</v>
      </c>
    </row>
    <row r="176" spans="1:23" x14ac:dyDescent="0.55000000000000004">
      <c r="A176" s="3">
        <v>16</v>
      </c>
      <c r="B176" s="3" t="s">
        <v>52</v>
      </c>
      <c r="C176" s="3" t="s">
        <v>50</v>
      </c>
      <c r="D176" s="3" t="s">
        <v>12</v>
      </c>
      <c r="E176" s="2" t="s">
        <v>15</v>
      </c>
      <c r="F176" s="3">
        <v>12</v>
      </c>
      <c r="G176" s="4">
        <v>22.2</v>
      </c>
      <c r="H176" s="4">
        <v>90.1</v>
      </c>
      <c r="I176" s="6">
        <v>7.4775416525990908</v>
      </c>
      <c r="J176" s="5">
        <v>3.7999999999999999E-2</v>
      </c>
      <c r="K176" s="4">
        <v>19.3</v>
      </c>
      <c r="L176" s="4">
        <v>76.099999999999994</v>
      </c>
      <c r="M176" s="6">
        <v>6.6886433605934075</v>
      </c>
      <c r="N176" s="5">
        <v>3.6999999999999998E-2</v>
      </c>
      <c r="O176" s="5">
        <v>0.78889829200568329</v>
      </c>
      <c r="P176" s="5">
        <v>0.78889829200568329</v>
      </c>
      <c r="Q176" s="8">
        <v>0.21319444444444444</v>
      </c>
      <c r="R176" s="8">
        <v>0.875</v>
      </c>
      <c r="S176" s="6">
        <f t="shared" si="6"/>
        <v>15.883333333333333</v>
      </c>
      <c r="T176" s="5">
        <f t="shared" si="7"/>
        <v>4.9668307996160545E-2</v>
      </c>
      <c r="U176" s="3">
        <v>2.21</v>
      </c>
      <c r="V176" s="5">
        <f t="shared" si="8"/>
        <v>2.2474347509574909E-2</v>
      </c>
      <c r="W176" s="3">
        <v>2.2474347509574909E-2</v>
      </c>
    </row>
    <row r="177" spans="1:23" x14ac:dyDescent="0.55000000000000004">
      <c r="A177" s="3">
        <v>40</v>
      </c>
      <c r="B177" s="3" t="s">
        <v>48</v>
      </c>
      <c r="C177" s="3" t="s">
        <v>50</v>
      </c>
      <c r="D177" s="3" t="s">
        <v>10</v>
      </c>
      <c r="E177" s="2" t="s">
        <v>8</v>
      </c>
      <c r="F177" s="3">
        <v>5</v>
      </c>
      <c r="G177" s="4">
        <v>20.6</v>
      </c>
      <c r="H177" s="4">
        <v>122.2</v>
      </c>
      <c r="I177" s="6">
        <v>10.464586531558529</v>
      </c>
      <c r="J177" s="5">
        <v>3.4000000000000002E-2</v>
      </c>
      <c r="K177" s="4">
        <v>15.5</v>
      </c>
      <c r="L177" s="4">
        <v>101.7</v>
      </c>
      <c r="M177" s="6">
        <v>9.6745551220429764</v>
      </c>
      <c r="N177" s="5">
        <v>2.9000000000000001E-2</v>
      </c>
      <c r="O177" s="5">
        <v>0.79003140951555295</v>
      </c>
      <c r="P177" s="5">
        <v>0.79003140951555295</v>
      </c>
      <c r="Q177" s="8">
        <v>0.20833333333333334</v>
      </c>
      <c r="R177" s="8">
        <v>0.87083333333333324</v>
      </c>
      <c r="S177" s="6">
        <f t="shared" si="6"/>
        <v>15.899999999999997</v>
      </c>
      <c r="T177" s="5">
        <f t="shared" si="7"/>
        <v>4.9687510032424727E-2</v>
      </c>
      <c r="U177" s="3">
        <v>2.21</v>
      </c>
      <c r="V177" s="5">
        <f t="shared" si="8"/>
        <v>2.2483036213766842E-2</v>
      </c>
      <c r="W177" s="3">
        <v>2.2483036213766842E-2</v>
      </c>
    </row>
    <row r="178" spans="1:23" x14ac:dyDescent="0.55000000000000004">
      <c r="A178" s="3">
        <v>2</v>
      </c>
      <c r="B178" s="3" t="s">
        <v>48</v>
      </c>
      <c r="C178" s="3" t="s">
        <v>49</v>
      </c>
      <c r="D178" s="3" t="s">
        <v>38</v>
      </c>
      <c r="E178" s="3" t="s">
        <v>32</v>
      </c>
      <c r="F178" s="3">
        <v>72</v>
      </c>
      <c r="G178" s="4">
        <v>29</v>
      </c>
      <c r="H178" s="4">
        <v>82.6</v>
      </c>
      <c r="I178" s="6">
        <v>6.0454045346853125</v>
      </c>
      <c r="J178" s="5">
        <v>6.9000000000000006E-2</v>
      </c>
      <c r="K178" s="4">
        <v>24.4</v>
      </c>
      <c r="L178" s="4">
        <v>65.8</v>
      </c>
      <c r="M178" s="6">
        <v>5.236479610343058</v>
      </c>
      <c r="N178" s="5">
        <v>6.5000000000000002E-2</v>
      </c>
      <c r="O178" s="5">
        <v>0.80892492434225449</v>
      </c>
      <c r="P178" s="5">
        <v>0.80892492434225449</v>
      </c>
      <c r="Q178" s="8">
        <v>0.20833333333333334</v>
      </c>
      <c r="R178" s="8">
        <v>0.88541666666666663</v>
      </c>
      <c r="S178" s="6">
        <f t="shared" si="6"/>
        <v>16.25</v>
      </c>
      <c r="T178" s="5">
        <f t="shared" si="7"/>
        <v>4.9779995344138739E-2</v>
      </c>
      <c r="U178" s="3">
        <v>2.21</v>
      </c>
      <c r="V178" s="5">
        <f t="shared" si="8"/>
        <v>2.2524884771103502E-2</v>
      </c>
      <c r="W178" s="3">
        <v>2.2524884771103502E-2</v>
      </c>
    </row>
    <row r="179" spans="1:23" x14ac:dyDescent="0.55000000000000004">
      <c r="A179" s="3">
        <v>38</v>
      </c>
      <c r="B179" s="3" t="s">
        <v>51</v>
      </c>
      <c r="C179" s="3" t="s">
        <v>49</v>
      </c>
      <c r="D179" s="3" t="s">
        <v>39</v>
      </c>
      <c r="E179" s="2" t="s">
        <v>15</v>
      </c>
      <c r="F179" s="3">
        <v>12</v>
      </c>
      <c r="G179" s="4">
        <v>22.5</v>
      </c>
      <c r="H179" s="4">
        <v>105.6</v>
      </c>
      <c r="I179" s="6">
        <v>8.7132414200556596</v>
      </c>
      <c r="J179" s="5">
        <v>2.1999999999999999E-2</v>
      </c>
      <c r="K179" s="4">
        <v>19.5</v>
      </c>
      <c r="L179" s="4">
        <v>90.5</v>
      </c>
      <c r="M179" s="6">
        <v>7.9222542971342156</v>
      </c>
      <c r="N179" s="5">
        <v>2.1999999999999999E-2</v>
      </c>
      <c r="O179" s="5">
        <v>0.79098712292144402</v>
      </c>
      <c r="P179" s="5">
        <v>0.79098712292144402</v>
      </c>
      <c r="Q179" s="8">
        <v>0.21319444444444444</v>
      </c>
      <c r="R179" s="8">
        <v>0.875</v>
      </c>
      <c r="S179" s="6">
        <f t="shared" si="6"/>
        <v>15.883333333333333</v>
      </c>
      <c r="T179" s="5">
        <f t="shared" si="7"/>
        <v>4.9799818861790808E-2</v>
      </c>
      <c r="U179" s="3">
        <v>2.21</v>
      </c>
      <c r="V179" s="5">
        <f t="shared" si="8"/>
        <v>2.2533854688593129E-2</v>
      </c>
      <c r="W179" s="3">
        <v>2.2533854688593129E-2</v>
      </c>
    </row>
    <row r="180" spans="1:23" x14ac:dyDescent="0.55000000000000004">
      <c r="A180" s="3">
        <v>57</v>
      </c>
      <c r="B180" s="3" t="s">
        <v>52</v>
      </c>
      <c r="C180" s="3" t="s">
        <v>50</v>
      </c>
      <c r="D180" s="3" t="s">
        <v>12</v>
      </c>
      <c r="E180" s="2" t="s">
        <v>18</v>
      </c>
      <c r="F180" s="3">
        <v>24</v>
      </c>
      <c r="G180" s="4">
        <v>22.1</v>
      </c>
      <c r="H180" s="4">
        <v>118.8</v>
      </c>
      <c r="I180" s="6">
        <v>9.8785297295355452</v>
      </c>
      <c r="J180" s="5">
        <v>3.9E-2</v>
      </c>
      <c r="K180" s="4">
        <v>19.899999999999999</v>
      </c>
      <c r="L180" s="4">
        <v>104.5</v>
      </c>
      <c r="M180" s="6">
        <v>9.0745662588632872</v>
      </c>
      <c r="N180" s="5">
        <v>3.5999999999999997E-2</v>
      </c>
      <c r="O180" s="5">
        <v>0.80396347067225804</v>
      </c>
      <c r="P180" s="5">
        <v>0.80396347067225804</v>
      </c>
      <c r="Q180" s="8">
        <v>0.21180555555555555</v>
      </c>
      <c r="R180" s="8">
        <v>0.88194444444444453</v>
      </c>
      <c r="S180" s="6">
        <f t="shared" si="6"/>
        <v>16.083333333333336</v>
      </c>
      <c r="T180" s="5">
        <f t="shared" si="7"/>
        <v>4.9987366052161114E-2</v>
      </c>
      <c r="U180" s="3">
        <v>2.21</v>
      </c>
      <c r="V180" s="5">
        <f t="shared" si="8"/>
        <v>2.2618717670661138E-2</v>
      </c>
      <c r="W180" s="3">
        <v>2.2618717670661138E-2</v>
      </c>
    </row>
    <row r="181" spans="1:23" x14ac:dyDescent="0.55000000000000004">
      <c r="A181" s="3">
        <v>15</v>
      </c>
      <c r="B181" s="3" t="s">
        <v>48</v>
      </c>
      <c r="C181" s="3" t="s">
        <v>49</v>
      </c>
      <c r="D181" s="3" t="s">
        <v>38</v>
      </c>
      <c r="E181" s="2" t="s">
        <v>13</v>
      </c>
      <c r="F181" s="3">
        <v>8</v>
      </c>
      <c r="G181" s="4">
        <v>21.9</v>
      </c>
      <c r="H181" s="4">
        <v>99.6</v>
      </c>
      <c r="I181" s="6">
        <v>8.3142387824378527</v>
      </c>
      <c r="J181" s="5">
        <v>2.1000000000000001E-2</v>
      </c>
      <c r="K181" s="4">
        <v>19.100000000000001</v>
      </c>
      <c r="L181" s="4">
        <v>85.3</v>
      </c>
      <c r="M181" s="6">
        <v>7.5276755716166353</v>
      </c>
      <c r="N181" s="5">
        <v>2.1000000000000001E-2</v>
      </c>
      <c r="O181" s="5">
        <v>0.7865632108212175</v>
      </c>
      <c r="P181" s="5">
        <v>0.7865632108212175</v>
      </c>
      <c r="Q181" s="8">
        <v>0.20833333333333334</v>
      </c>
      <c r="R181" s="8">
        <v>0.86319444444444438</v>
      </c>
      <c r="S181" s="6">
        <f t="shared" si="6"/>
        <v>15.716666666666665</v>
      </c>
      <c r="T181" s="5">
        <f t="shared" si="7"/>
        <v>5.0046439712908862E-2</v>
      </c>
      <c r="U181" s="3">
        <v>2.21</v>
      </c>
      <c r="V181" s="5">
        <f t="shared" si="8"/>
        <v>2.2645447833895414E-2</v>
      </c>
      <c r="W181" s="3">
        <v>2.2645447833895414E-2</v>
      </c>
    </row>
    <row r="182" spans="1:23" x14ac:dyDescent="0.55000000000000004">
      <c r="A182" s="3">
        <v>17</v>
      </c>
      <c r="B182" s="3" t="s">
        <v>52</v>
      </c>
      <c r="C182" s="3" t="s">
        <v>50</v>
      </c>
      <c r="D182" s="3" t="s">
        <v>12</v>
      </c>
      <c r="E182" s="3" t="s">
        <v>32</v>
      </c>
      <c r="F182" s="3">
        <v>72</v>
      </c>
      <c r="G182" s="4">
        <v>27.6</v>
      </c>
      <c r="H182" s="4">
        <v>56.4</v>
      </c>
      <c r="I182" s="6">
        <v>4.2321235742685044</v>
      </c>
      <c r="J182" s="5">
        <v>8.5000000000000006E-2</v>
      </c>
      <c r="K182" s="4">
        <v>23.9</v>
      </c>
      <c r="L182" s="4">
        <v>42.5</v>
      </c>
      <c r="M182" s="6">
        <v>3.4142402461106252</v>
      </c>
      <c r="N182" s="5">
        <v>7.8E-2</v>
      </c>
      <c r="O182" s="5">
        <v>0.81788332815787923</v>
      </c>
      <c r="P182" s="5">
        <v>0.81788332815787923</v>
      </c>
      <c r="Q182" s="8">
        <v>0.20833333333333334</v>
      </c>
      <c r="R182" s="8">
        <v>0.88541666666666663</v>
      </c>
      <c r="S182" s="6">
        <f t="shared" si="6"/>
        <v>16.25</v>
      </c>
      <c r="T182" s="5">
        <f t="shared" si="7"/>
        <v>5.0331281732792568E-2</v>
      </c>
      <c r="U182" s="3">
        <v>2.21</v>
      </c>
      <c r="V182" s="5">
        <f t="shared" si="8"/>
        <v>2.2774335625697997E-2</v>
      </c>
      <c r="W182" s="3">
        <v>2.2774335625697997E-2</v>
      </c>
    </row>
    <row r="183" spans="1:23" x14ac:dyDescent="0.55000000000000004">
      <c r="A183" s="3">
        <v>24</v>
      </c>
      <c r="B183" s="3" t="s">
        <v>52</v>
      </c>
      <c r="C183" s="3" t="s">
        <v>49</v>
      </c>
      <c r="D183" s="3" t="s">
        <v>40</v>
      </c>
      <c r="E183" s="2" t="s">
        <v>15</v>
      </c>
      <c r="F183" s="3">
        <v>12</v>
      </c>
      <c r="G183" s="4">
        <v>22.5</v>
      </c>
      <c r="H183" s="4">
        <v>102.1</v>
      </c>
      <c r="I183" s="6">
        <v>8.4244502745045722</v>
      </c>
      <c r="J183" s="5">
        <v>2.5000000000000001E-2</v>
      </c>
      <c r="K183" s="4">
        <v>19.5</v>
      </c>
      <c r="L183" s="4">
        <v>87.1</v>
      </c>
      <c r="M183" s="6">
        <v>7.624622643982212</v>
      </c>
      <c r="N183" s="5">
        <v>2.3E-2</v>
      </c>
      <c r="O183" s="5">
        <v>0.79982763052236017</v>
      </c>
      <c r="P183" s="5">
        <v>0.79982763052236017</v>
      </c>
      <c r="Q183" s="8">
        <v>0.21319444444444444</v>
      </c>
      <c r="R183" s="8">
        <v>0.875</v>
      </c>
      <c r="S183" s="6">
        <f t="shared" si="6"/>
        <v>15.883333333333333</v>
      </c>
      <c r="T183" s="5">
        <f t="shared" si="7"/>
        <v>5.0356409057021628E-2</v>
      </c>
      <c r="U183" s="3">
        <v>2.21</v>
      </c>
      <c r="V183" s="5">
        <f t="shared" si="8"/>
        <v>2.2785705455665897E-2</v>
      </c>
      <c r="W183" s="3">
        <v>2.2785705455665897E-2</v>
      </c>
    </row>
    <row r="184" spans="1:23" x14ac:dyDescent="0.55000000000000004">
      <c r="A184" s="3">
        <v>6</v>
      </c>
      <c r="B184" s="3" t="s">
        <v>51</v>
      </c>
      <c r="C184" s="3" t="s">
        <v>49</v>
      </c>
      <c r="D184" s="3" t="s">
        <v>39</v>
      </c>
      <c r="E184" s="2" t="s">
        <v>15</v>
      </c>
      <c r="F184" s="3">
        <v>12</v>
      </c>
      <c r="G184" s="4">
        <v>22.2</v>
      </c>
      <c r="H184" s="4">
        <v>102.5</v>
      </c>
      <c r="I184" s="6">
        <v>8.5066372851432508</v>
      </c>
      <c r="J184" s="5">
        <v>2.3E-2</v>
      </c>
      <c r="K184" s="4">
        <v>19.2</v>
      </c>
      <c r="L184" s="4">
        <v>87.5</v>
      </c>
      <c r="M184" s="6">
        <v>7.7061953087514921</v>
      </c>
      <c r="N184" s="5">
        <v>2.3E-2</v>
      </c>
      <c r="O184" s="5">
        <v>0.80044197639175874</v>
      </c>
      <c r="P184" s="5">
        <v>0.80044197639175874</v>
      </c>
      <c r="Q184" s="8">
        <v>0.21319444444444444</v>
      </c>
      <c r="R184" s="8">
        <v>0.875</v>
      </c>
      <c r="S184" s="6">
        <f t="shared" si="6"/>
        <v>15.883333333333333</v>
      </c>
      <c r="T184" s="5">
        <f t="shared" si="7"/>
        <v>5.0395087705672116E-2</v>
      </c>
      <c r="U184" s="3">
        <v>2.21</v>
      </c>
      <c r="V184" s="5">
        <f t="shared" si="8"/>
        <v>2.2803207106638967E-2</v>
      </c>
      <c r="W184" s="3">
        <v>2.2803207106638967E-2</v>
      </c>
    </row>
    <row r="185" spans="1:23" x14ac:dyDescent="0.55000000000000004">
      <c r="A185" s="3">
        <v>23</v>
      </c>
      <c r="B185" s="3" t="s">
        <v>52</v>
      </c>
      <c r="C185" s="3" t="s">
        <v>49</v>
      </c>
      <c r="D185" s="3" t="s">
        <v>40</v>
      </c>
      <c r="E185" s="3" t="s">
        <v>33</v>
      </c>
      <c r="F185" s="3">
        <v>75</v>
      </c>
      <c r="G185" s="4">
        <v>26.6</v>
      </c>
      <c r="H185" s="4">
        <v>65.8</v>
      </c>
      <c r="I185" s="6">
        <v>5.027668516115555</v>
      </c>
      <c r="J185" s="5">
        <v>6.7000000000000004E-2</v>
      </c>
      <c r="K185" s="4">
        <v>23</v>
      </c>
      <c r="L185" s="4">
        <v>51.5</v>
      </c>
      <c r="M185" s="6">
        <v>4.2087190926020925</v>
      </c>
      <c r="N185" s="5">
        <v>6.4000000000000001E-2</v>
      </c>
      <c r="O185" s="5">
        <v>0.81894942351346245</v>
      </c>
      <c r="P185" s="5">
        <v>0.81894942351346245</v>
      </c>
      <c r="Q185" s="8">
        <v>0.20833333333333334</v>
      </c>
      <c r="R185" s="8">
        <v>0.88541666666666663</v>
      </c>
      <c r="S185" s="6">
        <f t="shared" si="6"/>
        <v>16.25</v>
      </c>
      <c r="T185" s="5">
        <f t="shared" si="7"/>
        <v>5.0396887600828458E-2</v>
      </c>
      <c r="U185" s="3">
        <v>2.21</v>
      </c>
      <c r="V185" s="5">
        <f t="shared" si="8"/>
        <v>2.2804021538836407E-2</v>
      </c>
      <c r="W185" s="3">
        <v>2.2804021538836407E-2</v>
      </c>
    </row>
    <row r="186" spans="1:23" x14ac:dyDescent="0.55000000000000004">
      <c r="A186" s="3">
        <v>4</v>
      </c>
      <c r="B186" s="3" t="s">
        <v>48</v>
      </c>
      <c r="C186" s="3" t="s">
        <v>49</v>
      </c>
      <c r="D186" s="3" t="s">
        <v>38</v>
      </c>
      <c r="E186" s="2" t="s">
        <v>14</v>
      </c>
      <c r="F186" s="3">
        <v>10</v>
      </c>
      <c r="G186" s="4">
        <v>22.5</v>
      </c>
      <c r="H186" s="4">
        <v>94.1</v>
      </c>
      <c r="I186" s="6">
        <v>7.7643562275306577</v>
      </c>
      <c r="J186" s="5">
        <v>2.3E-2</v>
      </c>
      <c r="K186" s="4">
        <v>20.100000000000001</v>
      </c>
      <c r="L186" s="4">
        <v>80.5</v>
      </c>
      <c r="M186" s="6">
        <v>6.962544269453141</v>
      </c>
      <c r="N186" s="5">
        <v>2.1999999999999999E-2</v>
      </c>
      <c r="O186" s="5">
        <v>0.80181195807751671</v>
      </c>
      <c r="P186" s="5">
        <v>0.80181195807751671</v>
      </c>
      <c r="Q186" s="8">
        <v>0.20555555555555557</v>
      </c>
      <c r="R186" s="8">
        <v>0.86805555555555547</v>
      </c>
      <c r="S186" s="6">
        <f t="shared" si="6"/>
        <v>15.899999999999997</v>
      </c>
      <c r="T186" s="5">
        <f t="shared" si="7"/>
        <v>5.0428425036321813E-2</v>
      </c>
      <c r="U186" s="3">
        <v>2.21</v>
      </c>
      <c r="V186" s="5">
        <f t="shared" si="8"/>
        <v>2.2818291871638832E-2</v>
      </c>
      <c r="W186" s="3">
        <v>2.2818291871638832E-2</v>
      </c>
    </row>
    <row r="187" spans="1:23" x14ac:dyDescent="0.55000000000000004">
      <c r="A187" s="3">
        <v>53</v>
      </c>
      <c r="B187" s="3" t="s">
        <v>48</v>
      </c>
      <c r="C187" s="3" t="s">
        <v>49</v>
      </c>
      <c r="D187" s="3" t="s">
        <v>38</v>
      </c>
      <c r="E187" s="2" t="s">
        <v>14</v>
      </c>
      <c r="F187" s="3">
        <v>10</v>
      </c>
      <c r="G187" s="4">
        <v>22.2</v>
      </c>
      <c r="H187" s="4">
        <v>92.4</v>
      </c>
      <c r="I187" s="6">
        <v>7.6684222941193783</v>
      </c>
      <c r="J187" s="5">
        <v>2.1999999999999999E-2</v>
      </c>
      <c r="K187" s="4">
        <v>20</v>
      </c>
      <c r="L187" s="4">
        <v>79.2</v>
      </c>
      <c r="M187" s="6">
        <v>6.8638118709846587</v>
      </c>
      <c r="N187" s="5">
        <v>2.1999999999999999E-2</v>
      </c>
      <c r="O187" s="5">
        <v>0.80461042313471953</v>
      </c>
      <c r="P187" s="5">
        <v>0.80461042313471953</v>
      </c>
      <c r="Q187" s="8">
        <v>0.20555555555555557</v>
      </c>
      <c r="R187" s="8">
        <v>0.86805555555555547</v>
      </c>
      <c r="S187" s="6">
        <f t="shared" si="6"/>
        <v>15.899999999999997</v>
      </c>
      <c r="T187" s="5">
        <f t="shared" si="7"/>
        <v>5.0604429127969794E-2</v>
      </c>
      <c r="U187" s="3">
        <v>2.21</v>
      </c>
      <c r="V187" s="5">
        <f t="shared" si="8"/>
        <v>2.289793173211303E-2</v>
      </c>
      <c r="W187" s="3">
        <v>2.289793173211303E-2</v>
      </c>
    </row>
    <row r="188" spans="1:23" x14ac:dyDescent="0.55000000000000004">
      <c r="A188" s="3">
        <v>37</v>
      </c>
      <c r="B188" s="3" t="s">
        <v>53</v>
      </c>
      <c r="C188" s="3" t="s">
        <v>50</v>
      </c>
      <c r="D188" s="3" t="s">
        <v>11</v>
      </c>
      <c r="E188" s="2" t="s">
        <v>18</v>
      </c>
      <c r="F188" s="3">
        <v>24</v>
      </c>
      <c r="G188" s="4">
        <v>22.5</v>
      </c>
      <c r="H188" s="4">
        <v>96.3</v>
      </c>
      <c r="I188" s="6">
        <v>7.9458820904484844</v>
      </c>
      <c r="J188" s="5">
        <v>3.5999999999999997E-2</v>
      </c>
      <c r="K188" s="4">
        <v>20.2</v>
      </c>
      <c r="L188" s="4">
        <v>82.6</v>
      </c>
      <c r="M188" s="6">
        <v>7.1299309937575917</v>
      </c>
      <c r="N188" s="5">
        <v>3.5000000000000003E-2</v>
      </c>
      <c r="O188" s="5">
        <v>0.81595109669089272</v>
      </c>
      <c r="P188" s="5">
        <v>0.81595109669089272</v>
      </c>
      <c r="Q188" s="8">
        <v>0.21180555555555555</v>
      </c>
      <c r="R188" s="8">
        <v>0.88194444444444453</v>
      </c>
      <c r="S188" s="6">
        <f t="shared" si="6"/>
        <v>16.083333333333336</v>
      </c>
      <c r="T188" s="5">
        <f t="shared" si="7"/>
        <v>5.0732710675081408E-2</v>
      </c>
      <c r="U188" s="3">
        <v>2.21</v>
      </c>
      <c r="V188" s="5">
        <f t="shared" si="8"/>
        <v>2.2955977681032313E-2</v>
      </c>
      <c r="W188" s="3">
        <v>2.2955977681032313E-2</v>
      </c>
    </row>
    <row r="189" spans="1:23" x14ac:dyDescent="0.55000000000000004">
      <c r="A189" s="3">
        <v>20</v>
      </c>
      <c r="B189" s="3" t="s">
        <v>52</v>
      </c>
      <c r="C189" s="3" t="s">
        <v>50</v>
      </c>
      <c r="D189" s="3" t="s">
        <v>12</v>
      </c>
      <c r="E189" s="2" t="s">
        <v>13</v>
      </c>
      <c r="F189" s="3">
        <v>8</v>
      </c>
      <c r="G189" s="4">
        <v>21.7</v>
      </c>
      <c r="H189" s="4">
        <v>100.5</v>
      </c>
      <c r="I189" s="6">
        <v>8.4221191815173757</v>
      </c>
      <c r="J189" s="5">
        <v>3.7999999999999999E-2</v>
      </c>
      <c r="K189" s="4">
        <v>19.100000000000001</v>
      </c>
      <c r="L189" s="4">
        <v>86.4</v>
      </c>
      <c r="M189" s="6">
        <v>7.6247499342048926</v>
      </c>
      <c r="N189" s="5">
        <v>3.5999999999999997E-2</v>
      </c>
      <c r="O189" s="5">
        <v>0.79736924731248315</v>
      </c>
      <c r="P189" s="5">
        <v>0.79736924731248315</v>
      </c>
      <c r="Q189" s="8">
        <v>0.20833333333333334</v>
      </c>
      <c r="R189" s="8">
        <v>0.86319444444444438</v>
      </c>
      <c r="S189" s="6">
        <f t="shared" si="6"/>
        <v>15.716666666666665</v>
      </c>
      <c r="T189" s="5">
        <f t="shared" si="7"/>
        <v>5.0733992405884408E-2</v>
      </c>
      <c r="U189" s="3">
        <v>2.21</v>
      </c>
      <c r="V189" s="5">
        <f t="shared" si="8"/>
        <v>2.2956557649721449E-2</v>
      </c>
      <c r="W189" s="3">
        <v>2.2956557649721449E-2</v>
      </c>
    </row>
    <row r="190" spans="1:23" x14ac:dyDescent="0.55000000000000004">
      <c r="A190" s="3">
        <v>2</v>
      </c>
      <c r="B190" s="3" t="s">
        <v>48</v>
      </c>
      <c r="C190" s="3" t="s">
        <v>49</v>
      </c>
      <c r="D190" s="3" t="s">
        <v>38</v>
      </c>
      <c r="E190" s="2" t="s">
        <v>18</v>
      </c>
      <c r="F190" s="3">
        <v>24</v>
      </c>
      <c r="G190" s="4">
        <v>22.3</v>
      </c>
      <c r="H190" s="4">
        <v>89.4</v>
      </c>
      <c r="I190" s="6">
        <v>7.4051005061249713</v>
      </c>
      <c r="J190" s="5">
        <v>3.4000000000000002E-2</v>
      </c>
      <c r="K190" s="4">
        <v>20</v>
      </c>
      <c r="L190" s="4">
        <v>76</v>
      </c>
      <c r="M190" s="6">
        <v>6.5864861388236617</v>
      </c>
      <c r="N190" s="5">
        <v>3.3000000000000002E-2</v>
      </c>
      <c r="O190" s="5">
        <v>0.81861436730130954</v>
      </c>
      <c r="P190" s="5">
        <v>0.81861436730130954</v>
      </c>
      <c r="Q190" s="8">
        <v>0.21180555555555555</v>
      </c>
      <c r="R190" s="8">
        <v>0.88194444444444453</v>
      </c>
      <c r="S190" s="6">
        <f t="shared" si="6"/>
        <v>16.083333333333336</v>
      </c>
      <c r="T190" s="5">
        <f t="shared" si="7"/>
        <v>5.089830263013323E-2</v>
      </c>
      <c r="U190" s="3">
        <v>2.21</v>
      </c>
      <c r="V190" s="5">
        <f t="shared" si="8"/>
        <v>2.3030906167481099E-2</v>
      </c>
      <c r="W190" s="3">
        <v>2.3030906167481099E-2</v>
      </c>
    </row>
    <row r="191" spans="1:23" x14ac:dyDescent="0.55000000000000004">
      <c r="A191" s="3">
        <v>45</v>
      </c>
      <c r="B191" s="3" t="s">
        <v>48</v>
      </c>
      <c r="C191" s="3" t="s">
        <v>50</v>
      </c>
      <c r="D191" s="3" t="s">
        <v>10</v>
      </c>
      <c r="E191" s="2" t="s">
        <v>18</v>
      </c>
      <c r="F191" s="3">
        <v>24</v>
      </c>
      <c r="G191" s="4">
        <v>22.5</v>
      </c>
      <c r="H191" s="4">
        <v>91.7</v>
      </c>
      <c r="I191" s="6">
        <v>7.5663280134384854</v>
      </c>
      <c r="J191" s="5">
        <v>3.7999999999999999E-2</v>
      </c>
      <c r="K191" s="4">
        <v>20.100000000000001</v>
      </c>
      <c r="L191" s="4">
        <v>78</v>
      </c>
      <c r="M191" s="6">
        <v>6.7463161865508683</v>
      </c>
      <c r="N191" s="5">
        <v>3.5999999999999997E-2</v>
      </c>
      <c r="O191" s="5">
        <v>0.82001182688761709</v>
      </c>
      <c r="P191" s="5">
        <v>0.82001182688761709</v>
      </c>
      <c r="Q191" s="8">
        <v>0.21180555555555555</v>
      </c>
      <c r="R191" s="8">
        <v>0.88194444444444453</v>
      </c>
      <c r="S191" s="6">
        <f t="shared" si="6"/>
        <v>16.083333333333336</v>
      </c>
      <c r="T191" s="5">
        <f t="shared" si="7"/>
        <v>5.0985191309074633E-2</v>
      </c>
      <c r="U191" s="3">
        <v>2.21</v>
      </c>
      <c r="V191" s="5">
        <f t="shared" si="8"/>
        <v>2.3070222311798477E-2</v>
      </c>
      <c r="W191" s="3">
        <v>2.3070222311798477E-2</v>
      </c>
    </row>
    <row r="192" spans="1:23" x14ac:dyDescent="0.55000000000000004">
      <c r="A192" s="3">
        <v>21</v>
      </c>
      <c r="B192" s="3" t="s">
        <v>48</v>
      </c>
      <c r="C192" s="3" t="s">
        <v>49</v>
      </c>
      <c r="D192" s="3" t="s">
        <v>38</v>
      </c>
      <c r="E192" s="3" t="s">
        <v>33</v>
      </c>
      <c r="F192" s="3">
        <v>75</v>
      </c>
      <c r="G192" s="4">
        <v>27.2</v>
      </c>
      <c r="H192" s="4">
        <v>61.1</v>
      </c>
      <c r="I192" s="6">
        <v>4.617985157287503</v>
      </c>
      <c r="J192" s="5">
        <v>9.6000000000000002E-2</v>
      </c>
      <c r="K192" s="4">
        <v>23.3</v>
      </c>
      <c r="L192" s="4">
        <v>46.6</v>
      </c>
      <c r="M192" s="6">
        <v>3.7865085961399148</v>
      </c>
      <c r="N192" s="5">
        <v>0.09</v>
      </c>
      <c r="O192" s="5">
        <v>0.83147656114758828</v>
      </c>
      <c r="P192" s="5">
        <v>0.83147656114758828</v>
      </c>
      <c r="Q192" s="8">
        <v>0.20833333333333334</v>
      </c>
      <c r="R192" s="8">
        <v>0.88541666666666663</v>
      </c>
      <c r="S192" s="6">
        <f t="shared" si="6"/>
        <v>16.25</v>
      </c>
      <c r="T192" s="5">
        <f t="shared" si="7"/>
        <v>5.1167788378313123E-2</v>
      </c>
      <c r="U192" s="3">
        <v>2.21</v>
      </c>
      <c r="V192" s="5">
        <f t="shared" si="8"/>
        <v>2.315284542005119E-2</v>
      </c>
      <c r="W192" s="3">
        <v>2.315284542005119E-2</v>
      </c>
    </row>
    <row r="193" spans="1:23" x14ac:dyDescent="0.55000000000000004">
      <c r="A193" s="3">
        <v>53</v>
      </c>
      <c r="B193" s="3" t="s">
        <v>48</v>
      </c>
      <c r="C193" s="3" t="s">
        <v>49</v>
      </c>
      <c r="D193" s="3" t="s">
        <v>38</v>
      </c>
      <c r="E193" s="2" t="s">
        <v>18</v>
      </c>
      <c r="F193" s="3">
        <v>24</v>
      </c>
      <c r="G193" s="4">
        <v>22.6</v>
      </c>
      <c r="H193" s="4">
        <v>91.7</v>
      </c>
      <c r="I193" s="6">
        <v>7.5517596509329916</v>
      </c>
      <c r="J193" s="5">
        <v>3.3000000000000002E-2</v>
      </c>
      <c r="K193" s="4">
        <v>20.3</v>
      </c>
      <c r="L193" s="4">
        <v>78.099999999999994</v>
      </c>
      <c r="M193" s="6">
        <v>6.7280744740115805</v>
      </c>
      <c r="N193" s="5">
        <v>3.2000000000000001E-2</v>
      </c>
      <c r="O193" s="5">
        <v>0.82368517692141108</v>
      </c>
      <c r="P193" s="5">
        <v>0.82368517692141108</v>
      </c>
      <c r="Q193" s="8">
        <v>0.21180555555555555</v>
      </c>
      <c r="R193" s="8">
        <v>0.88194444444444453</v>
      </c>
      <c r="S193" s="6">
        <f t="shared" si="6"/>
        <v>16.083333333333336</v>
      </c>
      <c r="T193" s="5">
        <f t="shared" si="7"/>
        <v>5.121358612982866E-2</v>
      </c>
      <c r="U193" s="3">
        <v>2.21</v>
      </c>
      <c r="V193" s="5">
        <f t="shared" si="8"/>
        <v>2.3173568384537855E-2</v>
      </c>
      <c r="W193" s="3">
        <v>2.3173568384537855E-2</v>
      </c>
    </row>
    <row r="194" spans="1:23" x14ac:dyDescent="0.55000000000000004">
      <c r="A194" s="3">
        <v>19</v>
      </c>
      <c r="B194" s="3" t="s">
        <v>53</v>
      </c>
      <c r="C194" s="3" t="s">
        <v>49</v>
      </c>
      <c r="D194" s="3" t="s">
        <v>41</v>
      </c>
      <c r="E194" s="2" t="s">
        <v>20</v>
      </c>
      <c r="F194" s="3">
        <v>30</v>
      </c>
      <c r="G194" s="4">
        <v>26.9</v>
      </c>
      <c r="H194" s="4">
        <v>80.400000000000006</v>
      </c>
      <c r="I194" s="6">
        <v>6.1098050821023442</v>
      </c>
      <c r="J194" s="5">
        <v>4.8000000000000001E-2</v>
      </c>
      <c r="K194" s="4">
        <v>23.6</v>
      </c>
      <c r="L194" s="4">
        <v>65.3</v>
      </c>
      <c r="M194" s="6">
        <v>5.2757845963648951</v>
      </c>
      <c r="N194" s="5">
        <v>4.4999999999999998E-2</v>
      </c>
      <c r="O194" s="5">
        <v>0.83402048573744914</v>
      </c>
      <c r="P194" s="5">
        <v>0.83402048573744914</v>
      </c>
      <c r="Q194" s="8">
        <v>0.20833333333333334</v>
      </c>
      <c r="R194" s="8">
        <v>0.88541666666666663</v>
      </c>
      <c r="S194" s="6">
        <f t="shared" ref="S194:S257" si="9">(R194-Q194)*24</f>
        <v>16.25</v>
      </c>
      <c r="T194" s="5">
        <f t="shared" ref="T194:T257" si="10">P194/S194</f>
        <v>5.1324337583843027E-2</v>
      </c>
      <c r="U194" s="3">
        <v>2.21</v>
      </c>
      <c r="V194" s="5">
        <f t="shared" ref="V194:V257" si="11">(I194-M194)/U194/S194</f>
        <v>2.3223682164634853E-2</v>
      </c>
      <c r="W194" s="3">
        <v>2.3223682164634853E-2</v>
      </c>
    </row>
    <row r="195" spans="1:23" x14ac:dyDescent="0.55000000000000004">
      <c r="A195" s="3">
        <v>21</v>
      </c>
      <c r="B195" s="3" t="s">
        <v>48</v>
      </c>
      <c r="C195" s="3" t="s">
        <v>49</v>
      </c>
      <c r="D195" s="3" t="s">
        <v>38</v>
      </c>
      <c r="E195" s="2" t="s">
        <v>15</v>
      </c>
      <c r="F195" s="3">
        <v>12</v>
      </c>
      <c r="G195" s="4">
        <v>22.4</v>
      </c>
      <c r="H195" s="4">
        <v>96.6</v>
      </c>
      <c r="I195" s="6">
        <v>7.9860340820016793</v>
      </c>
      <c r="J195" s="5">
        <v>2.7E-2</v>
      </c>
      <c r="K195" s="4">
        <v>19.5</v>
      </c>
      <c r="L195" s="4">
        <v>81.900000000000006</v>
      </c>
      <c r="M195" s="6">
        <v>7.1694212921026779</v>
      </c>
      <c r="N195" s="5">
        <v>2.7E-2</v>
      </c>
      <c r="O195" s="5">
        <v>0.81661278989900143</v>
      </c>
      <c r="P195" s="5">
        <v>0.81661278989900143</v>
      </c>
      <c r="Q195" s="8">
        <v>0.21319444444444444</v>
      </c>
      <c r="R195" s="8">
        <v>0.875</v>
      </c>
      <c r="S195" s="6">
        <f t="shared" si="9"/>
        <v>15.883333333333333</v>
      </c>
      <c r="T195" s="5">
        <f t="shared" si="10"/>
        <v>5.1413187191962313E-2</v>
      </c>
      <c r="U195" s="3">
        <v>2.21</v>
      </c>
      <c r="V195" s="5">
        <f t="shared" si="11"/>
        <v>2.3263885607222767E-2</v>
      </c>
      <c r="W195" s="3">
        <v>2.3263885607222767E-2</v>
      </c>
    </row>
    <row r="196" spans="1:23" x14ac:dyDescent="0.55000000000000004">
      <c r="A196" s="3">
        <v>38</v>
      </c>
      <c r="B196" s="3" t="s">
        <v>51</v>
      </c>
      <c r="C196" s="3" t="s">
        <v>49</v>
      </c>
      <c r="D196" s="3" t="s">
        <v>39</v>
      </c>
      <c r="E196" s="2" t="s">
        <v>14</v>
      </c>
      <c r="F196" s="3">
        <v>10</v>
      </c>
      <c r="G196" s="4">
        <v>22.3</v>
      </c>
      <c r="H196" s="4">
        <v>94.1</v>
      </c>
      <c r="I196" s="6">
        <v>7.7944066848586102</v>
      </c>
      <c r="J196" s="5">
        <v>2.1999999999999999E-2</v>
      </c>
      <c r="K196" s="4">
        <v>20</v>
      </c>
      <c r="L196" s="4">
        <v>80.5</v>
      </c>
      <c r="M196" s="6">
        <v>6.9764754496750632</v>
      </c>
      <c r="N196" s="5">
        <v>2.1999999999999999E-2</v>
      </c>
      <c r="O196" s="5">
        <v>0.81793123518354705</v>
      </c>
      <c r="P196" s="5">
        <v>0.81793123518354705</v>
      </c>
      <c r="Q196" s="8">
        <v>0.20555555555555557</v>
      </c>
      <c r="R196" s="8">
        <v>0.86805555555555547</v>
      </c>
      <c r="S196" s="6">
        <f t="shared" si="9"/>
        <v>15.899999999999997</v>
      </c>
      <c r="T196" s="5">
        <f t="shared" si="10"/>
        <v>5.1442216049279697E-2</v>
      </c>
      <c r="U196" s="3">
        <v>2.21</v>
      </c>
      <c r="V196" s="5">
        <f t="shared" si="11"/>
        <v>2.3277020836778146E-2</v>
      </c>
      <c r="W196" s="3">
        <v>2.3277020836778146E-2</v>
      </c>
    </row>
    <row r="197" spans="1:23" x14ac:dyDescent="0.55000000000000004">
      <c r="A197" s="3">
        <v>44</v>
      </c>
      <c r="B197" s="3" t="s">
        <v>53</v>
      </c>
      <c r="C197" s="3" t="s">
        <v>49</v>
      </c>
      <c r="D197" s="3" t="s">
        <v>41</v>
      </c>
      <c r="E197" s="2" t="s">
        <v>8</v>
      </c>
      <c r="F197" s="3">
        <v>5</v>
      </c>
      <c r="G197" s="4">
        <v>21</v>
      </c>
      <c r="H197" s="4">
        <v>105.3</v>
      </c>
      <c r="I197" s="6">
        <v>8.9463350718241639</v>
      </c>
      <c r="J197" s="5">
        <v>0.02</v>
      </c>
      <c r="K197" s="4">
        <v>15.7</v>
      </c>
      <c r="L197" s="4">
        <v>85.8</v>
      </c>
      <c r="M197" s="6">
        <v>8.1271346940070615</v>
      </c>
      <c r="N197" s="5">
        <v>1.7999999999999999E-2</v>
      </c>
      <c r="O197" s="5">
        <v>0.81920037781710242</v>
      </c>
      <c r="P197" s="5">
        <v>0.81920037781710242</v>
      </c>
      <c r="Q197" s="8">
        <v>0.20833333333333334</v>
      </c>
      <c r="R197" s="8">
        <v>0.87083333333333324</v>
      </c>
      <c r="S197" s="6">
        <f t="shared" si="9"/>
        <v>15.899999999999997</v>
      </c>
      <c r="T197" s="5">
        <f t="shared" si="10"/>
        <v>5.1522036340698275E-2</v>
      </c>
      <c r="U197" s="3">
        <v>2.21</v>
      </c>
      <c r="V197" s="5">
        <f t="shared" si="11"/>
        <v>2.3313138615700578E-2</v>
      </c>
      <c r="W197" s="3">
        <v>2.3313138615700578E-2</v>
      </c>
    </row>
    <row r="198" spans="1:23" x14ac:dyDescent="0.55000000000000004">
      <c r="A198" s="3">
        <v>20</v>
      </c>
      <c r="B198" s="3" t="s">
        <v>52</v>
      </c>
      <c r="C198" s="3" t="s">
        <v>50</v>
      </c>
      <c r="D198" s="3" t="s">
        <v>12</v>
      </c>
      <c r="E198" s="2" t="s">
        <v>8</v>
      </c>
      <c r="F198" s="3">
        <v>5</v>
      </c>
      <c r="G198" s="4">
        <v>20.9</v>
      </c>
      <c r="H198" s="4">
        <v>116.7</v>
      </c>
      <c r="I198" s="6">
        <v>9.9344601542779305</v>
      </c>
      <c r="J198" s="5">
        <v>3.4000000000000002E-2</v>
      </c>
      <c r="K198" s="4">
        <v>15.4</v>
      </c>
      <c r="L198" s="4">
        <v>95.6</v>
      </c>
      <c r="M198" s="6">
        <v>9.1138133034570554</v>
      </c>
      <c r="N198" s="5">
        <v>0.03</v>
      </c>
      <c r="O198" s="5">
        <v>0.82064685082087507</v>
      </c>
      <c r="P198" s="5">
        <v>0.82064685082087507</v>
      </c>
      <c r="Q198" s="8">
        <v>0.20833333333333334</v>
      </c>
      <c r="R198" s="8">
        <v>0.87083333333333324</v>
      </c>
      <c r="S198" s="6">
        <f t="shared" si="9"/>
        <v>15.899999999999997</v>
      </c>
      <c r="T198" s="5">
        <f t="shared" si="10"/>
        <v>5.1613009485589639E-2</v>
      </c>
      <c r="U198" s="3">
        <v>2.21</v>
      </c>
      <c r="V198" s="5">
        <f t="shared" si="11"/>
        <v>2.3354302934655943E-2</v>
      </c>
      <c r="W198" s="3">
        <v>2.3354302934655943E-2</v>
      </c>
    </row>
    <row r="199" spans="1:23" x14ac:dyDescent="0.55000000000000004">
      <c r="A199" s="3">
        <v>23</v>
      </c>
      <c r="B199" s="3" t="s">
        <v>52</v>
      </c>
      <c r="C199" s="3" t="s">
        <v>49</v>
      </c>
      <c r="D199" s="3" t="s">
        <v>40</v>
      </c>
      <c r="E199" s="2" t="s">
        <v>14</v>
      </c>
      <c r="F199" s="3">
        <v>10</v>
      </c>
      <c r="G199" s="4">
        <v>22.2</v>
      </c>
      <c r="H199" s="4">
        <v>92.1</v>
      </c>
      <c r="I199" s="6">
        <v>7.643524819138471</v>
      </c>
      <c r="J199" s="5">
        <v>2.4E-2</v>
      </c>
      <c r="K199" s="4">
        <v>20</v>
      </c>
      <c r="L199" s="4">
        <v>78.7</v>
      </c>
      <c r="M199" s="6">
        <v>6.8204797253345024</v>
      </c>
      <c r="N199" s="5">
        <v>2.3E-2</v>
      </c>
      <c r="O199" s="5">
        <v>0.82304509380396862</v>
      </c>
      <c r="P199" s="5">
        <v>0.82304509380396862</v>
      </c>
      <c r="Q199" s="8">
        <v>0.20555555555555557</v>
      </c>
      <c r="R199" s="8">
        <v>0.86805555555555547</v>
      </c>
      <c r="S199" s="6">
        <f t="shared" si="9"/>
        <v>15.899999999999997</v>
      </c>
      <c r="T199" s="5">
        <f t="shared" si="10"/>
        <v>5.1763842377608102E-2</v>
      </c>
      <c r="U199" s="3">
        <v>2.21</v>
      </c>
      <c r="V199" s="5">
        <f t="shared" si="11"/>
        <v>2.3422553112039866E-2</v>
      </c>
      <c r="W199" s="3">
        <v>2.3422553112039866E-2</v>
      </c>
    </row>
    <row r="200" spans="1:23" x14ac:dyDescent="0.55000000000000004">
      <c r="A200" s="3">
        <v>55</v>
      </c>
      <c r="B200" s="3" t="s">
        <v>52</v>
      </c>
      <c r="C200" s="3" t="s">
        <v>49</v>
      </c>
      <c r="D200" s="3" t="s">
        <v>40</v>
      </c>
      <c r="E200" s="3" t="s">
        <v>35</v>
      </c>
      <c r="F200" s="3">
        <v>82</v>
      </c>
      <c r="G200" s="4">
        <v>31.8</v>
      </c>
      <c r="H200" s="4">
        <v>63.7</v>
      </c>
      <c r="I200" s="6">
        <v>4.4410956336101046</v>
      </c>
      <c r="J200" s="5">
        <v>6.3E-2</v>
      </c>
      <c r="K200" s="4">
        <v>28</v>
      </c>
      <c r="L200" s="4">
        <v>48.3</v>
      </c>
      <c r="M200" s="6">
        <v>3.5984108058961435</v>
      </c>
      <c r="N200" s="5">
        <v>6.3E-2</v>
      </c>
      <c r="O200" s="5">
        <v>0.84268482771396114</v>
      </c>
      <c r="P200" s="5">
        <v>0.84268482771396114</v>
      </c>
      <c r="Q200" s="8">
        <v>0.20833333333333334</v>
      </c>
      <c r="R200" s="8">
        <v>0.88541666666666663</v>
      </c>
      <c r="S200" s="6">
        <f t="shared" si="9"/>
        <v>16.25</v>
      </c>
      <c r="T200" s="5">
        <f t="shared" si="10"/>
        <v>5.1857527859320685E-2</v>
      </c>
      <c r="U200" s="3">
        <v>2.21</v>
      </c>
      <c r="V200" s="5">
        <f t="shared" si="11"/>
        <v>2.3464944732724292E-2</v>
      </c>
      <c r="W200" s="3">
        <v>2.3464944732724292E-2</v>
      </c>
    </row>
    <row r="201" spans="1:23" x14ac:dyDescent="0.55000000000000004">
      <c r="A201" s="3">
        <v>53</v>
      </c>
      <c r="B201" s="3" t="s">
        <v>48</v>
      </c>
      <c r="C201" s="3" t="s">
        <v>49</v>
      </c>
      <c r="D201" s="3" t="s">
        <v>38</v>
      </c>
      <c r="E201" s="2" t="s">
        <v>21</v>
      </c>
      <c r="F201" s="3">
        <v>33</v>
      </c>
      <c r="G201" s="4">
        <v>30.2</v>
      </c>
      <c r="H201" s="4">
        <v>69.7</v>
      </c>
      <c r="I201" s="6">
        <v>4.995124185845218</v>
      </c>
      <c r="J201" s="5">
        <v>5.6000000000000001E-2</v>
      </c>
      <c r="K201" s="4">
        <v>26.4</v>
      </c>
      <c r="L201" s="4">
        <v>54.2</v>
      </c>
      <c r="M201" s="6">
        <v>4.1564728226361458</v>
      </c>
      <c r="N201" s="5">
        <v>5.2999999999999999E-2</v>
      </c>
      <c r="O201" s="5">
        <v>0.83865136320907219</v>
      </c>
      <c r="P201" s="5">
        <v>0.83865136320907219</v>
      </c>
      <c r="Q201" s="8">
        <v>0.20833333333333334</v>
      </c>
      <c r="R201" s="8">
        <v>0.88194444444444453</v>
      </c>
      <c r="S201" s="6">
        <f t="shared" si="9"/>
        <v>16.166666666666668</v>
      </c>
      <c r="T201" s="5">
        <f t="shared" si="10"/>
        <v>5.187534205416941E-2</v>
      </c>
      <c r="U201" s="3">
        <v>2.21</v>
      </c>
      <c r="V201" s="5">
        <f t="shared" si="11"/>
        <v>2.3473005454375296E-2</v>
      </c>
      <c r="W201" s="3">
        <v>2.3473005454375296E-2</v>
      </c>
    </row>
    <row r="202" spans="1:23" x14ac:dyDescent="0.55000000000000004">
      <c r="A202" s="3">
        <v>4</v>
      </c>
      <c r="B202" s="3" t="s">
        <v>48</v>
      </c>
      <c r="C202" s="3" t="s">
        <v>49</v>
      </c>
      <c r="D202" s="3" t="s">
        <v>38</v>
      </c>
      <c r="E202" s="2" t="s">
        <v>20</v>
      </c>
      <c r="F202" s="3">
        <v>30</v>
      </c>
      <c r="G202" s="4">
        <v>26.5</v>
      </c>
      <c r="H202" s="4">
        <v>71.099999999999994</v>
      </c>
      <c r="I202" s="6">
        <v>5.4425480254478202</v>
      </c>
      <c r="J202" s="5">
        <v>4.7E-2</v>
      </c>
      <c r="K202" s="4">
        <v>23.3</v>
      </c>
      <c r="L202" s="4">
        <v>56.6</v>
      </c>
      <c r="M202" s="6">
        <v>4.5990640888738019</v>
      </c>
      <c r="N202" s="5">
        <v>4.4999999999999998E-2</v>
      </c>
      <c r="O202" s="5">
        <v>0.84348393657401832</v>
      </c>
      <c r="P202" s="5">
        <v>0.84348393657401832</v>
      </c>
      <c r="Q202" s="8">
        <v>0.20833333333333334</v>
      </c>
      <c r="R202" s="8">
        <v>0.88541666666666663</v>
      </c>
      <c r="S202" s="6">
        <f t="shared" si="9"/>
        <v>16.25</v>
      </c>
      <c r="T202" s="5">
        <f t="shared" si="10"/>
        <v>5.1906703789170359E-2</v>
      </c>
      <c r="U202" s="3">
        <v>2.21</v>
      </c>
      <c r="V202" s="5">
        <f t="shared" si="11"/>
        <v>2.3487196284692469E-2</v>
      </c>
      <c r="W202" s="3">
        <v>2.3487196284692469E-2</v>
      </c>
    </row>
    <row r="203" spans="1:23" x14ac:dyDescent="0.55000000000000004">
      <c r="A203" s="3">
        <v>16</v>
      </c>
      <c r="B203" s="3" t="s">
        <v>52</v>
      </c>
      <c r="C203" s="3" t="s">
        <v>50</v>
      </c>
      <c r="D203" s="3" t="s">
        <v>12</v>
      </c>
      <c r="E203" s="3" t="s">
        <v>33</v>
      </c>
      <c r="F203" s="3">
        <v>75</v>
      </c>
      <c r="G203" s="4">
        <v>27.4</v>
      </c>
      <c r="H203" s="4">
        <v>65.5</v>
      </c>
      <c r="I203" s="6">
        <v>4.9326978024991792</v>
      </c>
      <c r="J203" s="5">
        <v>7.0999999999999994E-2</v>
      </c>
      <c r="K203" s="4">
        <v>23.6</v>
      </c>
      <c r="L203" s="4">
        <v>50.6</v>
      </c>
      <c r="M203" s="6">
        <v>4.0881271144879587</v>
      </c>
      <c r="N203" s="5">
        <v>6.8000000000000005E-2</v>
      </c>
      <c r="O203" s="5">
        <v>0.84457068801122048</v>
      </c>
      <c r="P203" s="5">
        <v>0.84457068801122048</v>
      </c>
      <c r="Q203" s="8">
        <v>0.20833333333333334</v>
      </c>
      <c r="R203" s="8">
        <v>0.88541666666666663</v>
      </c>
      <c r="S203" s="6">
        <f t="shared" si="9"/>
        <v>16.25</v>
      </c>
      <c r="T203" s="5">
        <f t="shared" si="10"/>
        <v>5.1973580800690491E-2</v>
      </c>
      <c r="U203" s="3">
        <v>2.21</v>
      </c>
      <c r="V203" s="5">
        <f t="shared" si="11"/>
        <v>2.3517457375878049E-2</v>
      </c>
      <c r="W203" s="3">
        <v>2.3517457375878049E-2</v>
      </c>
    </row>
    <row r="204" spans="1:23" x14ac:dyDescent="0.55000000000000004">
      <c r="A204" s="3">
        <v>51</v>
      </c>
      <c r="B204" s="3" t="s">
        <v>48</v>
      </c>
      <c r="C204" s="3" t="s">
        <v>50</v>
      </c>
      <c r="D204" s="3" t="s">
        <v>10</v>
      </c>
      <c r="E204" s="2" t="s">
        <v>18</v>
      </c>
      <c r="F204" s="3">
        <v>24</v>
      </c>
      <c r="G204" s="4">
        <v>22.7</v>
      </c>
      <c r="H204" s="4">
        <v>74</v>
      </c>
      <c r="I204" s="6">
        <v>6.0823965676006244</v>
      </c>
      <c r="J204" s="5">
        <v>4.7E-2</v>
      </c>
      <c r="K204" s="4">
        <v>20.100000000000001</v>
      </c>
      <c r="L204" s="4">
        <v>60.6</v>
      </c>
      <c r="M204" s="6">
        <v>5.24136872955106</v>
      </c>
      <c r="N204" s="5">
        <v>4.3999999999999997E-2</v>
      </c>
      <c r="O204" s="5">
        <v>0.84102783804956438</v>
      </c>
      <c r="P204" s="5">
        <v>0.84102783804956438</v>
      </c>
      <c r="Q204" s="8">
        <v>0.21180555555555555</v>
      </c>
      <c r="R204" s="8">
        <v>0.88194444444444453</v>
      </c>
      <c r="S204" s="6">
        <f t="shared" si="9"/>
        <v>16.083333333333336</v>
      </c>
      <c r="T204" s="5">
        <f t="shared" si="10"/>
        <v>5.2291886303599849E-2</v>
      </c>
      <c r="U204" s="3">
        <v>2.21</v>
      </c>
      <c r="V204" s="5">
        <f t="shared" si="11"/>
        <v>2.3661487015203552E-2</v>
      </c>
      <c r="W204" s="3">
        <v>2.3661487015203552E-2</v>
      </c>
    </row>
    <row r="205" spans="1:23" x14ac:dyDescent="0.55000000000000004">
      <c r="A205" s="3">
        <v>45</v>
      </c>
      <c r="B205" s="3" t="s">
        <v>48</v>
      </c>
      <c r="C205" s="3" t="s">
        <v>50</v>
      </c>
      <c r="D205" s="3" t="s">
        <v>10</v>
      </c>
      <c r="E205" s="2" t="s">
        <v>15</v>
      </c>
      <c r="F205" s="3">
        <v>12</v>
      </c>
      <c r="G205" s="4">
        <v>22.6</v>
      </c>
      <c r="H205" s="4">
        <v>101</v>
      </c>
      <c r="I205" s="6">
        <v>8.317641491213001</v>
      </c>
      <c r="J205" s="5">
        <v>3.5999999999999997E-2</v>
      </c>
      <c r="K205" s="4">
        <v>19.600000000000001</v>
      </c>
      <c r="L205" s="4">
        <v>85.7</v>
      </c>
      <c r="M205" s="6">
        <v>7.4869753807122015</v>
      </c>
      <c r="N205" s="5">
        <v>3.3000000000000002E-2</v>
      </c>
      <c r="O205" s="5">
        <v>0.83066611050079953</v>
      </c>
      <c r="P205" s="5">
        <v>0.83066611050079953</v>
      </c>
      <c r="Q205" s="8">
        <v>0.21319444444444444</v>
      </c>
      <c r="R205" s="8">
        <v>0.875</v>
      </c>
      <c r="S205" s="6">
        <f t="shared" si="9"/>
        <v>15.883333333333333</v>
      </c>
      <c r="T205" s="5">
        <f t="shared" si="10"/>
        <v>5.2297971280218229E-2</v>
      </c>
      <c r="U205" s="3">
        <v>2.21</v>
      </c>
      <c r="V205" s="5">
        <f t="shared" si="11"/>
        <v>2.3664240398288794E-2</v>
      </c>
      <c r="W205" s="3">
        <v>2.3664240398288794E-2</v>
      </c>
    </row>
    <row r="206" spans="1:23" x14ac:dyDescent="0.55000000000000004">
      <c r="A206" s="3">
        <v>43</v>
      </c>
      <c r="B206" s="3" t="s">
        <v>51</v>
      </c>
      <c r="C206" s="3" t="s">
        <v>50</v>
      </c>
      <c r="D206" s="3" t="s">
        <v>9</v>
      </c>
      <c r="E206" s="2" t="s">
        <v>14</v>
      </c>
      <c r="F206" s="3">
        <v>10</v>
      </c>
      <c r="G206" s="4">
        <v>22</v>
      </c>
      <c r="H206" s="4">
        <v>94.1</v>
      </c>
      <c r="I206" s="6">
        <v>7.83986397723928</v>
      </c>
      <c r="J206" s="5">
        <v>3.1E-2</v>
      </c>
      <c r="K206" s="4">
        <v>19.899999999999999</v>
      </c>
      <c r="L206" s="4">
        <v>80.7</v>
      </c>
      <c r="M206" s="6">
        <v>7.0078229386628443</v>
      </c>
      <c r="N206" s="5">
        <v>0.03</v>
      </c>
      <c r="O206" s="5">
        <v>0.83204103857643563</v>
      </c>
      <c r="P206" s="5">
        <v>0.83204103857643563</v>
      </c>
      <c r="Q206" s="8">
        <v>0.20555555555555557</v>
      </c>
      <c r="R206" s="8">
        <v>0.86805555555555547</v>
      </c>
      <c r="S206" s="6">
        <f t="shared" si="9"/>
        <v>15.899999999999997</v>
      </c>
      <c r="T206" s="5">
        <f t="shared" si="10"/>
        <v>5.2329625067700364E-2</v>
      </c>
      <c r="U206" s="3">
        <v>2.21</v>
      </c>
      <c r="V206" s="5">
        <f t="shared" si="11"/>
        <v>2.367856337904994E-2</v>
      </c>
      <c r="W206" s="3">
        <v>2.367856337904994E-2</v>
      </c>
    </row>
    <row r="207" spans="1:23" x14ac:dyDescent="0.55000000000000004">
      <c r="A207" s="3">
        <v>15</v>
      </c>
      <c r="B207" s="3" t="s">
        <v>48</v>
      </c>
      <c r="C207" s="3" t="s">
        <v>49</v>
      </c>
      <c r="D207" s="3" t="s">
        <v>38</v>
      </c>
      <c r="E207" s="3" t="s">
        <v>31</v>
      </c>
      <c r="F207" s="3">
        <v>68</v>
      </c>
      <c r="G207" s="4">
        <v>25.4</v>
      </c>
      <c r="H207" s="4">
        <v>61.7</v>
      </c>
      <c r="I207" s="6">
        <v>4.8194763994104246</v>
      </c>
      <c r="J207" s="5">
        <v>7.9000000000000001E-2</v>
      </c>
      <c r="K207" s="4">
        <v>23.9</v>
      </c>
      <c r="L207" s="4">
        <v>49.4</v>
      </c>
      <c r="M207" s="6">
        <v>3.9685521919497622</v>
      </c>
      <c r="N207" s="5">
        <v>7.6999999999999999E-2</v>
      </c>
      <c r="O207" s="5">
        <v>0.85092420746066244</v>
      </c>
      <c r="P207" s="5">
        <v>0.85092420746066244</v>
      </c>
      <c r="Q207" s="8">
        <v>0.20833333333333334</v>
      </c>
      <c r="R207" s="8">
        <v>0.88541666666666663</v>
      </c>
      <c r="S207" s="6">
        <f t="shared" si="9"/>
        <v>16.25</v>
      </c>
      <c r="T207" s="5">
        <f t="shared" si="10"/>
        <v>5.2364566612963841E-2</v>
      </c>
      <c r="U207" s="3">
        <v>2.21</v>
      </c>
      <c r="V207" s="5">
        <f t="shared" si="11"/>
        <v>2.3694374033015313E-2</v>
      </c>
      <c r="W207" s="3">
        <v>2.3694374033015313E-2</v>
      </c>
    </row>
    <row r="208" spans="1:23" x14ac:dyDescent="0.55000000000000004">
      <c r="A208" s="3">
        <v>55</v>
      </c>
      <c r="B208" s="3" t="s">
        <v>52</v>
      </c>
      <c r="C208" s="3" t="s">
        <v>49</v>
      </c>
      <c r="D208" s="3" t="s">
        <v>40</v>
      </c>
      <c r="E208" s="2" t="s">
        <v>14</v>
      </c>
      <c r="F208" s="3">
        <v>10</v>
      </c>
      <c r="G208" s="4">
        <v>22.1</v>
      </c>
      <c r="H208" s="4">
        <v>96.2</v>
      </c>
      <c r="I208" s="6">
        <v>7.9992808079235651</v>
      </c>
      <c r="J208" s="5">
        <v>2.4E-2</v>
      </c>
      <c r="K208" s="4">
        <v>19.899999999999999</v>
      </c>
      <c r="L208" s="4">
        <v>82.5</v>
      </c>
      <c r="M208" s="6">
        <v>7.1641312569973321</v>
      </c>
      <c r="N208" s="5">
        <v>2.4E-2</v>
      </c>
      <c r="O208" s="5">
        <v>0.835149550926233</v>
      </c>
      <c r="P208" s="5">
        <v>0.835149550926233</v>
      </c>
      <c r="Q208" s="8">
        <v>0.20555555555555557</v>
      </c>
      <c r="R208" s="8">
        <v>0.86805555555555547</v>
      </c>
      <c r="S208" s="6">
        <f t="shared" si="9"/>
        <v>15.899999999999997</v>
      </c>
      <c r="T208" s="5">
        <f t="shared" si="10"/>
        <v>5.2525128989071267E-2</v>
      </c>
      <c r="U208" s="3">
        <v>2.21</v>
      </c>
      <c r="V208" s="5">
        <f t="shared" si="11"/>
        <v>2.3767026691887454E-2</v>
      </c>
      <c r="W208" s="3">
        <v>2.3767026691887454E-2</v>
      </c>
    </row>
    <row r="209" spans="1:23" x14ac:dyDescent="0.55000000000000004">
      <c r="A209" s="3">
        <v>59</v>
      </c>
      <c r="B209" s="3" t="s">
        <v>52</v>
      </c>
      <c r="C209" s="3" t="s">
        <v>49</v>
      </c>
      <c r="D209" s="3" t="s">
        <v>40</v>
      </c>
      <c r="E209" s="2" t="s">
        <v>17</v>
      </c>
      <c r="F209" s="3">
        <v>19</v>
      </c>
      <c r="G209" s="4">
        <v>21.8</v>
      </c>
      <c r="H209" s="4">
        <v>79.2</v>
      </c>
      <c r="I209" s="6">
        <v>6.6242056588854386</v>
      </c>
      <c r="J209" s="5">
        <v>3.3000000000000002E-2</v>
      </c>
      <c r="K209" s="4">
        <v>16.7</v>
      </c>
      <c r="L209" s="4">
        <v>62.2</v>
      </c>
      <c r="M209" s="6">
        <v>5.7680585016659727</v>
      </c>
      <c r="N209" s="5">
        <v>2.9000000000000001E-2</v>
      </c>
      <c r="O209" s="5">
        <v>0.85614715721946588</v>
      </c>
      <c r="P209" s="5">
        <v>0.85614715721946588</v>
      </c>
      <c r="Q209" s="8">
        <v>0.19930555555555554</v>
      </c>
      <c r="R209" s="8">
        <v>0.875</v>
      </c>
      <c r="S209" s="6">
        <f t="shared" si="9"/>
        <v>16.216666666666669</v>
      </c>
      <c r="T209" s="5">
        <f t="shared" si="10"/>
        <v>5.2794274854232215E-2</v>
      </c>
      <c r="U209" s="3">
        <v>2.21</v>
      </c>
      <c r="V209" s="5">
        <f t="shared" si="11"/>
        <v>2.3888812151236297E-2</v>
      </c>
      <c r="W209" s="3">
        <v>2.3888812151236297E-2</v>
      </c>
    </row>
    <row r="210" spans="1:23" x14ac:dyDescent="0.55000000000000004">
      <c r="A210" s="3">
        <v>60</v>
      </c>
      <c r="B210" s="3" t="s">
        <v>51</v>
      </c>
      <c r="C210" s="3" t="s">
        <v>49</v>
      </c>
      <c r="D210" s="3" t="s">
        <v>39</v>
      </c>
      <c r="E210" s="3" t="s">
        <v>33</v>
      </c>
      <c r="F210" s="3">
        <v>75</v>
      </c>
      <c r="G210" s="4">
        <v>28.6</v>
      </c>
      <c r="H210" s="4">
        <v>77.7</v>
      </c>
      <c r="I210" s="6">
        <v>5.7271906557289105</v>
      </c>
      <c r="J210" s="5">
        <v>5.7000000000000002E-2</v>
      </c>
      <c r="K210" s="4">
        <v>24.5</v>
      </c>
      <c r="L210" s="4">
        <v>61.3</v>
      </c>
      <c r="M210" s="6">
        <v>4.8692164446461366</v>
      </c>
      <c r="N210" s="5">
        <v>4.9000000000000002E-2</v>
      </c>
      <c r="O210" s="5">
        <v>0.85797421108277394</v>
      </c>
      <c r="P210" s="5">
        <v>0.85797421108277394</v>
      </c>
      <c r="Q210" s="8">
        <v>0.20833333333333334</v>
      </c>
      <c r="R210" s="8">
        <v>0.88541666666666663</v>
      </c>
      <c r="S210" s="6">
        <f t="shared" si="9"/>
        <v>16.25</v>
      </c>
      <c r="T210" s="5">
        <f t="shared" si="10"/>
        <v>5.2798412989709165E-2</v>
      </c>
      <c r="U210" s="3">
        <v>2.21</v>
      </c>
      <c r="V210" s="5">
        <f t="shared" si="11"/>
        <v>2.389068461072813E-2</v>
      </c>
      <c r="W210" s="3">
        <v>2.389068461072813E-2</v>
      </c>
    </row>
    <row r="211" spans="1:23" x14ac:dyDescent="0.55000000000000004">
      <c r="A211" s="3">
        <v>24</v>
      </c>
      <c r="B211" s="3" t="s">
        <v>52</v>
      </c>
      <c r="C211" s="3" t="s">
        <v>49</v>
      </c>
      <c r="D211" s="3" t="s">
        <v>40</v>
      </c>
      <c r="E211" s="2" t="s">
        <v>17</v>
      </c>
      <c r="F211" s="3">
        <v>19</v>
      </c>
      <c r="G211" s="4">
        <v>22.2</v>
      </c>
      <c r="H211" s="4">
        <v>76.5</v>
      </c>
      <c r="I211" s="6">
        <v>6.3488561201313045</v>
      </c>
      <c r="J211" s="5">
        <v>3.1E-2</v>
      </c>
      <c r="K211" s="4">
        <v>17</v>
      </c>
      <c r="L211" s="4">
        <v>59.6</v>
      </c>
      <c r="M211" s="6">
        <v>5.4922532638015129</v>
      </c>
      <c r="N211" s="5">
        <v>2.8000000000000001E-2</v>
      </c>
      <c r="O211" s="5">
        <v>0.85660285632979161</v>
      </c>
      <c r="P211" s="5">
        <v>0.85660285632979161</v>
      </c>
      <c r="Q211" s="8">
        <v>0.19930555555555554</v>
      </c>
      <c r="R211" s="8">
        <v>0.875</v>
      </c>
      <c r="S211" s="6">
        <f t="shared" si="9"/>
        <v>16.216666666666669</v>
      </c>
      <c r="T211" s="5">
        <f t="shared" si="10"/>
        <v>5.2822375518794956E-2</v>
      </c>
      <c r="U211" s="3">
        <v>2.21</v>
      </c>
      <c r="V211" s="5">
        <f t="shared" si="11"/>
        <v>2.3901527384070115E-2</v>
      </c>
      <c r="W211" s="3">
        <v>2.3901527384070115E-2</v>
      </c>
    </row>
    <row r="212" spans="1:23" x14ac:dyDescent="0.55000000000000004">
      <c r="A212" s="3">
        <v>54</v>
      </c>
      <c r="B212" s="3" t="s">
        <v>48</v>
      </c>
      <c r="C212" s="3" t="s">
        <v>50</v>
      </c>
      <c r="D212" s="3" t="s">
        <v>10</v>
      </c>
      <c r="E212" s="2" t="s">
        <v>18</v>
      </c>
      <c r="F212" s="3">
        <v>24</v>
      </c>
      <c r="G212" s="4">
        <v>22.7</v>
      </c>
      <c r="H212" s="4">
        <v>85.4</v>
      </c>
      <c r="I212" s="6">
        <v>7.019414417203965</v>
      </c>
      <c r="J212" s="5">
        <v>3.9E-2</v>
      </c>
      <c r="K212" s="4">
        <v>20.3</v>
      </c>
      <c r="L212" s="4">
        <v>71.599999999999994</v>
      </c>
      <c r="M212" s="6">
        <v>6.1681194921796303</v>
      </c>
      <c r="N212" s="5">
        <v>3.7999999999999999E-2</v>
      </c>
      <c r="O212" s="5">
        <v>0.85129492502433468</v>
      </c>
      <c r="P212" s="5">
        <v>0.85129492502433468</v>
      </c>
      <c r="Q212" s="8">
        <v>0.21180555555555555</v>
      </c>
      <c r="R212" s="8">
        <v>0.88194444444444453</v>
      </c>
      <c r="S212" s="6">
        <f t="shared" si="9"/>
        <v>16.083333333333336</v>
      </c>
      <c r="T212" s="5">
        <f t="shared" si="10"/>
        <v>5.2930254405658107E-2</v>
      </c>
      <c r="U212" s="3">
        <v>2.21</v>
      </c>
      <c r="V212" s="5">
        <f t="shared" si="11"/>
        <v>2.395034136002629E-2</v>
      </c>
      <c r="W212" s="3">
        <v>2.395034136002629E-2</v>
      </c>
    </row>
    <row r="213" spans="1:23" x14ac:dyDescent="0.55000000000000004">
      <c r="A213" s="3">
        <v>2</v>
      </c>
      <c r="B213" s="3" t="s">
        <v>48</v>
      </c>
      <c r="C213" s="3" t="s">
        <v>49</v>
      </c>
      <c r="D213" s="3" t="s">
        <v>38</v>
      </c>
      <c r="E213" s="3" t="s">
        <v>30</v>
      </c>
      <c r="F213" s="3">
        <v>65</v>
      </c>
      <c r="G213" s="4">
        <v>28.4</v>
      </c>
      <c r="H213" s="4">
        <v>86.6</v>
      </c>
      <c r="I213" s="6">
        <v>6.4059294151930173</v>
      </c>
      <c r="J213" s="5">
        <v>7.8E-2</v>
      </c>
      <c r="K213" s="4">
        <v>22.9</v>
      </c>
      <c r="L213" s="4">
        <v>67.7</v>
      </c>
      <c r="M213" s="6">
        <v>5.5432393171815555</v>
      </c>
      <c r="N213" s="5">
        <v>7.0000000000000007E-2</v>
      </c>
      <c r="O213" s="5">
        <v>0.86269009801146179</v>
      </c>
      <c r="P213" s="5">
        <v>0.86269009801146179</v>
      </c>
      <c r="Q213" s="8">
        <v>0.20833333333333334</v>
      </c>
      <c r="R213" s="8">
        <v>0.88541666666666663</v>
      </c>
      <c r="S213" s="6">
        <f t="shared" si="9"/>
        <v>16.25</v>
      </c>
      <c r="T213" s="5">
        <f t="shared" si="10"/>
        <v>5.3088621416089957E-2</v>
      </c>
      <c r="U213" s="3">
        <v>2.21</v>
      </c>
      <c r="V213" s="5">
        <f t="shared" si="11"/>
        <v>2.4022000640764686E-2</v>
      </c>
      <c r="W213" s="3">
        <v>2.4022000640764686E-2</v>
      </c>
    </row>
    <row r="214" spans="1:23" x14ac:dyDescent="0.55000000000000004">
      <c r="A214" s="3">
        <v>16</v>
      </c>
      <c r="B214" s="3" t="s">
        <v>52</v>
      </c>
      <c r="C214" s="3" t="s">
        <v>50</v>
      </c>
      <c r="D214" s="3" t="s">
        <v>12</v>
      </c>
      <c r="E214" s="2" t="s">
        <v>18</v>
      </c>
      <c r="F214" s="3">
        <v>24</v>
      </c>
      <c r="G214" s="4">
        <v>22.3</v>
      </c>
      <c r="H214" s="4">
        <v>102.2</v>
      </c>
      <c r="I214" s="6">
        <v>8.4653386099102015</v>
      </c>
      <c r="J214" s="5">
        <v>4.5999999999999999E-2</v>
      </c>
      <c r="K214" s="4">
        <v>19.7</v>
      </c>
      <c r="L214" s="4">
        <v>87.3</v>
      </c>
      <c r="M214" s="6">
        <v>7.6114346290914883</v>
      </c>
      <c r="N214" s="5">
        <v>4.3999999999999997E-2</v>
      </c>
      <c r="O214" s="5">
        <v>0.85390398081871322</v>
      </c>
      <c r="P214" s="5">
        <v>0.85390398081871322</v>
      </c>
      <c r="Q214" s="8">
        <v>0.21180555555555555</v>
      </c>
      <c r="R214" s="8">
        <v>0.88194444444444453</v>
      </c>
      <c r="S214" s="6">
        <f t="shared" si="9"/>
        <v>16.083333333333336</v>
      </c>
      <c r="T214" s="5">
        <f t="shared" si="10"/>
        <v>5.3092475491318951E-2</v>
      </c>
      <c r="U214" s="3">
        <v>2.21</v>
      </c>
      <c r="V214" s="5">
        <f t="shared" si="11"/>
        <v>2.4023744566207667E-2</v>
      </c>
      <c r="W214" s="3">
        <v>2.4023744566207667E-2</v>
      </c>
    </row>
    <row r="215" spans="1:23" x14ac:dyDescent="0.55000000000000004">
      <c r="A215" s="3">
        <v>38</v>
      </c>
      <c r="B215" s="3" t="s">
        <v>51</v>
      </c>
      <c r="C215" s="3" t="s">
        <v>49</v>
      </c>
      <c r="D215" s="3" t="s">
        <v>39</v>
      </c>
      <c r="E215" s="2" t="s">
        <v>8</v>
      </c>
      <c r="F215" s="3">
        <v>5</v>
      </c>
      <c r="G215" s="4">
        <v>20.9</v>
      </c>
      <c r="H215" s="4">
        <v>109.1</v>
      </c>
      <c r="I215" s="6">
        <v>9.2874858854474915</v>
      </c>
      <c r="J215" s="5">
        <v>0.02</v>
      </c>
      <c r="K215" s="4">
        <v>15.7</v>
      </c>
      <c r="L215" s="4">
        <v>89.1</v>
      </c>
      <c r="M215" s="6">
        <v>8.4397167976227188</v>
      </c>
      <c r="N215" s="5">
        <v>1.7999999999999999E-2</v>
      </c>
      <c r="O215" s="5">
        <v>0.84776908782477278</v>
      </c>
      <c r="P215" s="5">
        <v>0.84776908782477278</v>
      </c>
      <c r="Q215" s="8">
        <v>0.20833333333333334</v>
      </c>
      <c r="R215" s="8">
        <v>0.87083333333333324</v>
      </c>
      <c r="S215" s="6">
        <f t="shared" si="9"/>
        <v>15.899999999999997</v>
      </c>
      <c r="T215" s="5">
        <f t="shared" si="10"/>
        <v>5.3318810555017165E-2</v>
      </c>
      <c r="U215" s="3">
        <v>2.21</v>
      </c>
      <c r="V215" s="5">
        <f t="shared" si="11"/>
        <v>2.4126158622179712E-2</v>
      </c>
      <c r="W215" s="3">
        <v>2.4126158622179712E-2</v>
      </c>
    </row>
    <row r="216" spans="1:23" x14ac:dyDescent="0.55000000000000004">
      <c r="A216" s="3">
        <v>22</v>
      </c>
      <c r="B216" s="3" t="s">
        <v>48</v>
      </c>
      <c r="C216" s="3" t="s">
        <v>49</v>
      </c>
      <c r="D216" s="3" t="s">
        <v>38</v>
      </c>
      <c r="E216" s="2" t="s">
        <v>18</v>
      </c>
      <c r="F216" s="3">
        <v>24</v>
      </c>
      <c r="G216" s="4">
        <v>22.2</v>
      </c>
      <c r="H216" s="4">
        <v>89.4</v>
      </c>
      <c r="I216" s="6">
        <v>7.4194475443103078</v>
      </c>
      <c r="J216" s="5">
        <v>3.4000000000000002E-2</v>
      </c>
      <c r="K216" s="4">
        <v>20</v>
      </c>
      <c r="L216" s="4">
        <v>75.7</v>
      </c>
      <c r="M216" s="6">
        <v>6.5604868514335681</v>
      </c>
      <c r="N216" s="5">
        <v>3.2000000000000001E-2</v>
      </c>
      <c r="O216" s="5">
        <v>0.85896069287673971</v>
      </c>
      <c r="P216" s="5">
        <v>0.85896069287673971</v>
      </c>
      <c r="Q216" s="8">
        <v>0.21180555555555555</v>
      </c>
      <c r="R216" s="8">
        <v>0.88194444444444453</v>
      </c>
      <c r="S216" s="6">
        <f t="shared" si="9"/>
        <v>16.083333333333336</v>
      </c>
      <c r="T216" s="5">
        <f t="shared" si="10"/>
        <v>5.3406882458657386E-2</v>
      </c>
      <c r="U216" s="3">
        <v>2.21</v>
      </c>
      <c r="V216" s="5">
        <f t="shared" si="11"/>
        <v>2.416601016228841E-2</v>
      </c>
      <c r="W216" s="3">
        <v>2.416601016228841E-2</v>
      </c>
    </row>
    <row r="217" spans="1:23" x14ac:dyDescent="0.55000000000000004">
      <c r="A217" s="3">
        <v>42</v>
      </c>
      <c r="B217" s="3" t="s">
        <v>53</v>
      </c>
      <c r="C217" s="3" t="s">
        <v>49</v>
      </c>
      <c r="D217" s="3" t="s">
        <v>41</v>
      </c>
      <c r="E217" s="2" t="s">
        <v>8</v>
      </c>
      <c r="F217" s="3">
        <v>5</v>
      </c>
      <c r="G217" s="4">
        <v>21</v>
      </c>
      <c r="H217" s="4">
        <v>111.1</v>
      </c>
      <c r="I217" s="6">
        <v>9.4391056645742122</v>
      </c>
      <c r="J217" s="5">
        <v>0.02</v>
      </c>
      <c r="K217" s="4">
        <v>15.7</v>
      </c>
      <c r="L217" s="4">
        <v>90.6</v>
      </c>
      <c r="M217" s="6">
        <v>8.5817995719934714</v>
      </c>
      <c r="N217" s="5">
        <v>1.7999999999999999E-2</v>
      </c>
      <c r="O217" s="5">
        <v>0.85730609258074075</v>
      </c>
      <c r="P217" s="5">
        <v>0.85730609258074075</v>
      </c>
      <c r="Q217" s="8">
        <v>0.20833333333333334</v>
      </c>
      <c r="R217" s="8">
        <v>0.87083333333333324</v>
      </c>
      <c r="S217" s="6">
        <f t="shared" si="9"/>
        <v>15.899999999999997</v>
      </c>
      <c r="T217" s="5">
        <f t="shared" si="10"/>
        <v>5.3918622174889366E-2</v>
      </c>
      <c r="U217" s="3">
        <v>2.21</v>
      </c>
      <c r="V217" s="5">
        <f t="shared" si="11"/>
        <v>2.4397566594972567E-2</v>
      </c>
      <c r="W217" s="3">
        <v>2.4397566594972567E-2</v>
      </c>
    </row>
    <row r="218" spans="1:23" x14ac:dyDescent="0.55000000000000004">
      <c r="A218" s="3">
        <v>23</v>
      </c>
      <c r="B218" s="3" t="s">
        <v>52</v>
      </c>
      <c r="C218" s="3" t="s">
        <v>49</v>
      </c>
      <c r="D218" s="3" t="s">
        <v>40</v>
      </c>
      <c r="E218" s="2" t="s">
        <v>15</v>
      </c>
      <c r="F218" s="3">
        <v>12</v>
      </c>
      <c r="G218" s="4">
        <v>22.3</v>
      </c>
      <c r="H218" s="4">
        <v>102.3</v>
      </c>
      <c r="I218" s="6">
        <v>8.4736217200960251</v>
      </c>
      <c r="J218" s="5">
        <v>2.5000000000000001E-2</v>
      </c>
      <c r="K218" s="4">
        <v>19.399999999999999</v>
      </c>
      <c r="L218" s="4">
        <v>86.8</v>
      </c>
      <c r="M218" s="6">
        <v>7.6137016867231102</v>
      </c>
      <c r="N218" s="5">
        <v>2.5000000000000001E-2</v>
      </c>
      <c r="O218" s="5">
        <v>0.85992003337291489</v>
      </c>
      <c r="P218" s="5">
        <v>0.85992003337291489</v>
      </c>
      <c r="Q218" s="8">
        <v>0.21319444444444444</v>
      </c>
      <c r="R218" s="8">
        <v>0.875</v>
      </c>
      <c r="S218" s="6">
        <f t="shared" si="9"/>
        <v>15.883333333333333</v>
      </c>
      <c r="T218" s="5">
        <f t="shared" si="10"/>
        <v>5.4139771251180371E-2</v>
      </c>
      <c r="U218" s="3">
        <v>2.21</v>
      </c>
      <c r="V218" s="5">
        <f t="shared" si="11"/>
        <v>2.4497634050307859E-2</v>
      </c>
      <c r="W218" s="3">
        <v>2.4497634050307859E-2</v>
      </c>
    </row>
    <row r="219" spans="1:23" x14ac:dyDescent="0.55000000000000004">
      <c r="A219" s="3">
        <v>38</v>
      </c>
      <c r="B219" s="3" t="s">
        <v>51</v>
      </c>
      <c r="C219" s="3" t="s">
        <v>49</v>
      </c>
      <c r="D219" s="3" t="s">
        <v>39</v>
      </c>
      <c r="E219" s="2" t="s">
        <v>17</v>
      </c>
      <c r="F219" s="3">
        <v>19</v>
      </c>
      <c r="G219" s="4">
        <v>22</v>
      </c>
      <c r="H219" s="4">
        <v>80.5</v>
      </c>
      <c r="I219" s="6">
        <v>6.7067911813789802</v>
      </c>
      <c r="J219" s="5">
        <v>2.9000000000000001E-2</v>
      </c>
      <c r="K219" s="4">
        <v>16.899999999999999</v>
      </c>
      <c r="L219" s="4">
        <v>63.1</v>
      </c>
      <c r="M219" s="6">
        <v>5.826984754613143</v>
      </c>
      <c r="N219" s="5">
        <v>2.7E-2</v>
      </c>
      <c r="O219" s="5">
        <v>0.8798064267658372</v>
      </c>
      <c r="P219" s="5">
        <v>0.8798064267658372</v>
      </c>
      <c r="Q219" s="8">
        <v>0.19930555555555554</v>
      </c>
      <c r="R219" s="8">
        <v>0.875</v>
      </c>
      <c r="S219" s="6">
        <f t="shared" si="9"/>
        <v>16.216666666666669</v>
      </c>
      <c r="T219" s="5">
        <f t="shared" si="10"/>
        <v>5.425322261659838E-2</v>
      </c>
      <c r="U219" s="3">
        <v>2.21</v>
      </c>
      <c r="V219" s="5">
        <f t="shared" si="11"/>
        <v>2.4548969509773026E-2</v>
      </c>
      <c r="W219" s="3">
        <v>2.4548969509773026E-2</v>
      </c>
    </row>
    <row r="220" spans="1:23" x14ac:dyDescent="0.55000000000000004">
      <c r="A220" s="3">
        <v>4</v>
      </c>
      <c r="B220" s="3" t="s">
        <v>48</v>
      </c>
      <c r="C220" s="3" t="s">
        <v>49</v>
      </c>
      <c r="D220" s="3" t="s">
        <v>38</v>
      </c>
      <c r="E220" s="2" t="s">
        <v>8</v>
      </c>
      <c r="F220" s="3">
        <v>5</v>
      </c>
      <c r="G220" s="4">
        <v>21.3</v>
      </c>
      <c r="H220" s="4">
        <v>104.3</v>
      </c>
      <c r="I220" s="6">
        <v>8.8092458352194782</v>
      </c>
      <c r="J220" s="5">
        <v>0.02</v>
      </c>
      <c r="K220" s="4">
        <v>15.5</v>
      </c>
      <c r="L220" s="4">
        <v>83.5</v>
      </c>
      <c r="M220" s="6">
        <v>7.9432188071837606</v>
      </c>
      <c r="N220" s="5">
        <v>1.7999999999999999E-2</v>
      </c>
      <c r="O220" s="5">
        <v>0.86602702803571763</v>
      </c>
      <c r="P220" s="5">
        <v>0.86602702803571763</v>
      </c>
      <c r="Q220" s="8">
        <v>0.20833333333333334</v>
      </c>
      <c r="R220" s="8">
        <v>0.87083333333333324</v>
      </c>
      <c r="S220" s="6">
        <f t="shared" si="9"/>
        <v>15.899999999999997</v>
      </c>
      <c r="T220" s="5">
        <f t="shared" si="10"/>
        <v>5.4467108681491683E-2</v>
      </c>
      <c r="U220" s="3">
        <v>2.21</v>
      </c>
      <c r="V220" s="5">
        <f t="shared" si="11"/>
        <v>2.4645750534611623E-2</v>
      </c>
      <c r="W220" s="3">
        <v>2.4645750534611623E-2</v>
      </c>
    </row>
    <row r="221" spans="1:23" x14ac:dyDescent="0.55000000000000004">
      <c r="A221" s="3">
        <v>21</v>
      </c>
      <c r="B221" s="3" t="s">
        <v>48</v>
      </c>
      <c r="C221" s="3" t="s">
        <v>49</v>
      </c>
      <c r="D221" s="3" t="s">
        <v>38</v>
      </c>
      <c r="E221" s="2" t="s">
        <v>22</v>
      </c>
      <c r="F221" s="3">
        <v>37</v>
      </c>
      <c r="G221" s="4">
        <v>29</v>
      </c>
      <c r="H221" s="4">
        <v>66.7</v>
      </c>
      <c r="I221" s="6">
        <v>4.8817007562168335</v>
      </c>
      <c r="J221" s="5">
        <v>7.0999999999999994E-2</v>
      </c>
      <c r="K221" s="4">
        <v>24.3</v>
      </c>
      <c r="L221" s="4">
        <v>50</v>
      </c>
      <c r="M221" s="6">
        <v>3.9865716717926949</v>
      </c>
      <c r="N221" s="5">
        <v>6.5000000000000002E-2</v>
      </c>
      <c r="O221" s="5">
        <v>0.89512908442413863</v>
      </c>
      <c r="P221" s="5">
        <v>0.89512908442413863</v>
      </c>
      <c r="Q221" s="8">
        <v>0.20138888888888887</v>
      </c>
      <c r="R221" s="8">
        <v>0.88541666666666663</v>
      </c>
      <c r="S221" s="6">
        <f t="shared" si="9"/>
        <v>16.416666666666668</v>
      </c>
      <c r="T221" s="5">
        <f t="shared" si="10"/>
        <v>5.4525629508069356E-2</v>
      </c>
      <c r="U221" s="3">
        <v>2.21</v>
      </c>
      <c r="V221" s="5">
        <f t="shared" si="11"/>
        <v>2.4672230546637718E-2</v>
      </c>
      <c r="W221" s="3">
        <v>2.4672230546637718E-2</v>
      </c>
    </row>
    <row r="222" spans="1:23" x14ac:dyDescent="0.55000000000000004">
      <c r="A222" s="3">
        <v>11</v>
      </c>
      <c r="B222" s="3" t="s">
        <v>53</v>
      </c>
      <c r="C222" s="3" t="s">
        <v>49</v>
      </c>
      <c r="D222" s="3" t="s">
        <v>41</v>
      </c>
      <c r="E222" s="2" t="s">
        <v>14</v>
      </c>
      <c r="F222" s="3">
        <v>10</v>
      </c>
      <c r="G222" s="4">
        <v>22.4</v>
      </c>
      <c r="H222" s="4">
        <v>93.5</v>
      </c>
      <c r="I222" s="6">
        <v>7.7297534851672571</v>
      </c>
      <c r="J222" s="5">
        <v>2.4E-2</v>
      </c>
      <c r="K222" s="4">
        <v>20.100000000000001</v>
      </c>
      <c r="L222" s="4">
        <v>79.3</v>
      </c>
      <c r="M222" s="6">
        <v>6.8587547896600496</v>
      </c>
      <c r="N222" s="5">
        <v>2.3E-2</v>
      </c>
      <c r="O222" s="5">
        <v>0.87099869550720754</v>
      </c>
      <c r="P222" s="5">
        <v>0.87099869550720754</v>
      </c>
      <c r="Q222" s="8">
        <v>0.20555555555555557</v>
      </c>
      <c r="R222" s="8">
        <v>0.86805555555555547</v>
      </c>
      <c r="S222" s="6">
        <f t="shared" si="9"/>
        <v>15.899999999999997</v>
      </c>
      <c r="T222" s="5">
        <f t="shared" si="10"/>
        <v>5.4779792170264636E-2</v>
      </c>
      <c r="U222" s="3">
        <v>2.21</v>
      </c>
      <c r="V222" s="5">
        <f t="shared" si="11"/>
        <v>2.4787236276137846E-2</v>
      </c>
      <c r="W222" s="3">
        <v>2.4787236276137846E-2</v>
      </c>
    </row>
    <row r="223" spans="1:23" x14ac:dyDescent="0.55000000000000004">
      <c r="A223" s="3">
        <v>39</v>
      </c>
      <c r="B223" s="3" t="s">
        <v>51</v>
      </c>
      <c r="C223" s="3" t="s">
        <v>50</v>
      </c>
      <c r="D223" s="3" t="s">
        <v>9</v>
      </c>
      <c r="E223" s="2" t="s">
        <v>8</v>
      </c>
      <c r="F223" s="3">
        <v>5</v>
      </c>
      <c r="G223" s="4">
        <v>20.6</v>
      </c>
      <c r="H223" s="4">
        <v>123.1</v>
      </c>
      <c r="I223" s="6">
        <v>10.541657954458715</v>
      </c>
      <c r="J223" s="5">
        <v>3.4000000000000002E-2</v>
      </c>
      <c r="K223" s="4">
        <v>15.6</v>
      </c>
      <c r="L223" s="4">
        <v>101.8</v>
      </c>
      <c r="M223" s="6">
        <v>9.6633373584099402</v>
      </c>
      <c r="N223" s="5">
        <v>0.03</v>
      </c>
      <c r="O223" s="5">
        <v>0.87832059604877522</v>
      </c>
      <c r="P223" s="5">
        <v>0.87832059604877522</v>
      </c>
      <c r="Q223" s="8">
        <v>0.20833333333333334</v>
      </c>
      <c r="R223" s="8">
        <v>0.87083333333333324</v>
      </c>
      <c r="S223" s="6">
        <f t="shared" si="9"/>
        <v>15.899999999999997</v>
      </c>
      <c r="T223" s="5">
        <f t="shared" si="10"/>
        <v>5.5240289059671412E-2</v>
      </c>
      <c r="U223" s="3">
        <v>2.21</v>
      </c>
      <c r="V223" s="5">
        <f t="shared" si="11"/>
        <v>2.4995605909353579E-2</v>
      </c>
      <c r="W223" s="3">
        <v>2.4995605909353579E-2</v>
      </c>
    </row>
    <row r="224" spans="1:23" x14ac:dyDescent="0.55000000000000004">
      <c r="A224" s="3">
        <v>10</v>
      </c>
      <c r="B224" s="3" t="s">
        <v>51</v>
      </c>
      <c r="C224" s="3" t="s">
        <v>49</v>
      </c>
      <c r="D224" s="3" t="s">
        <v>39</v>
      </c>
      <c r="E224" s="2" t="s">
        <v>15</v>
      </c>
      <c r="F224" s="3">
        <v>12</v>
      </c>
      <c r="G224" s="4">
        <v>22.5</v>
      </c>
      <c r="H224" s="4">
        <v>107.7</v>
      </c>
      <c r="I224" s="6">
        <v>8.8865161073863117</v>
      </c>
      <c r="J224" s="5">
        <v>2.7E-2</v>
      </c>
      <c r="K224" s="4">
        <v>19.399999999999999</v>
      </c>
      <c r="L224" s="4">
        <v>91.3</v>
      </c>
      <c r="M224" s="6">
        <v>8.0084212442145155</v>
      </c>
      <c r="N224" s="5">
        <v>2.5000000000000001E-2</v>
      </c>
      <c r="O224" s="5">
        <v>0.87809486317179619</v>
      </c>
      <c r="P224" s="5">
        <v>0.87809486317179619</v>
      </c>
      <c r="Q224" s="8">
        <v>0.21319444444444444</v>
      </c>
      <c r="R224" s="8">
        <v>0.875</v>
      </c>
      <c r="S224" s="6">
        <f t="shared" si="9"/>
        <v>15.883333333333333</v>
      </c>
      <c r="T224" s="5">
        <f t="shared" si="10"/>
        <v>5.5284041752683914E-2</v>
      </c>
      <c r="U224" s="3">
        <v>2.21</v>
      </c>
      <c r="V224" s="5">
        <f t="shared" si="11"/>
        <v>2.5015403508001775E-2</v>
      </c>
      <c r="W224" s="3">
        <v>2.5015403508001775E-2</v>
      </c>
    </row>
    <row r="225" spans="1:23" x14ac:dyDescent="0.55000000000000004">
      <c r="A225" s="3">
        <v>21</v>
      </c>
      <c r="B225" s="3" t="s">
        <v>48</v>
      </c>
      <c r="C225" s="3" t="s">
        <v>49</v>
      </c>
      <c r="D225" s="3" t="s">
        <v>38</v>
      </c>
      <c r="E225" s="2" t="s">
        <v>8</v>
      </c>
      <c r="F225" s="3">
        <v>5</v>
      </c>
      <c r="G225" s="4">
        <v>21.2</v>
      </c>
      <c r="H225" s="4">
        <v>106.9</v>
      </c>
      <c r="I225" s="6">
        <v>9.0465919245020139</v>
      </c>
      <c r="J225" s="5">
        <v>2.1000000000000001E-2</v>
      </c>
      <c r="K225" s="4">
        <v>15.7</v>
      </c>
      <c r="L225" s="4">
        <v>86.2</v>
      </c>
      <c r="M225" s="6">
        <v>8.1650234338392629</v>
      </c>
      <c r="N225" s="5">
        <v>0.02</v>
      </c>
      <c r="O225" s="5">
        <v>0.881568490662751</v>
      </c>
      <c r="P225" s="5">
        <v>0.881568490662751</v>
      </c>
      <c r="Q225" s="8">
        <v>0.20833333333333334</v>
      </c>
      <c r="R225" s="8">
        <v>0.87083333333333324</v>
      </c>
      <c r="S225" s="6">
        <f t="shared" si="9"/>
        <v>15.899999999999997</v>
      </c>
      <c r="T225" s="5">
        <f t="shared" si="10"/>
        <v>5.5444559161179317E-2</v>
      </c>
      <c r="U225" s="3">
        <v>2.21</v>
      </c>
      <c r="V225" s="5">
        <f t="shared" si="11"/>
        <v>2.5088035819538154E-2</v>
      </c>
      <c r="W225" s="3">
        <v>2.5088035819538154E-2</v>
      </c>
    </row>
    <row r="226" spans="1:23" x14ac:dyDescent="0.55000000000000004">
      <c r="A226" s="3">
        <v>27</v>
      </c>
      <c r="B226" s="3" t="s">
        <v>48</v>
      </c>
      <c r="C226" s="3" t="s">
        <v>50</v>
      </c>
      <c r="D226" s="3" t="s">
        <v>10</v>
      </c>
      <c r="E226" s="2" t="s">
        <v>17</v>
      </c>
      <c r="F226" s="3">
        <v>19</v>
      </c>
      <c r="G226" s="4">
        <v>22.2</v>
      </c>
      <c r="H226" s="4">
        <v>73.2</v>
      </c>
      <c r="I226" s="6">
        <v>6.074983895341326</v>
      </c>
      <c r="J226" s="5">
        <v>0.05</v>
      </c>
      <c r="K226" s="4">
        <v>17.2</v>
      </c>
      <c r="L226" s="4">
        <v>56.4</v>
      </c>
      <c r="M226" s="6">
        <v>5.1756776376205789</v>
      </c>
      <c r="N226" s="5">
        <v>4.4999999999999998E-2</v>
      </c>
      <c r="O226" s="5">
        <v>0.89930625772074713</v>
      </c>
      <c r="P226" s="5">
        <v>0.89930625772074713</v>
      </c>
      <c r="Q226" s="8">
        <v>0.19930555555555554</v>
      </c>
      <c r="R226" s="8">
        <v>0.875</v>
      </c>
      <c r="S226" s="6">
        <f t="shared" si="9"/>
        <v>16.216666666666669</v>
      </c>
      <c r="T226" s="5">
        <f t="shared" si="10"/>
        <v>5.5455678790590775E-2</v>
      </c>
      <c r="U226" s="3">
        <v>2.21</v>
      </c>
      <c r="V226" s="5">
        <f t="shared" si="11"/>
        <v>2.5093067326059173E-2</v>
      </c>
      <c r="W226" s="3">
        <v>2.5093067326059173E-2</v>
      </c>
    </row>
    <row r="227" spans="1:23" x14ac:dyDescent="0.55000000000000004">
      <c r="A227" s="3">
        <v>7</v>
      </c>
      <c r="B227" s="3" t="s">
        <v>53</v>
      </c>
      <c r="C227" s="3" t="s">
        <v>49</v>
      </c>
      <c r="D227" s="3" t="s">
        <v>41</v>
      </c>
      <c r="E227" s="2" t="s">
        <v>17</v>
      </c>
      <c r="F227" s="3">
        <v>19</v>
      </c>
      <c r="G227" s="4">
        <v>21.9</v>
      </c>
      <c r="H227" s="4">
        <v>70</v>
      </c>
      <c r="I227" s="6">
        <v>5.8433405097454791</v>
      </c>
      <c r="J227" s="5">
        <v>3.7999999999999999E-2</v>
      </c>
      <c r="K227" s="4">
        <v>16.7</v>
      </c>
      <c r="L227" s="4">
        <v>53.3</v>
      </c>
      <c r="M227" s="6">
        <v>4.9427253720063709</v>
      </c>
      <c r="N227" s="5">
        <v>3.4000000000000002E-2</v>
      </c>
      <c r="O227" s="5">
        <v>0.90061513773910828</v>
      </c>
      <c r="P227" s="5">
        <v>0.90061513773910828</v>
      </c>
      <c r="Q227" s="8">
        <v>0.19930555555555554</v>
      </c>
      <c r="R227" s="8">
        <v>0.875</v>
      </c>
      <c r="S227" s="6">
        <f t="shared" si="9"/>
        <v>16.216666666666669</v>
      </c>
      <c r="T227" s="5">
        <f t="shared" si="10"/>
        <v>5.5536390816388996E-2</v>
      </c>
      <c r="U227" s="3">
        <v>2.21</v>
      </c>
      <c r="V227" s="5">
        <f t="shared" si="11"/>
        <v>2.5129588604700902E-2</v>
      </c>
      <c r="W227" s="3">
        <v>2.5129588604700902E-2</v>
      </c>
    </row>
    <row r="228" spans="1:23" x14ac:dyDescent="0.55000000000000004">
      <c r="A228" s="3">
        <v>49</v>
      </c>
      <c r="B228" s="3" t="s">
        <v>51</v>
      </c>
      <c r="C228" s="3" t="s">
        <v>49</v>
      </c>
      <c r="D228" s="3" t="s">
        <v>39</v>
      </c>
      <c r="E228" s="2" t="s">
        <v>18</v>
      </c>
      <c r="F228" s="3">
        <v>24</v>
      </c>
      <c r="G228" s="4">
        <v>22.5</v>
      </c>
      <c r="H228" s="4">
        <v>96.3</v>
      </c>
      <c r="I228" s="6">
        <v>7.9458820904484844</v>
      </c>
      <c r="J228" s="5">
        <v>3.1E-2</v>
      </c>
      <c r="K228" s="4">
        <v>20.2</v>
      </c>
      <c r="L228" s="4">
        <v>81.7</v>
      </c>
      <c r="M228" s="6">
        <v>7.052244094309871</v>
      </c>
      <c r="N228" s="5">
        <v>3.1E-2</v>
      </c>
      <c r="O228" s="5">
        <v>0.89363799613861339</v>
      </c>
      <c r="P228" s="5">
        <v>0.89363799613861339</v>
      </c>
      <c r="Q228" s="8">
        <v>0.21180555555555555</v>
      </c>
      <c r="R228" s="8">
        <v>0.88194444444444453</v>
      </c>
      <c r="S228" s="6">
        <f t="shared" si="9"/>
        <v>16.083333333333336</v>
      </c>
      <c r="T228" s="5">
        <f t="shared" si="10"/>
        <v>5.556298421587233E-2</v>
      </c>
      <c r="U228" s="3">
        <v>2.21</v>
      </c>
      <c r="V228" s="5">
        <f t="shared" si="11"/>
        <v>2.5141621817136802E-2</v>
      </c>
      <c r="W228" s="3">
        <v>2.5141621817136802E-2</v>
      </c>
    </row>
    <row r="229" spans="1:23" x14ac:dyDescent="0.55000000000000004">
      <c r="A229" s="3">
        <v>42</v>
      </c>
      <c r="B229" s="3" t="s">
        <v>53</v>
      </c>
      <c r="C229" s="3" t="s">
        <v>49</v>
      </c>
      <c r="D229" s="3" t="s">
        <v>41</v>
      </c>
      <c r="E229" s="2" t="s">
        <v>16</v>
      </c>
      <c r="F229" s="3">
        <v>16</v>
      </c>
      <c r="G229" s="4">
        <v>20.9</v>
      </c>
      <c r="H229" s="4">
        <v>77.2</v>
      </c>
      <c r="I229" s="6">
        <v>6.5718965202249899</v>
      </c>
      <c r="J229" s="5">
        <v>3.4000000000000002E-2</v>
      </c>
      <c r="K229" s="4">
        <v>19.8</v>
      </c>
      <c r="L229" s="4">
        <v>65.400000000000006</v>
      </c>
      <c r="M229" s="6">
        <v>5.6905995946995169</v>
      </c>
      <c r="N229" s="5">
        <v>3.3000000000000002E-2</v>
      </c>
      <c r="O229" s="5">
        <v>0.88129692552547301</v>
      </c>
      <c r="P229" s="5">
        <v>0.88129692552547301</v>
      </c>
      <c r="Q229" s="8">
        <v>0.20833333333333334</v>
      </c>
      <c r="R229" s="8">
        <v>0.86805555555555547</v>
      </c>
      <c r="S229" s="6">
        <f t="shared" si="9"/>
        <v>15.83333333333333</v>
      </c>
      <c r="T229" s="5">
        <f t="shared" si="10"/>
        <v>5.566085845424041E-2</v>
      </c>
      <c r="U229" s="3">
        <v>2.21</v>
      </c>
      <c r="V229" s="5">
        <f t="shared" si="11"/>
        <v>2.5185908802823714E-2</v>
      </c>
      <c r="W229" s="3">
        <v>2.5185908802823714E-2</v>
      </c>
    </row>
    <row r="230" spans="1:23" x14ac:dyDescent="0.55000000000000004">
      <c r="A230" s="3">
        <v>15</v>
      </c>
      <c r="B230" s="3" t="s">
        <v>48</v>
      </c>
      <c r="C230" s="3" t="s">
        <v>49</v>
      </c>
      <c r="D230" s="3" t="s">
        <v>38</v>
      </c>
      <c r="E230" s="2" t="s">
        <v>15</v>
      </c>
      <c r="F230" s="3">
        <v>12</v>
      </c>
      <c r="G230" s="4">
        <v>22.3</v>
      </c>
      <c r="H230" s="4">
        <v>95.4</v>
      </c>
      <c r="I230" s="6">
        <v>7.9020871172742986</v>
      </c>
      <c r="J230" s="5">
        <v>2.3E-2</v>
      </c>
      <c r="K230" s="4">
        <v>19.399999999999999</v>
      </c>
      <c r="L230" s="4">
        <v>80</v>
      </c>
      <c r="M230" s="6">
        <v>7.0172365776249865</v>
      </c>
      <c r="N230" s="5">
        <v>2.3E-2</v>
      </c>
      <c r="O230" s="5">
        <v>0.88485053964931204</v>
      </c>
      <c r="P230" s="5">
        <v>0.88485053964931204</v>
      </c>
      <c r="Q230" s="8">
        <v>0.21319444444444444</v>
      </c>
      <c r="R230" s="8">
        <v>0.875</v>
      </c>
      <c r="S230" s="6">
        <f t="shared" si="9"/>
        <v>15.883333333333333</v>
      </c>
      <c r="T230" s="5">
        <f t="shared" si="10"/>
        <v>5.570937290551807E-2</v>
      </c>
      <c r="U230" s="3">
        <v>2.21</v>
      </c>
      <c r="V230" s="5">
        <f t="shared" si="11"/>
        <v>2.5207861043220849E-2</v>
      </c>
      <c r="W230" s="3">
        <v>2.5207861043220849E-2</v>
      </c>
    </row>
    <row r="231" spans="1:23" x14ac:dyDescent="0.55000000000000004">
      <c r="A231" s="3">
        <v>53</v>
      </c>
      <c r="B231" s="3" t="s">
        <v>48</v>
      </c>
      <c r="C231" s="3" t="s">
        <v>49</v>
      </c>
      <c r="D231" s="3" t="s">
        <v>38</v>
      </c>
      <c r="E231" s="3" t="s">
        <v>27</v>
      </c>
      <c r="F231" s="3">
        <v>54</v>
      </c>
      <c r="G231" s="4">
        <v>28.2</v>
      </c>
      <c r="H231" s="4">
        <v>87.5</v>
      </c>
      <c r="I231" s="6">
        <v>6.4956103531140306</v>
      </c>
      <c r="J231" s="5">
        <v>6.8000000000000005E-2</v>
      </c>
      <c r="K231" s="4">
        <v>24.9</v>
      </c>
      <c r="L231" s="4">
        <v>70.7</v>
      </c>
      <c r="M231" s="6">
        <v>5.5740337343852806</v>
      </c>
      <c r="N231" s="5">
        <v>6.4000000000000001E-2</v>
      </c>
      <c r="O231" s="5">
        <v>0.92157661872874996</v>
      </c>
      <c r="P231" s="5">
        <v>0.92157661872874996</v>
      </c>
      <c r="Q231" s="8">
        <v>0.20833333333333334</v>
      </c>
      <c r="R231" s="8">
        <v>0.89583333333333337</v>
      </c>
      <c r="S231" s="6">
        <f t="shared" si="9"/>
        <v>16.5</v>
      </c>
      <c r="T231" s="5">
        <f t="shared" si="10"/>
        <v>5.5853128407803029E-2</v>
      </c>
      <c r="U231" s="3">
        <v>2.21</v>
      </c>
      <c r="V231" s="5">
        <f t="shared" si="11"/>
        <v>2.5272908781811324E-2</v>
      </c>
      <c r="W231" s="3">
        <v>2.5272908781811324E-2</v>
      </c>
    </row>
    <row r="232" spans="1:23" x14ac:dyDescent="0.55000000000000004">
      <c r="A232" s="3">
        <v>24</v>
      </c>
      <c r="B232" s="3" t="s">
        <v>52</v>
      </c>
      <c r="C232" s="3" t="s">
        <v>49</v>
      </c>
      <c r="D232" s="3" t="s">
        <v>40</v>
      </c>
      <c r="E232" s="2" t="s">
        <v>20</v>
      </c>
      <c r="F232" s="3">
        <v>30</v>
      </c>
      <c r="G232" s="4">
        <v>27.2</v>
      </c>
      <c r="H232" s="4">
        <v>80</v>
      </c>
      <c r="I232" s="6">
        <v>6.0464617444026212</v>
      </c>
      <c r="J232" s="5">
        <v>4.2999999999999997E-2</v>
      </c>
      <c r="K232" s="4">
        <v>23.6</v>
      </c>
      <c r="L232" s="4">
        <v>63.6</v>
      </c>
      <c r="M232" s="6">
        <v>5.1384364522022565</v>
      </c>
      <c r="N232" s="5">
        <v>4.2000000000000003E-2</v>
      </c>
      <c r="O232" s="5">
        <v>0.90802529220036465</v>
      </c>
      <c r="P232" s="5">
        <v>0.90802529220036465</v>
      </c>
      <c r="Q232" s="8">
        <v>0.20833333333333334</v>
      </c>
      <c r="R232" s="8">
        <v>0.88541666666666663</v>
      </c>
      <c r="S232" s="6">
        <f t="shared" si="9"/>
        <v>16.25</v>
      </c>
      <c r="T232" s="5">
        <f t="shared" si="10"/>
        <v>5.5878479520022444E-2</v>
      </c>
      <c r="U232" s="3">
        <v>2.21</v>
      </c>
      <c r="V232" s="5">
        <f t="shared" si="11"/>
        <v>2.528437987331332E-2</v>
      </c>
      <c r="W232" s="3">
        <v>2.528437987331332E-2</v>
      </c>
    </row>
    <row r="233" spans="1:23" x14ac:dyDescent="0.55000000000000004">
      <c r="A233" s="3">
        <v>17</v>
      </c>
      <c r="B233" s="3" t="s">
        <v>52</v>
      </c>
      <c r="C233" s="3" t="s">
        <v>50</v>
      </c>
      <c r="D233" s="3" t="s">
        <v>12</v>
      </c>
      <c r="E233" s="2" t="s">
        <v>15</v>
      </c>
      <c r="F233" s="3">
        <v>12</v>
      </c>
      <c r="G233" s="4">
        <v>22.3</v>
      </c>
      <c r="H233" s="4">
        <v>94.8</v>
      </c>
      <c r="I233" s="6">
        <v>7.8523884561593649</v>
      </c>
      <c r="J233" s="5">
        <v>4.3999999999999997E-2</v>
      </c>
      <c r="K233" s="4">
        <v>19.399999999999999</v>
      </c>
      <c r="L233" s="4">
        <v>79.400000000000006</v>
      </c>
      <c r="M233" s="6">
        <v>6.9646073032927998</v>
      </c>
      <c r="N233" s="5">
        <v>4.1000000000000002E-2</v>
      </c>
      <c r="O233" s="5">
        <v>0.88778115286656512</v>
      </c>
      <c r="P233" s="5">
        <v>0.88778115286656512</v>
      </c>
      <c r="Q233" s="8">
        <v>0.21319444444444444</v>
      </c>
      <c r="R233" s="8">
        <v>0.875</v>
      </c>
      <c r="S233" s="6">
        <f t="shared" si="9"/>
        <v>15.883333333333333</v>
      </c>
      <c r="T233" s="5">
        <f t="shared" si="10"/>
        <v>5.5893881607548698E-2</v>
      </c>
      <c r="U233" s="3">
        <v>2.21</v>
      </c>
      <c r="V233" s="5">
        <f t="shared" si="11"/>
        <v>2.5291349143687195E-2</v>
      </c>
      <c r="W233" s="3">
        <v>2.5291349143687195E-2</v>
      </c>
    </row>
    <row r="234" spans="1:23" x14ac:dyDescent="0.55000000000000004">
      <c r="A234" s="3">
        <v>5</v>
      </c>
      <c r="B234" s="3" t="s">
        <v>48</v>
      </c>
      <c r="C234" s="3" t="s">
        <v>49</v>
      </c>
      <c r="D234" s="3" t="s">
        <v>38</v>
      </c>
      <c r="E234" s="3" t="s">
        <v>28</v>
      </c>
      <c r="F234" s="3">
        <v>58</v>
      </c>
      <c r="G234" s="4">
        <v>27.6</v>
      </c>
      <c r="H234" s="4">
        <v>68.2</v>
      </c>
      <c r="I234" s="6">
        <v>5.1175678681757439</v>
      </c>
      <c r="J234" s="5">
        <v>7.3999999999999996E-2</v>
      </c>
      <c r="K234" s="4">
        <v>23.3</v>
      </c>
      <c r="L234" s="4">
        <v>51.7</v>
      </c>
      <c r="M234" s="6">
        <v>4.2009118974341977</v>
      </c>
      <c r="N234" s="5">
        <v>7.2999999999999995E-2</v>
      </c>
      <c r="O234" s="5">
        <v>0.91665597074154626</v>
      </c>
      <c r="P234" s="5">
        <v>0.91665597074154626</v>
      </c>
      <c r="Q234" s="8">
        <v>0.20833333333333334</v>
      </c>
      <c r="R234" s="8">
        <v>0.88888888888888884</v>
      </c>
      <c r="S234" s="6">
        <f t="shared" si="9"/>
        <v>16.333333333333332</v>
      </c>
      <c r="T234" s="5">
        <f t="shared" si="10"/>
        <v>5.6121794127033449E-2</v>
      </c>
      <c r="U234" s="3">
        <v>2.21</v>
      </c>
      <c r="V234" s="5">
        <f t="shared" si="11"/>
        <v>2.539447698055812E-2</v>
      </c>
      <c r="W234" s="3">
        <v>2.539447698055812E-2</v>
      </c>
    </row>
    <row r="235" spans="1:23" x14ac:dyDescent="0.55000000000000004">
      <c r="A235" s="3">
        <v>32</v>
      </c>
      <c r="B235" s="3" t="s">
        <v>53</v>
      </c>
      <c r="C235" s="3" t="s">
        <v>50</v>
      </c>
      <c r="D235" s="3" t="s">
        <v>11</v>
      </c>
      <c r="E235" s="3" t="s">
        <v>33</v>
      </c>
      <c r="F235" s="3">
        <v>75</v>
      </c>
      <c r="G235" s="4">
        <v>28</v>
      </c>
      <c r="H235" s="4">
        <v>69.400000000000006</v>
      </c>
      <c r="I235" s="6">
        <v>5.1703873691344189</v>
      </c>
      <c r="J235" s="5">
        <v>5.8000000000000003E-2</v>
      </c>
      <c r="K235" s="4">
        <v>24</v>
      </c>
      <c r="L235" s="4">
        <v>53.1</v>
      </c>
      <c r="M235" s="6">
        <v>4.2577392462776773</v>
      </c>
      <c r="N235" s="5">
        <v>5.3999999999999999E-2</v>
      </c>
      <c r="O235" s="5">
        <v>0.91264812285674157</v>
      </c>
      <c r="P235" s="5">
        <v>0.91264812285674157</v>
      </c>
      <c r="Q235" s="8">
        <v>0.20833333333333334</v>
      </c>
      <c r="R235" s="8">
        <v>0.88541666666666663</v>
      </c>
      <c r="S235" s="6">
        <f t="shared" si="9"/>
        <v>16.25</v>
      </c>
      <c r="T235" s="5">
        <f t="shared" si="10"/>
        <v>5.6162961406568714E-2</v>
      </c>
      <c r="U235" s="3">
        <v>2.21</v>
      </c>
      <c r="V235" s="5">
        <f t="shared" si="11"/>
        <v>2.5413104708854623E-2</v>
      </c>
      <c r="W235" s="3">
        <v>2.5413104708854623E-2</v>
      </c>
    </row>
    <row r="236" spans="1:23" x14ac:dyDescent="0.55000000000000004">
      <c r="A236" s="3">
        <v>1</v>
      </c>
      <c r="B236" s="3" t="s">
        <v>51</v>
      </c>
      <c r="C236" s="3" t="s">
        <v>49</v>
      </c>
      <c r="D236" s="3" t="s">
        <v>39</v>
      </c>
      <c r="E236" s="2" t="s">
        <v>15</v>
      </c>
      <c r="F236" s="3">
        <v>12</v>
      </c>
      <c r="G236" s="4">
        <v>22.3</v>
      </c>
      <c r="H236" s="4">
        <v>100.7</v>
      </c>
      <c r="I236" s="6">
        <v>8.3410919571228703</v>
      </c>
      <c r="J236" s="5">
        <v>2.4E-2</v>
      </c>
      <c r="K236" s="4">
        <v>19.399999999999999</v>
      </c>
      <c r="L236" s="4">
        <v>84.9</v>
      </c>
      <c r="M236" s="6">
        <v>7.4470423180045167</v>
      </c>
      <c r="N236" s="5">
        <v>2.4E-2</v>
      </c>
      <c r="O236" s="5">
        <v>0.89404963911835367</v>
      </c>
      <c r="P236" s="5">
        <v>0.89404963911835367</v>
      </c>
      <c r="Q236" s="8">
        <v>0.21319444444444444</v>
      </c>
      <c r="R236" s="8">
        <v>0.875</v>
      </c>
      <c r="S236" s="6">
        <f t="shared" si="9"/>
        <v>15.883333333333333</v>
      </c>
      <c r="T236" s="5">
        <f t="shared" si="10"/>
        <v>5.6288539713642415E-2</v>
      </c>
      <c r="U236" s="3">
        <v>2.21</v>
      </c>
      <c r="V236" s="5">
        <f t="shared" si="11"/>
        <v>2.5469927472236385E-2</v>
      </c>
      <c r="W236" s="3">
        <v>2.5469927472236385E-2</v>
      </c>
    </row>
    <row r="237" spans="1:23" x14ac:dyDescent="0.55000000000000004">
      <c r="A237" s="3">
        <v>14</v>
      </c>
      <c r="B237" s="3" t="s">
        <v>48</v>
      </c>
      <c r="C237" s="3" t="s">
        <v>50</v>
      </c>
      <c r="D237" s="3" t="s">
        <v>10</v>
      </c>
      <c r="E237" s="3" t="s">
        <v>28</v>
      </c>
      <c r="F237" s="3">
        <v>58</v>
      </c>
      <c r="G237" s="4">
        <v>28.5</v>
      </c>
      <c r="H237" s="4">
        <v>100.1</v>
      </c>
      <c r="I237" s="6">
        <v>7.3913882617544786</v>
      </c>
      <c r="J237" s="5">
        <v>6.3E-2</v>
      </c>
      <c r="K237" s="4">
        <v>23.8</v>
      </c>
      <c r="L237" s="4">
        <v>80.400000000000006</v>
      </c>
      <c r="M237" s="6">
        <v>6.4711721314133834</v>
      </c>
      <c r="N237" s="5">
        <v>5.2999999999999999E-2</v>
      </c>
      <c r="O237" s="5">
        <v>0.92021613034109517</v>
      </c>
      <c r="P237" s="5">
        <v>0.92021613034109517</v>
      </c>
      <c r="Q237" s="8">
        <v>0.20833333333333334</v>
      </c>
      <c r="R237" s="8">
        <v>0.88888888888888884</v>
      </c>
      <c r="S237" s="6">
        <f t="shared" si="9"/>
        <v>16.333333333333332</v>
      </c>
      <c r="T237" s="5">
        <f t="shared" si="10"/>
        <v>5.633976308210787E-2</v>
      </c>
      <c r="U237" s="3">
        <v>2.21</v>
      </c>
      <c r="V237" s="5">
        <f t="shared" si="11"/>
        <v>2.5493105467017139E-2</v>
      </c>
      <c r="W237" s="3">
        <v>2.5493105467017139E-2</v>
      </c>
    </row>
    <row r="238" spans="1:23" x14ac:dyDescent="0.55000000000000004">
      <c r="A238" s="3">
        <v>22</v>
      </c>
      <c r="B238" s="3" t="s">
        <v>48</v>
      </c>
      <c r="C238" s="3" t="s">
        <v>49</v>
      </c>
      <c r="D238" s="3" t="s">
        <v>38</v>
      </c>
      <c r="E238" s="2" t="s">
        <v>14</v>
      </c>
      <c r="F238" s="3">
        <v>10</v>
      </c>
      <c r="G238" s="4">
        <v>22.3</v>
      </c>
      <c r="H238" s="4">
        <v>89.6</v>
      </c>
      <c r="I238" s="6">
        <v>7.4216667264966159</v>
      </c>
      <c r="J238" s="5">
        <v>2.3E-2</v>
      </c>
      <c r="K238" s="4">
        <v>20</v>
      </c>
      <c r="L238" s="4">
        <v>75.3</v>
      </c>
      <c r="M238" s="6">
        <v>6.5258211349134436</v>
      </c>
      <c r="N238" s="5">
        <v>2.3E-2</v>
      </c>
      <c r="O238" s="5">
        <v>0.89584559158317223</v>
      </c>
      <c r="P238" s="5">
        <v>0.89584559158317223</v>
      </c>
      <c r="Q238" s="8">
        <v>0.20555555555555557</v>
      </c>
      <c r="R238" s="8">
        <v>0.86805555555555547</v>
      </c>
      <c r="S238" s="6">
        <f t="shared" si="9"/>
        <v>15.899999999999997</v>
      </c>
      <c r="T238" s="5">
        <f t="shared" si="10"/>
        <v>5.634249003667751E-2</v>
      </c>
      <c r="U238" s="3">
        <v>2.21</v>
      </c>
      <c r="V238" s="5">
        <f t="shared" si="11"/>
        <v>2.5494339383111998E-2</v>
      </c>
      <c r="W238" s="3">
        <v>2.5494339383111998E-2</v>
      </c>
    </row>
    <row r="239" spans="1:23" x14ac:dyDescent="0.55000000000000004">
      <c r="A239" s="3">
        <v>36</v>
      </c>
      <c r="B239" s="3" t="s">
        <v>52</v>
      </c>
      <c r="C239" s="3" t="s">
        <v>50</v>
      </c>
      <c r="D239" s="3" t="s">
        <v>12</v>
      </c>
      <c r="E239" s="2" t="s">
        <v>8</v>
      </c>
      <c r="F239" s="3">
        <v>5</v>
      </c>
      <c r="G239" s="4">
        <v>20.399999999999999</v>
      </c>
      <c r="H239" s="4">
        <v>122.1</v>
      </c>
      <c r="I239" s="6">
        <v>10.497628025618853</v>
      </c>
      <c r="J239" s="5">
        <v>3.5000000000000003E-2</v>
      </c>
      <c r="K239" s="4">
        <v>15.4</v>
      </c>
      <c r="L239" s="4">
        <v>100.7</v>
      </c>
      <c r="M239" s="6">
        <v>9.6000104566749513</v>
      </c>
      <c r="N239" s="5">
        <v>3.1E-2</v>
      </c>
      <c r="O239" s="5">
        <v>0.8976175689439021</v>
      </c>
      <c r="P239" s="5">
        <v>0.8976175689439021</v>
      </c>
      <c r="Q239" s="8">
        <v>0.20833333333333334</v>
      </c>
      <c r="R239" s="8">
        <v>0.87083333333333324</v>
      </c>
      <c r="S239" s="6">
        <f t="shared" si="9"/>
        <v>15.899999999999997</v>
      </c>
      <c r="T239" s="5">
        <f t="shared" si="10"/>
        <v>5.6453935153704546E-2</v>
      </c>
      <c r="U239" s="3">
        <v>2.21</v>
      </c>
      <c r="V239" s="5">
        <f t="shared" si="11"/>
        <v>2.5544767037875359E-2</v>
      </c>
      <c r="W239" s="3">
        <v>2.5544767037875359E-2</v>
      </c>
    </row>
    <row r="240" spans="1:23" x14ac:dyDescent="0.55000000000000004">
      <c r="A240" s="3">
        <v>2</v>
      </c>
      <c r="B240" s="3" t="s">
        <v>48</v>
      </c>
      <c r="C240" s="3" t="s">
        <v>49</v>
      </c>
      <c r="D240" s="3" t="s">
        <v>38</v>
      </c>
      <c r="E240" s="2" t="s">
        <v>20</v>
      </c>
      <c r="F240" s="3">
        <v>30</v>
      </c>
      <c r="G240" s="4">
        <v>26.6</v>
      </c>
      <c r="H240" s="4">
        <v>76.900000000000006</v>
      </c>
      <c r="I240" s="6">
        <v>5.8758010469496389</v>
      </c>
      <c r="J240" s="5">
        <v>4.5999999999999999E-2</v>
      </c>
      <c r="K240" s="4">
        <v>23.3</v>
      </c>
      <c r="L240" s="4">
        <v>61</v>
      </c>
      <c r="M240" s="6">
        <v>4.9565885056767129</v>
      </c>
      <c r="N240" s="5">
        <v>4.4999999999999998E-2</v>
      </c>
      <c r="O240" s="5">
        <v>0.91921254127292595</v>
      </c>
      <c r="P240" s="5">
        <v>0.91921254127292595</v>
      </c>
      <c r="Q240" s="8">
        <v>0.20833333333333334</v>
      </c>
      <c r="R240" s="8">
        <v>0.88541666666666663</v>
      </c>
      <c r="S240" s="6">
        <f t="shared" si="9"/>
        <v>16.25</v>
      </c>
      <c r="T240" s="5">
        <f t="shared" si="10"/>
        <v>5.6566925616795445E-2</v>
      </c>
      <c r="U240" s="3">
        <v>2.21</v>
      </c>
      <c r="V240" s="5">
        <f t="shared" si="11"/>
        <v>2.5595893944251331E-2</v>
      </c>
      <c r="W240" s="3">
        <v>2.5595893944251331E-2</v>
      </c>
    </row>
    <row r="241" spans="1:23" x14ac:dyDescent="0.55000000000000004">
      <c r="A241" s="3">
        <v>54</v>
      </c>
      <c r="B241" s="3" t="s">
        <v>48</v>
      </c>
      <c r="C241" s="3" t="s">
        <v>50</v>
      </c>
      <c r="D241" s="3" t="s">
        <v>10</v>
      </c>
      <c r="E241" s="3" t="s">
        <v>35</v>
      </c>
      <c r="F241" s="3">
        <v>82</v>
      </c>
      <c r="G241" s="4">
        <v>31.5</v>
      </c>
      <c r="H241" s="4">
        <v>63.6</v>
      </c>
      <c r="I241" s="6">
        <v>4.4568984771855016</v>
      </c>
      <c r="J241" s="5">
        <v>6.5000000000000002E-2</v>
      </c>
      <c r="K241" s="4">
        <v>27.2</v>
      </c>
      <c r="L241" s="4">
        <v>46.8</v>
      </c>
      <c r="M241" s="6">
        <v>3.5371801204755338</v>
      </c>
      <c r="N241" s="5">
        <v>6.5000000000000002E-2</v>
      </c>
      <c r="O241" s="5">
        <v>0.91971835670996782</v>
      </c>
      <c r="P241" s="5">
        <v>0.91971835670996782</v>
      </c>
      <c r="Q241" s="8">
        <v>0.20833333333333334</v>
      </c>
      <c r="R241" s="8">
        <v>0.88541666666666663</v>
      </c>
      <c r="S241" s="6">
        <f t="shared" si="9"/>
        <v>16.25</v>
      </c>
      <c r="T241" s="5">
        <f t="shared" si="10"/>
        <v>5.6598052720613405E-2</v>
      </c>
      <c r="U241" s="3">
        <v>2.21</v>
      </c>
      <c r="V241" s="5">
        <f t="shared" si="11"/>
        <v>2.5609978606612401E-2</v>
      </c>
      <c r="W241" s="3">
        <v>2.5609978606612401E-2</v>
      </c>
    </row>
    <row r="242" spans="1:23" x14ac:dyDescent="0.55000000000000004">
      <c r="A242" s="3">
        <v>44</v>
      </c>
      <c r="B242" s="3" t="s">
        <v>53</v>
      </c>
      <c r="C242" s="3" t="s">
        <v>49</v>
      </c>
      <c r="D242" s="3" t="s">
        <v>41</v>
      </c>
      <c r="E242" s="3" t="s">
        <v>35</v>
      </c>
      <c r="F242" s="3">
        <v>82</v>
      </c>
      <c r="G242" s="4">
        <v>31.5</v>
      </c>
      <c r="H242" s="4">
        <v>70.3</v>
      </c>
      <c r="I242" s="6">
        <v>4.9264145117317728</v>
      </c>
      <c r="J242" s="5">
        <v>6.7000000000000004E-2</v>
      </c>
      <c r="K242" s="4">
        <v>27.4</v>
      </c>
      <c r="L242" s="4">
        <v>53.2</v>
      </c>
      <c r="M242" s="6">
        <v>4.0064049327168911</v>
      </c>
      <c r="N242" s="5">
        <v>7.1999999999999995E-2</v>
      </c>
      <c r="O242" s="5">
        <v>0.92000957901488167</v>
      </c>
      <c r="P242" s="5">
        <v>0.92000957901488167</v>
      </c>
      <c r="Q242" s="8">
        <v>0.20833333333333334</v>
      </c>
      <c r="R242" s="8">
        <v>0.88541666666666663</v>
      </c>
      <c r="S242" s="6">
        <f t="shared" si="9"/>
        <v>16.25</v>
      </c>
      <c r="T242" s="5">
        <f t="shared" si="10"/>
        <v>5.6615974093223491E-2</v>
      </c>
      <c r="U242" s="3">
        <v>2.21</v>
      </c>
      <c r="V242" s="5">
        <f t="shared" si="11"/>
        <v>2.5618087824988003E-2</v>
      </c>
      <c r="W242" s="3">
        <v>2.5618087824988003E-2</v>
      </c>
    </row>
    <row r="243" spans="1:23" x14ac:dyDescent="0.55000000000000004">
      <c r="A243" s="3">
        <v>5</v>
      </c>
      <c r="B243" s="3" t="s">
        <v>48</v>
      </c>
      <c r="C243" s="3" t="s">
        <v>49</v>
      </c>
      <c r="D243" s="3" t="s">
        <v>38</v>
      </c>
      <c r="E243" s="2" t="s">
        <v>20</v>
      </c>
      <c r="F243" s="3">
        <v>30</v>
      </c>
      <c r="G243" s="4">
        <v>26.2</v>
      </c>
      <c r="H243" s="4">
        <v>71.2</v>
      </c>
      <c r="I243" s="6">
        <v>5.4801801026051757</v>
      </c>
      <c r="J243" s="5">
        <v>4.7E-2</v>
      </c>
      <c r="K243" s="4">
        <v>23.2</v>
      </c>
      <c r="L243" s="4">
        <v>56</v>
      </c>
      <c r="M243" s="6">
        <v>4.5590019381810594</v>
      </c>
      <c r="N243" s="5">
        <v>4.5999999999999999E-2</v>
      </c>
      <c r="O243" s="5">
        <v>0.92117816442411637</v>
      </c>
      <c r="P243" s="5">
        <v>0.92117816442411637</v>
      </c>
      <c r="Q243" s="8">
        <v>0.20833333333333334</v>
      </c>
      <c r="R243" s="8">
        <v>0.88541666666666663</v>
      </c>
      <c r="S243" s="6">
        <f t="shared" si="9"/>
        <v>16.25</v>
      </c>
      <c r="T243" s="5">
        <f t="shared" si="10"/>
        <v>5.6687887041484086E-2</v>
      </c>
      <c r="U243" s="3">
        <v>2.21</v>
      </c>
      <c r="V243" s="5">
        <f t="shared" si="11"/>
        <v>2.5650627620581033E-2</v>
      </c>
      <c r="W243" s="3">
        <v>2.5650627620581033E-2</v>
      </c>
    </row>
    <row r="244" spans="1:23" x14ac:dyDescent="0.55000000000000004">
      <c r="A244" s="3">
        <v>55</v>
      </c>
      <c r="B244" s="3" t="s">
        <v>52</v>
      </c>
      <c r="C244" s="3" t="s">
        <v>49</v>
      </c>
      <c r="D244" s="3" t="s">
        <v>40</v>
      </c>
      <c r="E244" s="2" t="s">
        <v>18</v>
      </c>
      <c r="F244" s="3">
        <v>24</v>
      </c>
      <c r="G244" s="4">
        <v>22.6</v>
      </c>
      <c r="H244" s="4">
        <v>96.2</v>
      </c>
      <c r="I244" s="6">
        <v>7.9223476381652542</v>
      </c>
      <c r="J244" s="5">
        <v>3.4000000000000002E-2</v>
      </c>
      <c r="K244" s="4">
        <v>20.2</v>
      </c>
      <c r="L244" s="4">
        <v>81.2</v>
      </c>
      <c r="M244" s="6">
        <v>7.009084705727803</v>
      </c>
      <c r="N244" s="5">
        <v>3.4000000000000002E-2</v>
      </c>
      <c r="O244" s="5">
        <v>0.91326293243745127</v>
      </c>
      <c r="P244" s="5">
        <v>0.91326293243745127</v>
      </c>
      <c r="Q244" s="8">
        <v>0.21180555555555555</v>
      </c>
      <c r="R244" s="8">
        <v>0.88194444444444453</v>
      </c>
      <c r="S244" s="6">
        <f t="shared" si="9"/>
        <v>16.083333333333336</v>
      </c>
      <c r="T244" s="5">
        <f t="shared" si="10"/>
        <v>5.6783187509064317E-2</v>
      </c>
      <c r="U244" s="3">
        <v>2.21</v>
      </c>
      <c r="V244" s="5">
        <f t="shared" si="11"/>
        <v>2.5693750004101502E-2</v>
      </c>
      <c r="W244" s="3">
        <v>2.5693750004101502E-2</v>
      </c>
    </row>
    <row r="245" spans="1:23" x14ac:dyDescent="0.55000000000000004">
      <c r="A245" s="3">
        <v>30</v>
      </c>
      <c r="B245" s="3" t="s">
        <v>52</v>
      </c>
      <c r="C245" s="3" t="s">
        <v>49</v>
      </c>
      <c r="D245" s="3" t="s">
        <v>40</v>
      </c>
      <c r="E245" s="2" t="s">
        <v>21</v>
      </c>
      <c r="F245" s="3">
        <v>33</v>
      </c>
      <c r="G245" s="4">
        <v>29.5</v>
      </c>
      <c r="H245" s="4">
        <v>67.5</v>
      </c>
      <c r="I245" s="6">
        <v>4.8969668977299605</v>
      </c>
      <c r="J245" s="5">
        <v>5.8000000000000003E-2</v>
      </c>
      <c r="K245" s="4">
        <v>25.9</v>
      </c>
      <c r="L245" s="4">
        <v>51.4</v>
      </c>
      <c r="M245" s="6">
        <v>3.9780457579617257</v>
      </c>
      <c r="N245" s="5">
        <v>5.7000000000000002E-2</v>
      </c>
      <c r="O245" s="5">
        <v>0.91892113976823486</v>
      </c>
      <c r="P245" s="5">
        <v>0.91892113976823486</v>
      </c>
      <c r="Q245" s="8">
        <v>0.20833333333333334</v>
      </c>
      <c r="R245" s="8">
        <v>0.88194444444444453</v>
      </c>
      <c r="S245" s="6">
        <f t="shared" si="9"/>
        <v>16.166666666666668</v>
      </c>
      <c r="T245" s="5">
        <f t="shared" si="10"/>
        <v>5.6840482872261948E-2</v>
      </c>
      <c r="U245" s="3">
        <v>2.21</v>
      </c>
      <c r="V245" s="5">
        <f t="shared" si="11"/>
        <v>2.5719675507810832E-2</v>
      </c>
      <c r="W245" s="3">
        <v>2.5719675507810832E-2</v>
      </c>
    </row>
    <row r="246" spans="1:23" x14ac:dyDescent="0.55000000000000004">
      <c r="A246" s="3">
        <v>2</v>
      </c>
      <c r="B246" s="3" t="s">
        <v>48</v>
      </c>
      <c r="C246" s="3" t="s">
        <v>49</v>
      </c>
      <c r="D246" s="3" t="s">
        <v>38</v>
      </c>
      <c r="E246" s="3" t="s">
        <v>33</v>
      </c>
      <c r="F246" s="3">
        <v>75</v>
      </c>
      <c r="G246" s="4">
        <v>26.9</v>
      </c>
      <c r="H246" s="4">
        <v>87.4</v>
      </c>
      <c r="I246" s="6">
        <v>6.6417532857679715</v>
      </c>
      <c r="J246" s="5">
        <v>6.9000000000000006E-2</v>
      </c>
      <c r="K246" s="4">
        <v>23.1</v>
      </c>
      <c r="L246" s="4">
        <v>70.099999999999994</v>
      </c>
      <c r="M246" s="6">
        <v>5.7178092137816865</v>
      </c>
      <c r="N246" s="5">
        <v>6.4000000000000001E-2</v>
      </c>
      <c r="O246" s="5">
        <v>0.92394407198628503</v>
      </c>
      <c r="P246" s="5">
        <v>0.92394407198628503</v>
      </c>
      <c r="Q246" s="8">
        <v>0.20833333333333334</v>
      </c>
      <c r="R246" s="8">
        <v>0.88541666666666663</v>
      </c>
      <c r="S246" s="6">
        <f t="shared" si="9"/>
        <v>16.25</v>
      </c>
      <c r="T246" s="5">
        <f t="shared" si="10"/>
        <v>5.685809673761754E-2</v>
      </c>
      <c r="U246" s="3">
        <v>2.21</v>
      </c>
      <c r="V246" s="5">
        <f t="shared" si="11"/>
        <v>2.5727645582632373E-2</v>
      </c>
      <c r="W246" s="3">
        <v>2.5727645582632373E-2</v>
      </c>
    </row>
    <row r="247" spans="1:23" x14ac:dyDescent="0.55000000000000004">
      <c r="A247" s="3">
        <v>42</v>
      </c>
      <c r="B247" s="3" t="s">
        <v>53</v>
      </c>
      <c r="C247" s="3" t="s">
        <v>49</v>
      </c>
      <c r="D247" s="3" t="s">
        <v>41</v>
      </c>
      <c r="E247" s="2" t="s">
        <v>13</v>
      </c>
      <c r="F247" s="3">
        <v>8</v>
      </c>
      <c r="G247" s="4">
        <v>22.1</v>
      </c>
      <c r="H247" s="4">
        <v>104.2</v>
      </c>
      <c r="I247" s="6">
        <v>8.6645016651313451</v>
      </c>
      <c r="J247" s="5">
        <v>2.3E-2</v>
      </c>
      <c r="K247" s="4">
        <v>19.3</v>
      </c>
      <c r="L247" s="4">
        <v>88.4</v>
      </c>
      <c r="M247" s="6">
        <v>7.7697250075749968</v>
      </c>
      <c r="N247" s="5">
        <v>2.3E-2</v>
      </c>
      <c r="O247" s="5">
        <v>0.89477665755634828</v>
      </c>
      <c r="P247" s="5">
        <v>0.89477665755634828</v>
      </c>
      <c r="Q247" s="8">
        <v>0.20833333333333334</v>
      </c>
      <c r="R247" s="8">
        <v>0.86319444444444438</v>
      </c>
      <c r="S247" s="6">
        <f t="shared" si="9"/>
        <v>15.716666666666665</v>
      </c>
      <c r="T247" s="5">
        <f t="shared" si="10"/>
        <v>5.6931706737413469E-2</v>
      </c>
      <c r="U247" s="3">
        <v>2.21</v>
      </c>
      <c r="V247" s="5">
        <f t="shared" si="11"/>
        <v>2.5760953274847724E-2</v>
      </c>
      <c r="W247" s="3">
        <v>2.5760953274847724E-2</v>
      </c>
    </row>
    <row r="248" spans="1:23" x14ac:dyDescent="0.55000000000000004">
      <c r="A248" s="3">
        <v>57</v>
      </c>
      <c r="B248" s="3" t="s">
        <v>52</v>
      </c>
      <c r="C248" s="3" t="s">
        <v>50</v>
      </c>
      <c r="D248" s="3" t="s">
        <v>12</v>
      </c>
      <c r="E248" s="3" t="s">
        <v>35</v>
      </c>
      <c r="F248" s="3">
        <v>82</v>
      </c>
      <c r="G248" s="4">
        <v>32.4</v>
      </c>
      <c r="H248" s="4">
        <v>55.7</v>
      </c>
      <c r="I248" s="6">
        <v>3.8439750150370928</v>
      </c>
      <c r="J248" s="5">
        <v>6.8000000000000005E-2</v>
      </c>
      <c r="K248" s="4">
        <v>27.9</v>
      </c>
      <c r="L248" s="4">
        <v>39.1</v>
      </c>
      <c r="M248" s="6">
        <v>2.9182180699534772</v>
      </c>
      <c r="N248" s="5">
        <v>6.5000000000000002E-2</v>
      </c>
      <c r="O248" s="5">
        <v>0.92575694508361561</v>
      </c>
      <c r="P248" s="5">
        <v>0.92575694508361561</v>
      </c>
      <c r="Q248" s="8">
        <v>0.20833333333333334</v>
      </c>
      <c r="R248" s="8">
        <v>0.88541666666666663</v>
      </c>
      <c r="S248" s="6">
        <f t="shared" si="9"/>
        <v>16.25</v>
      </c>
      <c r="T248" s="5">
        <f t="shared" si="10"/>
        <v>5.6969658158991729E-2</v>
      </c>
      <c r="U248" s="3">
        <v>2.21</v>
      </c>
      <c r="V248" s="5">
        <f t="shared" si="11"/>
        <v>2.5778125863797161E-2</v>
      </c>
      <c r="W248" s="3">
        <v>2.5778125863797161E-2</v>
      </c>
    </row>
    <row r="249" spans="1:23" x14ac:dyDescent="0.55000000000000004">
      <c r="A249" s="3">
        <v>64</v>
      </c>
      <c r="B249" s="3" t="s">
        <v>53</v>
      </c>
      <c r="C249" s="3" t="s">
        <v>50</v>
      </c>
      <c r="D249" s="3" t="s">
        <v>11</v>
      </c>
      <c r="E249" s="2" t="s">
        <v>17</v>
      </c>
      <c r="F249" s="3">
        <v>19</v>
      </c>
      <c r="G249" s="4">
        <v>21.7</v>
      </c>
      <c r="H249" s="4">
        <v>85.2</v>
      </c>
      <c r="I249" s="6">
        <v>7.1399458135848803</v>
      </c>
      <c r="J249" s="5">
        <v>4.1000000000000002E-2</v>
      </c>
      <c r="K249" s="4">
        <v>16.399999999999999</v>
      </c>
      <c r="L249" s="4">
        <v>66.599999999999994</v>
      </c>
      <c r="M249" s="6">
        <v>6.2152905405975822</v>
      </c>
      <c r="N249" s="5">
        <v>3.6999999999999998E-2</v>
      </c>
      <c r="O249" s="5">
        <v>0.9246552729872981</v>
      </c>
      <c r="P249" s="5">
        <v>0.9246552729872981</v>
      </c>
      <c r="Q249" s="8">
        <v>0.19930555555555554</v>
      </c>
      <c r="R249" s="8">
        <v>0.875</v>
      </c>
      <c r="S249" s="6">
        <f t="shared" si="9"/>
        <v>16.216666666666669</v>
      </c>
      <c r="T249" s="5">
        <f t="shared" si="10"/>
        <v>5.7018824644643244E-2</v>
      </c>
      <c r="U249" s="3">
        <v>2.21</v>
      </c>
      <c r="V249" s="5">
        <f t="shared" si="11"/>
        <v>2.5800373142372511E-2</v>
      </c>
      <c r="W249" s="3">
        <v>2.5800373142372511E-2</v>
      </c>
    </row>
    <row r="250" spans="1:23" x14ac:dyDescent="0.55000000000000004">
      <c r="A250" s="3">
        <v>10</v>
      </c>
      <c r="B250" s="3" t="s">
        <v>51</v>
      </c>
      <c r="C250" s="3" t="s">
        <v>49</v>
      </c>
      <c r="D250" s="3" t="s">
        <v>39</v>
      </c>
      <c r="E250" s="2" t="s">
        <v>18</v>
      </c>
      <c r="F250" s="3">
        <v>24</v>
      </c>
      <c r="G250" s="4">
        <v>22.3</v>
      </c>
      <c r="H250" s="4">
        <v>90.7</v>
      </c>
      <c r="I250" s="6">
        <v>7.5127809385406588</v>
      </c>
      <c r="J250" s="5">
        <v>3.9E-2</v>
      </c>
      <c r="K250" s="4">
        <v>20</v>
      </c>
      <c r="L250" s="4">
        <v>76.099999999999994</v>
      </c>
      <c r="M250" s="6">
        <v>6.5951525679536918</v>
      </c>
      <c r="N250" s="5">
        <v>3.7999999999999999E-2</v>
      </c>
      <c r="O250" s="5">
        <v>0.917628370586967</v>
      </c>
      <c r="P250" s="5">
        <v>0.917628370586967</v>
      </c>
      <c r="Q250" s="8">
        <v>0.21180555555555555</v>
      </c>
      <c r="R250" s="8">
        <v>0.88194444444444453</v>
      </c>
      <c r="S250" s="6">
        <f t="shared" si="9"/>
        <v>16.083333333333336</v>
      </c>
      <c r="T250" s="5">
        <f t="shared" si="10"/>
        <v>5.7054613715251827E-2</v>
      </c>
      <c r="U250" s="3">
        <v>2.21</v>
      </c>
      <c r="V250" s="5">
        <f t="shared" si="11"/>
        <v>2.5816567291969152E-2</v>
      </c>
      <c r="W250" s="3">
        <v>2.5816567291969152E-2</v>
      </c>
    </row>
    <row r="251" spans="1:23" x14ac:dyDescent="0.55000000000000004">
      <c r="A251" s="3">
        <v>21</v>
      </c>
      <c r="B251" s="3" t="s">
        <v>48</v>
      </c>
      <c r="C251" s="3" t="s">
        <v>49</v>
      </c>
      <c r="D251" s="3" t="s">
        <v>38</v>
      </c>
      <c r="E251" s="2" t="s">
        <v>18</v>
      </c>
      <c r="F251" s="3">
        <v>24</v>
      </c>
      <c r="G251" s="4">
        <v>22.3</v>
      </c>
      <c r="H251" s="4">
        <v>87.8</v>
      </c>
      <c r="I251" s="6">
        <v>7.2725707431518174</v>
      </c>
      <c r="J251" s="5">
        <v>3.9E-2</v>
      </c>
      <c r="K251" s="4">
        <v>20</v>
      </c>
      <c r="L251" s="4">
        <v>73.3</v>
      </c>
      <c r="M251" s="6">
        <v>6.3524925523128211</v>
      </c>
      <c r="N251" s="5">
        <v>3.6999999999999998E-2</v>
      </c>
      <c r="O251" s="5">
        <v>0.92007819083899633</v>
      </c>
      <c r="P251" s="5">
        <v>0.92007819083899633</v>
      </c>
      <c r="Q251" s="8">
        <v>0.21180555555555555</v>
      </c>
      <c r="R251" s="8">
        <v>0.88194444444444453</v>
      </c>
      <c r="S251" s="6">
        <f t="shared" si="9"/>
        <v>16.083333333333336</v>
      </c>
      <c r="T251" s="5">
        <f t="shared" si="10"/>
        <v>5.7206934145429815E-2</v>
      </c>
      <c r="U251" s="3">
        <v>2.21</v>
      </c>
      <c r="V251" s="5">
        <f t="shared" si="11"/>
        <v>2.5885490563542904E-2</v>
      </c>
      <c r="W251" s="3">
        <v>2.5885490563542904E-2</v>
      </c>
    </row>
    <row r="252" spans="1:23" x14ac:dyDescent="0.55000000000000004">
      <c r="A252" s="3">
        <v>24</v>
      </c>
      <c r="B252" s="3" t="s">
        <v>52</v>
      </c>
      <c r="C252" s="3" t="s">
        <v>49</v>
      </c>
      <c r="D252" s="3" t="s">
        <v>40</v>
      </c>
      <c r="E252" s="2" t="s">
        <v>14</v>
      </c>
      <c r="F252" s="3">
        <v>10</v>
      </c>
      <c r="G252" s="4">
        <v>22.2</v>
      </c>
      <c r="H252" s="4">
        <v>96.2</v>
      </c>
      <c r="I252" s="6">
        <v>7.9837903105442027</v>
      </c>
      <c r="J252" s="5">
        <v>2.4E-2</v>
      </c>
      <c r="K252" s="4">
        <v>20</v>
      </c>
      <c r="L252" s="4">
        <v>81.599999999999994</v>
      </c>
      <c r="M252" s="6">
        <v>7.0718061701054049</v>
      </c>
      <c r="N252" s="5">
        <v>2.3E-2</v>
      </c>
      <c r="O252" s="5">
        <v>0.91198414043879783</v>
      </c>
      <c r="P252" s="5">
        <v>0.91198414043879783</v>
      </c>
      <c r="Q252" s="8">
        <v>0.20555555555555557</v>
      </c>
      <c r="R252" s="8">
        <v>0.86805555555555547</v>
      </c>
      <c r="S252" s="6">
        <f t="shared" si="9"/>
        <v>15.899999999999997</v>
      </c>
      <c r="T252" s="5">
        <f t="shared" si="10"/>
        <v>5.7357493109358365E-2</v>
      </c>
      <c r="U252" s="3">
        <v>2.21</v>
      </c>
      <c r="V252" s="5">
        <f t="shared" si="11"/>
        <v>2.5953616791564871E-2</v>
      </c>
      <c r="W252" s="3">
        <v>2.5953616791564871E-2</v>
      </c>
    </row>
    <row r="253" spans="1:23" x14ac:dyDescent="0.55000000000000004">
      <c r="A253" s="3">
        <v>2</v>
      </c>
      <c r="B253" s="3" t="s">
        <v>48</v>
      </c>
      <c r="C253" s="3" t="s">
        <v>49</v>
      </c>
      <c r="D253" s="3" t="s">
        <v>38</v>
      </c>
      <c r="E253" s="2" t="s">
        <v>21</v>
      </c>
      <c r="F253" s="3">
        <v>33</v>
      </c>
      <c r="G253" s="4">
        <v>30.2</v>
      </c>
      <c r="H253" s="4">
        <v>64.7</v>
      </c>
      <c r="I253" s="6">
        <v>4.6367938999165803</v>
      </c>
      <c r="J253" s="5">
        <v>5.8000000000000003E-2</v>
      </c>
      <c r="K253" s="4">
        <v>26.1</v>
      </c>
      <c r="L253" s="4">
        <v>48.1</v>
      </c>
      <c r="M253" s="6">
        <v>3.7089938262343249</v>
      </c>
      <c r="N253" s="5">
        <v>6.4000000000000001E-2</v>
      </c>
      <c r="O253" s="5">
        <v>0.92780007368225537</v>
      </c>
      <c r="P253" s="5">
        <v>0.92780007368225537</v>
      </c>
      <c r="Q253" s="8">
        <v>0.20833333333333334</v>
      </c>
      <c r="R253" s="8">
        <v>0.88194444444444453</v>
      </c>
      <c r="S253" s="6">
        <f t="shared" si="9"/>
        <v>16.166666666666668</v>
      </c>
      <c r="T253" s="5">
        <f t="shared" si="10"/>
        <v>5.7389695279314763E-2</v>
      </c>
      <c r="U253" s="3">
        <v>2.21</v>
      </c>
      <c r="V253" s="5">
        <f t="shared" si="11"/>
        <v>2.5968187909192197E-2</v>
      </c>
      <c r="W253" s="3">
        <v>2.5968187909192197E-2</v>
      </c>
    </row>
    <row r="254" spans="1:23" x14ac:dyDescent="0.55000000000000004">
      <c r="A254" s="3">
        <v>4</v>
      </c>
      <c r="B254" s="3" t="s">
        <v>48</v>
      </c>
      <c r="C254" s="3" t="s">
        <v>49</v>
      </c>
      <c r="D254" s="3" t="s">
        <v>38</v>
      </c>
      <c r="E254" s="3" t="s">
        <v>30</v>
      </c>
      <c r="F254" s="3">
        <v>65</v>
      </c>
      <c r="G254" s="4">
        <v>27.9</v>
      </c>
      <c r="H254" s="4">
        <v>74.2</v>
      </c>
      <c r="I254" s="6">
        <v>5.5378972069193866</v>
      </c>
      <c r="J254" s="5">
        <v>8.3000000000000004E-2</v>
      </c>
      <c r="K254" s="4">
        <v>22.7</v>
      </c>
      <c r="L254" s="4">
        <v>56</v>
      </c>
      <c r="M254" s="6">
        <v>4.6028946998058782</v>
      </c>
      <c r="N254" s="5">
        <v>7.3999999999999996E-2</v>
      </c>
      <c r="O254" s="5">
        <v>0.93500250711350841</v>
      </c>
      <c r="P254" s="5">
        <v>0.93500250711350841</v>
      </c>
      <c r="Q254" s="8">
        <v>0.20833333333333334</v>
      </c>
      <c r="R254" s="8">
        <v>0.88541666666666663</v>
      </c>
      <c r="S254" s="6">
        <f t="shared" si="9"/>
        <v>16.25</v>
      </c>
      <c r="T254" s="5">
        <f t="shared" si="10"/>
        <v>5.753861582236975E-2</v>
      </c>
      <c r="U254" s="3">
        <v>2.21</v>
      </c>
      <c r="V254" s="5">
        <f t="shared" si="11"/>
        <v>2.6035572770303054E-2</v>
      </c>
      <c r="W254" s="3">
        <v>2.6035572770303054E-2</v>
      </c>
    </row>
    <row r="255" spans="1:23" x14ac:dyDescent="0.55000000000000004">
      <c r="A255" s="3">
        <v>30</v>
      </c>
      <c r="B255" s="3" t="s">
        <v>52</v>
      </c>
      <c r="C255" s="3" t="s">
        <v>49</v>
      </c>
      <c r="D255" s="3" t="s">
        <v>40</v>
      </c>
      <c r="E255" s="2" t="s">
        <v>19</v>
      </c>
      <c r="F255" s="3">
        <v>26</v>
      </c>
      <c r="G255" s="4">
        <v>25.1</v>
      </c>
      <c r="H255" s="4">
        <v>93.1</v>
      </c>
      <c r="I255" s="6">
        <v>7.3127772709697343</v>
      </c>
      <c r="J255" s="5">
        <v>4.2999999999999997E-2</v>
      </c>
      <c r="K255" s="4">
        <v>22.4</v>
      </c>
      <c r="L255" s="4">
        <v>77.099999999999994</v>
      </c>
      <c r="M255" s="6">
        <v>6.3739464567528934</v>
      </c>
      <c r="N255" s="5">
        <v>3.7999999999999999E-2</v>
      </c>
      <c r="O255" s="5">
        <v>0.93883081421684089</v>
      </c>
      <c r="P255" s="5">
        <v>0.93883081421684089</v>
      </c>
      <c r="Q255" s="8">
        <v>0.20833333333333334</v>
      </c>
      <c r="R255" s="8">
        <v>0.88541666666666663</v>
      </c>
      <c r="S255" s="6">
        <f t="shared" si="9"/>
        <v>16.25</v>
      </c>
      <c r="T255" s="5">
        <f t="shared" si="10"/>
        <v>5.7774203951805596E-2</v>
      </c>
      <c r="U255" s="3">
        <v>2.21</v>
      </c>
      <c r="V255" s="5">
        <f t="shared" si="11"/>
        <v>2.6142173733848684E-2</v>
      </c>
      <c r="W255" s="3">
        <v>2.6142173733848684E-2</v>
      </c>
    </row>
    <row r="256" spans="1:23" x14ac:dyDescent="0.55000000000000004">
      <c r="A256" s="3">
        <v>49</v>
      </c>
      <c r="B256" s="3" t="s">
        <v>51</v>
      </c>
      <c r="C256" s="3" t="s">
        <v>49</v>
      </c>
      <c r="D256" s="3" t="s">
        <v>39</v>
      </c>
      <c r="E256" s="3" t="s">
        <v>33</v>
      </c>
      <c r="F256" s="3">
        <v>75</v>
      </c>
      <c r="G256" s="4">
        <v>28.1</v>
      </c>
      <c r="H256" s="4">
        <v>80.400000000000006</v>
      </c>
      <c r="I256" s="6">
        <v>5.9792030729898666</v>
      </c>
      <c r="J256" s="5">
        <v>5.1999999999999998E-2</v>
      </c>
      <c r="K256" s="4">
        <v>24.3</v>
      </c>
      <c r="L256" s="4">
        <v>63.2</v>
      </c>
      <c r="M256" s="6">
        <v>5.0390265931459659</v>
      </c>
      <c r="N256" s="5">
        <v>3.9E-2</v>
      </c>
      <c r="O256" s="5">
        <v>0.94017647984390074</v>
      </c>
      <c r="P256" s="5">
        <v>0.94017647984390074</v>
      </c>
      <c r="Q256" s="8">
        <v>0.20833333333333334</v>
      </c>
      <c r="R256" s="8">
        <v>0.88541666666666663</v>
      </c>
      <c r="S256" s="6">
        <f t="shared" si="9"/>
        <v>16.25</v>
      </c>
      <c r="T256" s="5">
        <f t="shared" si="10"/>
        <v>5.7857014144240049E-2</v>
      </c>
      <c r="U256" s="3">
        <v>2.21</v>
      </c>
      <c r="V256" s="5">
        <f t="shared" si="11"/>
        <v>2.617964440915839E-2</v>
      </c>
      <c r="W256" s="3">
        <v>2.617964440915839E-2</v>
      </c>
    </row>
    <row r="257" spans="1:23" x14ac:dyDescent="0.55000000000000004">
      <c r="A257" s="3">
        <v>19</v>
      </c>
      <c r="B257" s="3" t="s">
        <v>53</v>
      </c>
      <c r="C257" s="3" t="s">
        <v>49</v>
      </c>
      <c r="D257" s="3" t="s">
        <v>41</v>
      </c>
      <c r="E257" s="2" t="s">
        <v>13</v>
      </c>
      <c r="F257" s="3">
        <v>8</v>
      </c>
      <c r="G257" s="4">
        <v>22.1</v>
      </c>
      <c r="H257" s="4">
        <v>101.9</v>
      </c>
      <c r="I257" s="6">
        <v>8.4732506686841091</v>
      </c>
      <c r="J257" s="5">
        <v>2.4E-2</v>
      </c>
      <c r="K257" s="4">
        <v>19.2</v>
      </c>
      <c r="L257" s="4">
        <v>85.8</v>
      </c>
      <c r="M257" s="6">
        <v>7.5564749427528906</v>
      </c>
      <c r="N257" s="5">
        <v>2.4E-2</v>
      </c>
      <c r="O257" s="5">
        <v>0.91677572593121859</v>
      </c>
      <c r="P257" s="5">
        <v>0.91677572593121859</v>
      </c>
      <c r="Q257" s="8">
        <v>0.20833333333333334</v>
      </c>
      <c r="R257" s="8">
        <v>0.86319444444444438</v>
      </c>
      <c r="S257" s="6">
        <f t="shared" si="9"/>
        <v>15.716666666666665</v>
      </c>
      <c r="T257" s="5">
        <f t="shared" si="10"/>
        <v>5.8331435372081783E-2</v>
      </c>
      <c r="U257" s="3">
        <v>2.21</v>
      </c>
      <c r="V257" s="5">
        <f t="shared" si="11"/>
        <v>2.6394314648000808E-2</v>
      </c>
      <c r="W257" s="3">
        <v>2.6394314648000808E-2</v>
      </c>
    </row>
    <row r="258" spans="1:23" x14ac:dyDescent="0.55000000000000004">
      <c r="A258" s="3">
        <v>39</v>
      </c>
      <c r="B258" s="3" t="s">
        <v>51</v>
      </c>
      <c r="C258" s="3" t="s">
        <v>50</v>
      </c>
      <c r="D258" s="3" t="s">
        <v>9</v>
      </c>
      <c r="E258" s="2" t="s">
        <v>16</v>
      </c>
      <c r="F258" s="3">
        <v>16</v>
      </c>
      <c r="G258" s="4">
        <v>20.9</v>
      </c>
      <c r="H258" s="4">
        <v>105.2</v>
      </c>
      <c r="I258" s="6">
        <v>8.9554859317055566</v>
      </c>
      <c r="J258" s="5">
        <v>3.5999999999999997E-2</v>
      </c>
      <c r="K258" s="4">
        <v>19.8</v>
      </c>
      <c r="L258" s="4">
        <v>92.3</v>
      </c>
      <c r="M258" s="6">
        <v>8.0312284799811202</v>
      </c>
      <c r="N258" s="5">
        <v>3.4000000000000002E-2</v>
      </c>
      <c r="O258" s="5">
        <v>0.92425745172443641</v>
      </c>
      <c r="P258" s="5">
        <v>0.92425745172443641</v>
      </c>
      <c r="Q258" s="8">
        <v>0.20833333333333334</v>
      </c>
      <c r="R258" s="8">
        <v>0.86805555555555547</v>
      </c>
      <c r="S258" s="6">
        <f t="shared" ref="S258:S321" si="12">(R258-Q258)*24</f>
        <v>15.83333333333333</v>
      </c>
      <c r="T258" s="5">
        <f t="shared" ref="T258:T321" si="13">P258/S258</f>
        <v>5.8374154845753888E-2</v>
      </c>
      <c r="U258" s="3">
        <v>2.21</v>
      </c>
      <c r="V258" s="5">
        <f t="shared" ref="V258:V321" si="14">(I258-M258)/U258/S258</f>
        <v>2.6413644726585472E-2</v>
      </c>
      <c r="W258" s="3">
        <v>2.6413644726585472E-2</v>
      </c>
    </row>
    <row r="259" spans="1:23" x14ac:dyDescent="0.55000000000000004">
      <c r="A259" s="3">
        <v>20</v>
      </c>
      <c r="B259" s="3" t="s">
        <v>52</v>
      </c>
      <c r="C259" s="3" t="s">
        <v>50</v>
      </c>
      <c r="D259" s="3" t="s">
        <v>12</v>
      </c>
      <c r="E259" s="2" t="s">
        <v>15</v>
      </c>
      <c r="F259" s="3">
        <v>12</v>
      </c>
      <c r="G259" s="4">
        <v>22.3</v>
      </c>
      <c r="H259" s="4">
        <v>102.5</v>
      </c>
      <c r="I259" s="6">
        <v>8.4901879404676688</v>
      </c>
      <c r="J259" s="5">
        <v>3.9E-2</v>
      </c>
      <c r="K259" s="4">
        <v>19.399999999999999</v>
      </c>
      <c r="L259" s="4">
        <v>86.2</v>
      </c>
      <c r="M259" s="6">
        <v>7.5610724123909234</v>
      </c>
      <c r="N259" s="5">
        <v>3.6999999999999998E-2</v>
      </c>
      <c r="O259" s="5">
        <v>0.92911552807674536</v>
      </c>
      <c r="P259" s="5">
        <v>0.92911552807674536</v>
      </c>
      <c r="Q259" s="8">
        <v>0.21319444444444444</v>
      </c>
      <c r="R259" s="8">
        <v>0.875</v>
      </c>
      <c r="S259" s="6">
        <f t="shared" si="12"/>
        <v>15.883333333333333</v>
      </c>
      <c r="T259" s="5">
        <f t="shared" si="13"/>
        <v>5.8496255702628251E-2</v>
      </c>
      <c r="U259" s="3">
        <v>2.21</v>
      </c>
      <c r="V259" s="5">
        <f t="shared" si="14"/>
        <v>2.6468893983089704E-2</v>
      </c>
      <c r="W259" s="3">
        <v>2.6468893983089704E-2</v>
      </c>
    </row>
    <row r="260" spans="1:23" x14ac:dyDescent="0.55000000000000004">
      <c r="A260" s="3">
        <v>2</v>
      </c>
      <c r="B260" s="3" t="s">
        <v>48</v>
      </c>
      <c r="C260" s="3" t="s">
        <v>49</v>
      </c>
      <c r="D260" s="3" t="s">
        <v>38</v>
      </c>
      <c r="E260" s="3" t="s">
        <v>28</v>
      </c>
      <c r="F260" s="3">
        <v>58</v>
      </c>
      <c r="G260" s="4">
        <v>28.2</v>
      </c>
      <c r="H260" s="4">
        <v>76.400000000000006</v>
      </c>
      <c r="I260" s="6">
        <v>5.671595782604709</v>
      </c>
      <c r="J260" s="5">
        <v>7.2999999999999995E-2</v>
      </c>
      <c r="K260" s="4">
        <v>23.6</v>
      </c>
      <c r="L260" s="4">
        <v>58.3</v>
      </c>
      <c r="M260" s="6">
        <v>4.7102334145187346</v>
      </c>
      <c r="N260" s="5">
        <v>7.1999999999999995E-2</v>
      </c>
      <c r="O260" s="5">
        <v>0.96136236808597442</v>
      </c>
      <c r="P260" s="5">
        <v>0.96136236808597442</v>
      </c>
      <c r="Q260" s="8">
        <v>0.20833333333333334</v>
      </c>
      <c r="R260" s="8">
        <v>0.88888888888888884</v>
      </c>
      <c r="S260" s="6">
        <f t="shared" si="12"/>
        <v>16.333333333333332</v>
      </c>
      <c r="T260" s="5">
        <f t="shared" si="13"/>
        <v>5.8858920495059662E-2</v>
      </c>
      <c r="U260" s="3">
        <v>2.21</v>
      </c>
      <c r="V260" s="5">
        <f t="shared" si="14"/>
        <v>2.663299569912202E-2</v>
      </c>
      <c r="W260" s="3">
        <v>2.663299569912202E-2</v>
      </c>
    </row>
    <row r="261" spans="1:23" x14ac:dyDescent="0.55000000000000004">
      <c r="A261" s="3">
        <v>5</v>
      </c>
      <c r="B261" s="3" t="s">
        <v>48</v>
      </c>
      <c r="C261" s="3" t="s">
        <v>49</v>
      </c>
      <c r="D261" s="3" t="s">
        <v>38</v>
      </c>
      <c r="E261" s="3" t="s">
        <v>30</v>
      </c>
      <c r="F261" s="3">
        <v>65</v>
      </c>
      <c r="G261" s="4">
        <v>27.7</v>
      </c>
      <c r="H261" s="4">
        <v>72.3</v>
      </c>
      <c r="I261" s="6">
        <v>5.4154816875990495</v>
      </c>
      <c r="J261" s="5">
        <v>7.9000000000000001E-2</v>
      </c>
      <c r="K261" s="4">
        <v>22.5</v>
      </c>
      <c r="L261" s="4">
        <v>54</v>
      </c>
      <c r="M261" s="6">
        <v>4.4556348170739168</v>
      </c>
      <c r="N261" s="5">
        <v>7.1999999999999995E-2</v>
      </c>
      <c r="O261" s="5">
        <v>0.95984687052513262</v>
      </c>
      <c r="P261" s="5">
        <v>0.95984687052513262</v>
      </c>
      <c r="Q261" s="8">
        <v>0.20833333333333334</v>
      </c>
      <c r="R261" s="8">
        <v>0.88541666666666663</v>
      </c>
      <c r="S261" s="6">
        <f t="shared" si="12"/>
        <v>16.25</v>
      </c>
      <c r="T261" s="5">
        <f t="shared" si="13"/>
        <v>5.9067499724623544E-2</v>
      </c>
      <c r="U261" s="3">
        <v>2.21</v>
      </c>
      <c r="V261" s="5">
        <f t="shared" si="14"/>
        <v>2.6727375441006129E-2</v>
      </c>
      <c r="W261" s="3">
        <v>2.6727375441006129E-2</v>
      </c>
    </row>
    <row r="262" spans="1:23" x14ac:dyDescent="0.55000000000000004">
      <c r="A262" s="3">
        <v>28</v>
      </c>
      <c r="B262" s="3" t="s">
        <v>53</v>
      </c>
      <c r="C262" s="3" t="s">
        <v>50</v>
      </c>
      <c r="D262" s="3" t="s">
        <v>11</v>
      </c>
      <c r="E262" s="2" t="s">
        <v>17</v>
      </c>
      <c r="F262" s="3">
        <v>19</v>
      </c>
      <c r="G262" s="4">
        <v>22</v>
      </c>
      <c r="H262" s="4">
        <v>74.900000000000006</v>
      </c>
      <c r="I262" s="6">
        <v>6.2402317948482695</v>
      </c>
      <c r="J262" s="5">
        <v>4.2999999999999997E-2</v>
      </c>
      <c r="K262" s="4">
        <v>17.100000000000001</v>
      </c>
      <c r="L262" s="4">
        <v>57.4</v>
      </c>
      <c r="M262" s="6">
        <v>5.2784618524929545</v>
      </c>
      <c r="N262" s="5">
        <v>0.04</v>
      </c>
      <c r="O262" s="5">
        <v>0.96176994235531499</v>
      </c>
      <c r="P262" s="5">
        <v>0.96176994235531499</v>
      </c>
      <c r="Q262" s="8">
        <v>0.19930555555555554</v>
      </c>
      <c r="R262" s="8">
        <v>0.875</v>
      </c>
      <c r="S262" s="6">
        <f t="shared" si="12"/>
        <v>16.216666666666669</v>
      </c>
      <c r="T262" s="5">
        <f t="shared" si="13"/>
        <v>5.9307499014716228E-2</v>
      </c>
      <c r="U262" s="3">
        <v>2.21</v>
      </c>
      <c r="V262" s="5">
        <f t="shared" si="14"/>
        <v>2.6835972404848973E-2</v>
      </c>
      <c r="W262" s="3">
        <v>2.6835972404848973E-2</v>
      </c>
    </row>
    <row r="263" spans="1:23" x14ac:dyDescent="0.55000000000000004">
      <c r="A263" s="3">
        <v>22</v>
      </c>
      <c r="B263" s="3" t="s">
        <v>48</v>
      </c>
      <c r="C263" s="3" t="s">
        <v>49</v>
      </c>
      <c r="D263" s="3" t="s">
        <v>38</v>
      </c>
      <c r="E263" s="3" t="s">
        <v>33</v>
      </c>
      <c r="F263" s="3">
        <v>75</v>
      </c>
      <c r="G263" s="4">
        <v>27</v>
      </c>
      <c r="H263" s="4">
        <v>66.8</v>
      </c>
      <c r="I263" s="6">
        <v>5.0671068419947698</v>
      </c>
      <c r="J263" s="5">
        <v>8.2000000000000003E-2</v>
      </c>
      <c r="K263" s="4">
        <v>23.2</v>
      </c>
      <c r="L263" s="4">
        <v>50.4</v>
      </c>
      <c r="M263" s="6">
        <v>4.1031017443629541</v>
      </c>
      <c r="N263" s="5">
        <v>7.5999999999999998E-2</v>
      </c>
      <c r="O263" s="5">
        <v>0.96400509763181574</v>
      </c>
      <c r="P263" s="5">
        <v>0.96400509763181574</v>
      </c>
      <c r="Q263" s="8">
        <v>0.20833333333333334</v>
      </c>
      <c r="R263" s="8">
        <v>0.88541666666666663</v>
      </c>
      <c r="S263" s="6">
        <f t="shared" si="12"/>
        <v>16.25</v>
      </c>
      <c r="T263" s="5">
        <f t="shared" si="13"/>
        <v>5.9323390623496355E-2</v>
      </c>
      <c r="U263" s="3">
        <v>2.21</v>
      </c>
      <c r="V263" s="5">
        <f t="shared" si="14"/>
        <v>2.6843163178052649E-2</v>
      </c>
      <c r="W263" s="3">
        <v>2.6843163178052649E-2</v>
      </c>
    </row>
    <row r="264" spans="1:23" x14ac:dyDescent="0.55000000000000004">
      <c r="A264" s="3">
        <v>7</v>
      </c>
      <c r="B264" s="3" t="s">
        <v>53</v>
      </c>
      <c r="C264" s="3" t="s">
        <v>49</v>
      </c>
      <c r="D264" s="3" t="s">
        <v>41</v>
      </c>
      <c r="E264" s="3" t="s">
        <v>33</v>
      </c>
      <c r="F264" s="3">
        <v>75</v>
      </c>
      <c r="G264" s="4">
        <v>26</v>
      </c>
      <c r="H264" s="4">
        <v>65.900000000000006</v>
      </c>
      <c r="I264" s="6">
        <v>5.0908900800740051</v>
      </c>
      <c r="J264" s="5">
        <v>7.6999999999999999E-2</v>
      </c>
      <c r="K264" s="4">
        <v>22.5</v>
      </c>
      <c r="L264" s="4">
        <v>50</v>
      </c>
      <c r="M264" s="6">
        <v>4.12558779358696</v>
      </c>
      <c r="N264" s="5">
        <v>6.6000000000000003E-2</v>
      </c>
      <c r="O264" s="5">
        <v>0.96530228648704508</v>
      </c>
      <c r="P264" s="5">
        <v>0.96530228648704508</v>
      </c>
      <c r="Q264" s="8">
        <v>0.20833333333333334</v>
      </c>
      <c r="R264" s="8">
        <v>0.88541666666666663</v>
      </c>
      <c r="S264" s="6">
        <f t="shared" si="12"/>
        <v>16.25</v>
      </c>
      <c r="T264" s="5">
        <f t="shared" si="13"/>
        <v>5.9403217629972006E-2</v>
      </c>
      <c r="U264" s="3">
        <v>2.21</v>
      </c>
      <c r="V264" s="5">
        <f t="shared" si="14"/>
        <v>2.6879283995462449E-2</v>
      </c>
      <c r="W264" s="3">
        <v>2.6879283995462449E-2</v>
      </c>
    </row>
    <row r="265" spans="1:23" x14ac:dyDescent="0.55000000000000004">
      <c r="A265" s="3">
        <v>52</v>
      </c>
      <c r="B265" s="3" t="s">
        <v>48</v>
      </c>
      <c r="C265" s="3" t="s">
        <v>49</v>
      </c>
      <c r="D265" s="3" t="s">
        <v>38</v>
      </c>
      <c r="E265" s="3" t="s">
        <v>35</v>
      </c>
      <c r="F265" s="3">
        <v>82</v>
      </c>
      <c r="G265" s="4">
        <v>31.3</v>
      </c>
      <c r="H265" s="4">
        <v>60.9</v>
      </c>
      <c r="I265" s="6">
        <v>4.2823365758987135</v>
      </c>
      <c r="J265" s="5">
        <v>8.7999999999999995E-2</v>
      </c>
      <c r="K265" s="4">
        <v>27.1</v>
      </c>
      <c r="L265" s="4">
        <v>43.8</v>
      </c>
      <c r="M265" s="6">
        <v>3.3164316361629602</v>
      </c>
      <c r="N265" s="5">
        <v>8.8999999999999996E-2</v>
      </c>
      <c r="O265" s="5">
        <v>0.96590493973575331</v>
      </c>
      <c r="P265" s="5">
        <v>0.96590493973575331</v>
      </c>
      <c r="Q265" s="8">
        <v>0.20833333333333334</v>
      </c>
      <c r="R265" s="8">
        <v>0.88541666666666663</v>
      </c>
      <c r="S265" s="6">
        <f t="shared" si="12"/>
        <v>16.25</v>
      </c>
      <c r="T265" s="5">
        <f t="shared" si="13"/>
        <v>5.9440303983738667E-2</v>
      </c>
      <c r="U265" s="3">
        <v>2.21</v>
      </c>
      <c r="V265" s="5">
        <f t="shared" si="14"/>
        <v>2.689606515101297E-2</v>
      </c>
      <c r="W265" s="3">
        <v>2.689606515101297E-2</v>
      </c>
    </row>
    <row r="266" spans="1:23" x14ac:dyDescent="0.55000000000000004">
      <c r="A266" s="3">
        <v>40</v>
      </c>
      <c r="B266" s="3" t="s">
        <v>48</v>
      </c>
      <c r="C266" s="3" t="s">
        <v>50</v>
      </c>
      <c r="D266" s="3" t="s">
        <v>10</v>
      </c>
      <c r="E266" s="2" t="s">
        <v>15</v>
      </c>
      <c r="F266" s="3">
        <v>12</v>
      </c>
      <c r="G266" s="4">
        <v>22.6</v>
      </c>
      <c r="H266" s="4">
        <v>102.7</v>
      </c>
      <c r="I266" s="6">
        <v>8.4576413975007441</v>
      </c>
      <c r="J266" s="5">
        <v>3.5999999999999997E-2</v>
      </c>
      <c r="K266" s="4">
        <v>19.600000000000001</v>
      </c>
      <c r="L266" s="4">
        <v>86</v>
      </c>
      <c r="M266" s="6">
        <v>7.5131841626750209</v>
      </c>
      <c r="N266" s="5">
        <v>3.4000000000000002E-2</v>
      </c>
      <c r="O266" s="5">
        <v>0.94445723482572319</v>
      </c>
      <c r="P266" s="5">
        <v>0.94445723482572319</v>
      </c>
      <c r="Q266" s="8">
        <v>0.21319444444444444</v>
      </c>
      <c r="R266" s="8">
        <v>0.875</v>
      </c>
      <c r="S266" s="6">
        <f t="shared" si="12"/>
        <v>15.883333333333333</v>
      </c>
      <c r="T266" s="5">
        <f t="shared" si="13"/>
        <v>5.9462155393015102E-2</v>
      </c>
      <c r="U266" s="3">
        <v>2.21</v>
      </c>
      <c r="V266" s="5">
        <f t="shared" si="14"/>
        <v>2.6905952666522671E-2</v>
      </c>
      <c r="W266" s="3">
        <v>2.6905952666522671E-2</v>
      </c>
    </row>
    <row r="267" spans="1:23" x14ac:dyDescent="0.55000000000000004">
      <c r="A267" s="3">
        <v>21</v>
      </c>
      <c r="B267" s="3" t="s">
        <v>48</v>
      </c>
      <c r="C267" s="3" t="s">
        <v>49</v>
      </c>
      <c r="D267" s="3" t="s">
        <v>38</v>
      </c>
      <c r="E267" s="2" t="s">
        <v>20</v>
      </c>
      <c r="F267" s="3">
        <v>30</v>
      </c>
      <c r="G267" s="4">
        <v>27.2</v>
      </c>
      <c r="H267" s="4">
        <v>68.7</v>
      </c>
      <c r="I267" s="6">
        <v>5.192399023005752</v>
      </c>
      <c r="J267" s="5">
        <v>5.2999999999999999E-2</v>
      </c>
      <c r="K267" s="4">
        <v>23.4</v>
      </c>
      <c r="L267" s="4">
        <v>52.1</v>
      </c>
      <c r="M267" s="6">
        <v>4.2253550087412144</v>
      </c>
      <c r="N267" s="5">
        <v>0.05</v>
      </c>
      <c r="O267" s="5">
        <v>0.96704401426453757</v>
      </c>
      <c r="P267" s="5">
        <v>0.96704401426453757</v>
      </c>
      <c r="Q267" s="8">
        <v>0.20833333333333334</v>
      </c>
      <c r="R267" s="8">
        <v>0.88541666666666663</v>
      </c>
      <c r="S267" s="6">
        <f t="shared" si="12"/>
        <v>16.25</v>
      </c>
      <c r="T267" s="5">
        <f t="shared" si="13"/>
        <v>5.9510400877817698E-2</v>
      </c>
      <c r="U267" s="3">
        <v>2.21</v>
      </c>
      <c r="V267" s="5">
        <f t="shared" si="14"/>
        <v>2.6927783202632442E-2</v>
      </c>
      <c r="W267" s="3">
        <v>2.6927783202632442E-2</v>
      </c>
    </row>
    <row r="268" spans="1:23" x14ac:dyDescent="0.55000000000000004">
      <c r="A268" s="3">
        <v>31</v>
      </c>
      <c r="B268" s="3" t="s">
        <v>52</v>
      </c>
      <c r="C268" s="3" t="s">
        <v>49</v>
      </c>
      <c r="D268" s="3" t="s">
        <v>40</v>
      </c>
      <c r="E268" s="2" t="s">
        <v>20</v>
      </c>
      <c r="F268" s="3">
        <v>30</v>
      </c>
      <c r="G268" s="4">
        <v>26.3</v>
      </c>
      <c r="H268" s="4">
        <v>73.2</v>
      </c>
      <c r="I268" s="6">
        <v>5.623812009936314</v>
      </c>
      <c r="J268" s="5">
        <v>4.9000000000000002E-2</v>
      </c>
      <c r="K268" s="4">
        <v>23.2</v>
      </c>
      <c r="L268" s="4">
        <v>57.2</v>
      </c>
      <c r="M268" s="6">
        <v>4.6566948368563681</v>
      </c>
      <c r="N268" s="5">
        <v>4.7E-2</v>
      </c>
      <c r="O268" s="5">
        <v>0.96711717307994594</v>
      </c>
      <c r="P268" s="5">
        <v>0.96711717307994594</v>
      </c>
      <c r="Q268" s="8">
        <v>0.20833333333333334</v>
      </c>
      <c r="R268" s="8">
        <v>0.88541666666666663</v>
      </c>
      <c r="S268" s="6">
        <f t="shared" si="12"/>
        <v>16.25</v>
      </c>
      <c r="T268" s="5">
        <f t="shared" si="13"/>
        <v>5.9514902958765901E-2</v>
      </c>
      <c r="U268" s="3">
        <v>2.21</v>
      </c>
      <c r="V268" s="5">
        <f t="shared" si="14"/>
        <v>2.6929820343332987E-2</v>
      </c>
      <c r="W268" s="3">
        <v>2.6929820343332987E-2</v>
      </c>
    </row>
    <row r="269" spans="1:23" x14ac:dyDescent="0.55000000000000004">
      <c r="A269" s="3">
        <v>35</v>
      </c>
      <c r="B269" s="3" t="s">
        <v>51</v>
      </c>
      <c r="C269" s="3" t="s">
        <v>50</v>
      </c>
      <c r="D269" s="3" t="s">
        <v>9</v>
      </c>
      <c r="E269" s="2" t="s">
        <v>16</v>
      </c>
      <c r="F269" s="3">
        <v>16</v>
      </c>
      <c r="G269" s="4">
        <v>20.9</v>
      </c>
      <c r="H269" s="4">
        <v>100.1</v>
      </c>
      <c r="I269" s="6">
        <v>8.521332146043024</v>
      </c>
      <c r="J269" s="5">
        <v>3.5999999999999997E-2</v>
      </c>
      <c r="K269" s="4">
        <v>19.8</v>
      </c>
      <c r="L269" s="4">
        <v>87.1</v>
      </c>
      <c r="M269" s="6">
        <v>7.5787649036441564</v>
      </c>
      <c r="N269" s="5">
        <v>3.5000000000000003E-2</v>
      </c>
      <c r="O269" s="5">
        <v>0.94256724239886758</v>
      </c>
      <c r="P269" s="5">
        <v>0.94256724239886758</v>
      </c>
      <c r="Q269" s="8">
        <v>0.20833333333333334</v>
      </c>
      <c r="R269" s="8">
        <v>0.86805555555555547</v>
      </c>
      <c r="S269" s="6">
        <f t="shared" si="12"/>
        <v>15.83333333333333</v>
      </c>
      <c r="T269" s="5">
        <f t="shared" si="13"/>
        <v>5.9530562677823223E-2</v>
      </c>
      <c r="U269" s="3">
        <v>2.21</v>
      </c>
      <c r="V269" s="5">
        <f t="shared" si="14"/>
        <v>2.6936906189060285E-2</v>
      </c>
      <c r="W269" s="3">
        <v>2.6936906189060285E-2</v>
      </c>
    </row>
    <row r="270" spans="1:23" x14ac:dyDescent="0.55000000000000004">
      <c r="A270" s="3">
        <v>25</v>
      </c>
      <c r="B270" s="3" t="s">
        <v>53</v>
      </c>
      <c r="C270" s="3" t="s">
        <v>49</v>
      </c>
      <c r="D270" s="3" t="s">
        <v>41</v>
      </c>
      <c r="E270" s="2" t="s">
        <v>8</v>
      </c>
      <c r="F270" s="3">
        <v>5</v>
      </c>
      <c r="G270" s="4">
        <v>21.1</v>
      </c>
      <c r="H270" s="4">
        <v>108.8</v>
      </c>
      <c r="I270" s="6">
        <v>9.2255084687203901</v>
      </c>
      <c r="J270" s="5">
        <v>0.02</v>
      </c>
      <c r="K270" s="4">
        <v>15.7</v>
      </c>
      <c r="L270" s="4">
        <v>87.4</v>
      </c>
      <c r="M270" s="6">
        <v>8.2786896533358654</v>
      </c>
      <c r="N270" s="5">
        <v>1.7999999999999999E-2</v>
      </c>
      <c r="O270" s="5">
        <v>0.94681881538452473</v>
      </c>
      <c r="P270" s="5">
        <v>0.94681881538452473</v>
      </c>
      <c r="Q270" s="8">
        <v>0.20833333333333334</v>
      </c>
      <c r="R270" s="8">
        <v>0.87083333333333324</v>
      </c>
      <c r="S270" s="6">
        <f t="shared" si="12"/>
        <v>15.899999999999997</v>
      </c>
      <c r="T270" s="5">
        <f t="shared" si="13"/>
        <v>5.9548353168838046E-2</v>
      </c>
      <c r="U270" s="3">
        <v>2.21</v>
      </c>
      <c r="V270" s="5">
        <f t="shared" si="14"/>
        <v>2.6944956184994592E-2</v>
      </c>
      <c r="W270" s="3">
        <v>2.6944956184994592E-2</v>
      </c>
    </row>
    <row r="271" spans="1:23" x14ac:dyDescent="0.55000000000000004">
      <c r="A271" s="3">
        <v>6</v>
      </c>
      <c r="B271" s="3" t="s">
        <v>51</v>
      </c>
      <c r="C271" s="3" t="s">
        <v>49</v>
      </c>
      <c r="D271" s="3" t="s">
        <v>39</v>
      </c>
      <c r="E271" s="2" t="s">
        <v>14</v>
      </c>
      <c r="F271" s="3">
        <v>10</v>
      </c>
      <c r="G271" s="4">
        <v>22.4</v>
      </c>
      <c r="H271" s="4">
        <v>98.4</v>
      </c>
      <c r="I271" s="6">
        <v>8.1348421704861842</v>
      </c>
      <c r="J271" s="5">
        <v>2.1999999999999999E-2</v>
      </c>
      <c r="K271" s="4">
        <v>20.100000000000001</v>
      </c>
      <c r="L271" s="4">
        <v>83.1</v>
      </c>
      <c r="M271" s="6">
        <v>7.1874214756715027</v>
      </c>
      <c r="N271" s="5">
        <v>2.1999999999999999E-2</v>
      </c>
      <c r="O271" s="5">
        <v>0.9474206948146815</v>
      </c>
      <c r="P271" s="5">
        <v>0.9474206948146815</v>
      </c>
      <c r="Q271" s="8">
        <v>0.20555555555555557</v>
      </c>
      <c r="R271" s="8">
        <v>0.86805555555555547</v>
      </c>
      <c r="S271" s="6">
        <f t="shared" si="12"/>
        <v>15.899999999999997</v>
      </c>
      <c r="T271" s="5">
        <f t="shared" si="13"/>
        <v>5.958620722104916E-2</v>
      </c>
      <c r="U271" s="3">
        <v>2.21</v>
      </c>
      <c r="V271" s="5">
        <f t="shared" si="14"/>
        <v>2.6962084715406863E-2</v>
      </c>
      <c r="W271" s="3">
        <v>2.6962084715406863E-2</v>
      </c>
    </row>
    <row r="272" spans="1:23" x14ac:dyDescent="0.55000000000000004">
      <c r="A272" s="3">
        <v>16</v>
      </c>
      <c r="B272" s="3" t="s">
        <v>52</v>
      </c>
      <c r="C272" s="3" t="s">
        <v>50</v>
      </c>
      <c r="D272" s="3" t="s">
        <v>12</v>
      </c>
      <c r="E272" s="2" t="s">
        <v>8</v>
      </c>
      <c r="F272" s="3">
        <v>5</v>
      </c>
      <c r="G272" s="4">
        <v>21.1</v>
      </c>
      <c r="H272" s="4">
        <v>116.1</v>
      </c>
      <c r="I272" s="6">
        <v>9.844499386198871</v>
      </c>
      <c r="J272" s="5">
        <v>3.3000000000000002E-2</v>
      </c>
      <c r="K272" s="4">
        <v>15.3</v>
      </c>
      <c r="L272" s="4">
        <v>93.1</v>
      </c>
      <c r="M272" s="6">
        <v>8.8945832574824237</v>
      </c>
      <c r="N272" s="5">
        <v>2.9000000000000001E-2</v>
      </c>
      <c r="O272" s="5">
        <v>0.94991612871644726</v>
      </c>
      <c r="P272" s="5">
        <v>0.94991612871644726</v>
      </c>
      <c r="Q272" s="8">
        <v>0.20833333333333334</v>
      </c>
      <c r="R272" s="8">
        <v>0.87083333333333324</v>
      </c>
      <c r="S272" s="6">
        <f t="shared" si="12"/>
        <v>15.899999999999997</v>
      </c>
      <c r="T272" s="5">
        <f t="shared" si="13"/>
        <v>5.9743152749462104E-2</v>
      </c>
      <c r="U272" s="3">
        <v>2.21</v>
      </c>
      <c r="V272" s="5">
        <f t="shared" si="14"/>
        <v>2.7033100791611812E-2</v>
      </c>
      <c r="W272" s="3">
        <v>2.7033100791611812E-2</v>
      </c>
    </row>
    <row r="273" spans="1:23" x14ac:dyDescent="0.55000000000000004">
      <c r="A273" s="3">
        <v>14</v>
      </c>
      <c r="B273" s="3" t="s">
        <v>48</v>
      </c>
      <c r="C273" s="3" t="s">
        <v>50</v>
      </c>
      <c r="D273" s="3" t="s">
        <v>10</v>
      </c>
      <c r="E273" s="2" t="s">
        <v>8</v>
      </c>
      <c r="F273" s="3">
        <v>5</v>
      </c>
      <c r="G273" s="4">
        <v>21</v>
      </c>
      <c r="H273" s="4">
        <v>125.6</v>
      </c>
      <c r="I273" s="6">
        <v>10.671032146449337</v>
      </c>
      <c r="J273" s="5">
        <v>3.6999999999999998E-2</v>
      </c>
      <c r="K273" s="4">
        <v>15.6</v>
      </c>
      <c r="L273" s="4">
        <v>102.4</v>
      </c>
      <c r="M273" s="6">
        <v>9.7202921954929078</v>
      </c>
      <c r="N273" s="5">
        <v>3.2000000000000001E-2</v>
      </c>
      <c r="O273" s="5">
        <v>0.95073995095642871</v>
      </c>
      <c r="P273" s="5">
        <v>0.95073995095642871</v>
      </c>
      <c r="Q273" s="8">
        <v>0.20833333333333334</v>
      </c>
      <c r="R273" s="8">
        <v>0.87083333333333324</v>
      </c>
      <c r="S273" s="6">
        <f t="shared" si="12"/>
        <v>15.899999999999997</v>
      </c>
      <c r="T273" s="5">
        <f t="shared" si="13"/>
        <v>5.9794965468957795E-2</v>
      </c>
      <c r="U273" s="3">
        <v>2.21</v>
      </c>
      <c r="V273" s="5">
        <f t="shared" si="14"/>
        <v>2.7056545461066873E-2</v>
      </c>
      <c r="W273" s="3">
        <v>2.7056545461066873E-2</v>
      </c>
    </row>
    <row r="274" spans="1:23" x14ac:dyDescent="0.55000000000000004">
      <c r="A274" s="3">
        <v>63</v>
      </c>
      <c r="B274" s="3" t="s">
        <v>51</v>
      </c>
      <c r="C274" s="3" t="s">
        <v>49</v>
      </c>
      <c r="D274" s="3" t="s">
        <v>39</v>
      </c>
      <c r="E274" s="2" t="s">
        <v>14</v>
      </c>
      <c r="F274" s="3">
        <v>10</v>
      </c>
      <c r="G274" s="4">
        <v>21.9</v>
      </c>
      <c r="H274" s="4">
        <v>97.7</v>
      </c>
      <c r="I274" s="6">
        <v>8.1556338257447631</v>
      </c>
      <c r="J274" s="5">
        <v>2.1000000000000001E-2</v>
      </c>
      <c r="K274" s="4">
        <v>19.8</v>
      </c>
      <c r="L274" s="4">
        <v>82.8</v>
      </c>
      <c r="M274" s="6">
        <v>7.2046123309039736</v>
      </c>
      <c r="N274" s="5">
        <v>2.1000000000000001E-2</v>
      </c>
      <c r="O274" s="5">
        <v>0.95102149484078957</v>
      </c>
      <c r="P274" s="5">
        <v>0.95102149484078957</v>
      </c>
      <c r="Q274" s="8">
        <v>0.20555555555555557</v>
      </c>
      <c r="R274" s="8">
        <v>0.86805555555555547</v>
      </c>
      <c r="S274" s="6">
        <f t="shared" si="12"/>
        <v>15.899999999999997</v>
      </c>
      <c r="T274" s="5">
        <f t="shared" si="13"/>
        <v>5.9812672631496214E-2</v>
      </c>
      <c r="U274" s="3">
        <v>2.21</v>
      </c>
      <c r="V274" s="5">
        <f t="shared" si="14"/>
        <v>2.706455775180824E-2</v>
      </c>
      <c r="W274" s="3">
        <v>2.706455775180824E-2</v>
      </c>
    </row>
    <row r="275" spans="1:23" x14ac:dyDescent="0.55000000000000004">
      <c r="A275" s="3">
        <v>52</v>
      </c>
      <c r="B275" s="3" t="s">
        <v>48</v>
      </c>
      <c r="C275" s="3" t="s">
        <v>49</v>
      </c>
      <c r="D275" s="3" t="s">
        <v>38</v>
      </c>
      <c r="E275" s="2" t="s">
        <v>8</v>
      </c>
      <c r="F275" s="3">
        <v>5</v>
      </c>
      <c r="G275" s="4">
        <v>20.9</v>
      </c>
      <c r="H275" s="4">
        <v>113</v>
      </c>
      <c r="I275" s="6">
        <v>9.6194858391894282</v>
      </c>
      <c r="J275" s="5">
        <v>1.7999999999999999E-2</v>
      </c>
      <c r="K275" s="4">
        <v>15.7</v>
      </c>
      <c r="L275" s="4">
        <v>91.5</v>
      </c>
      <c r="M275" s="6">
        <v>8.667049236615922</v>
      </c>
      <c r="N275" s="5">
        <v>1.7000000000000001E-2</v>
      </c>
      <c r="O275" s="5">
        <v>0.95243660257350626</v>
      </c>
      <c r="P275" s="5">
        <v>0.95243660257350626</v>
      </c>
      <c r="Q275" s="8">
        <v>0.20833333333333334</v>
      </c>
      <c r="R275" s="8">
        <v>0.87083333333333324</v>
      </c>
      <c r="S275" s="6">
        <f t="shared" si="12"/>
        <v>15.899999999999997</v>
      </c>
      <c r="T275" s="5">
        <f t="shared" si="13"/>
        <v>5.9901673117830595E-2</v>
      </c>
      <c r="U275" s="3">
        <v>2.21</v>
      </c>
      <c r="V275" s="5">
        <f t="shared" si="14"/>
        <v>2.710482946508172E-2</v>
      </c>
      <c r="W275" s="3">
        <v>2.710482946508172E-2</v>
      </c>
    </row>
    <row r="276" spans="1:23" x14ac:dyDescent="0.55000000000000004">
      <c r="A276" s="3">
        <v>5</v>
      </c>
      <c r="B276" s="3" t="s">
        <v>48</v>
      </c>
      <c r="C276" s="3" t="s">
        <v>49</v>
      </c>
      <c r="D276" s="3" t="s">
        <v>38</v>
      </c>
      <c r="E276" s="3" t="s">
        <v>34</v>
      </c>
      <c r="F276" s="3">
        <v>79</v>
      </c>
      <c r="G276" s="4">
        <v>28.3</v>
      </c>
      <c r="H276" s="4">
        <v>57.5</v>
      </c>
      <c r="I276" s="6">
        <v>4.2609400644253812</v>
      </c>
      <c r="J276" s="5">
        <v>8.5999999999999993E-2</v>
      </c>
      <c r="K276" s="4">
        <v>24.8</v>
      </c>
      <c r="L276" s="4">
        <v>41.6</v>
      </c>
      <c r="M276" s="6">
        <v>3.2858969279934582</v>
      </c>
      <c r="N276" s="5">
        <v>0.08</v>
      </c>
      <c r="O276" s="5">
        <v>0.97504313643192297</v>
      </c>
      <c r="P276" s="5">
        <v>0.97504313643192297</v>
      </c>
      <c r="Q276" s="8">
        <v>0.20833333333333334</v>
      </c>
      <c r="R276" s="8">
        <v>0.88541666666666663</v>
      </c>
      <c r="S276" s="6">
        <f t="shared" si="12"/>
        <v>16.25</v>
      </c>
      <c r="T276" s="5">
        <f t="shared" si="13"/>
        <v>6.0002654549656802E-2</v>
      </c>
      <c r="U276" s="3">
        <v>2.21</v>
      </c>
      <c r="V276" s="5">
        <f t="shared" si="14"/>
        <v>2.7150522420659184E-2</v>
      </c>
      <c r="W276" s="3">
        <v>2.7150522420659184E-2</v>
      </c>
    </row>
    <row r="277" spans="1:23" x14ac:dyDescent="0.55000000000000004">
      <c r="A277" s="3">
        <v>31</v>
      </c>
      <c r="B277" s="3" t="s">
        <v>52</v>
      </c>
      <c r="C277" s="3" t="s">
        <v>49</v>
      </c>
      <c r="D277" s="3" t="s">
        <v>40</v>
      </c>
      <c r="E277" s="2" t="s">
        <v>14</v>
      </c>
      <c r="F277" s="3">
        <v>10</v>
      </c>
      <c r="G277" s="4">
        <v>22.2</v>
      </c>
      <c r="H277" s="4">
        <v>94.1</v>
      </c>
      <c r="I277" s="6">
        <v>7.8095079856778513</v>
      </c>
      <c r="J277" s="5">
        <v>2.3E-2</v>
      </c>
      <c r="K277" s="4">
        <v>20</v>
      </c>
      <c r="L277" s="4">
        <v>79.099999999999994</v>
      </c>
      <c r="M277" s="6">
        <v>6.855145441854626</v>
      </c>
      <c r="N277" s="5">
        <v>2.3E-2</v>
      </c>
      <c r="O277" s="5">
        <v>0.95436254382322527</v>
      </c>
      <c r="P277" s="5">
        <v>0.95436254382322527</v>
      </c>
      <c r="Q277" s="8">
        <v>0.20555555555555557</v>
      </c>
      <c r="R277" s="8">
        <v>0.86805555555555547</v>
      </c>
      <c r="S277" s="6">
        <f t="shared" si="12"/>
        <v>15.899999999999997</v>
      </c>
      <c r="T277" s="5">
        <f t="shared" si="13"/>
        <v>6.002280149831607E-2</v>
      </c>
      <c r="U277" s="3">
        <v>2.21</v>
      </c>
      <c r="V277" s="5">
        <f t="shared" si="14"/>
        <v>2.7159638687020843E-2</v>
      </c>
      <c r="W277" s="3">
        <v>2.7159638687020843E-2</v>
      </c>
    </row>
    <row r="278" spans="1:23" x14ac:dyDescent="0.55000000000000004">
      <c r="A278" s="3">
        <v>5</v>
      </c>
      <c r="B278" s="3" t="s">
        <v>48</v>
      </c>
      <c r="C278" s="3" t="s">
        <v>49</v>
      </c>
      <c r="D278" s="3" t="s">
        <v>38</v>
      </c>
      <c r="E278" s="2" t="s">
        <v>24</v>
      </c>
      <c r="F278" s="3">
        <v>44</v>
      </c>
      <c r="G278" s="4">
        <v>25.4</v>
      </c>
      <c r="H278" s="4">
        <v>78</v>
      </c>
      <c r="I278" s="6">
        <v>6.0926930170828699</v>
      </c>
      <c r="J278" s="5">
        <v>6.5000000000000002E-2</v>
      </c>
      <c r="K278" s="4">
        <v>21</v>
      </c>
      <c r="L278" s="4">
        <v>59.8</v>
      </c>
      <c r="M278" s="6">
        <v>5.0806347321470566</v>
      </c>
      <c r="N278" s="5">
        <v>5.8999999999999997E-2</v>
      </c>
      <c r="O278" s="5">
        <v>1.0120582849358133</v>
      </c>
      <c r="P278" s="5">
        <v>1.0120582849358133</v>
      </c>
      <c r="Q278" s="8">
        <v>0.20277777777777781</v>
      </c>
      <c r="R278" s="8">
        <v>0.90277777777777779</v>
      </c>
      <c r="S278" s="6">
        <f t="shared" si="12"/>
        <v>16.799999999999997</v>
      </c>
      <c r="T278" s="5">
        <f t="shared" si="13"/>
        <v>6.0241564579512706E-2</v>
      </c>
      <c r="U278" s="3">
        <v>2.21</v>
      </c>
      <c r="V278" s="5">
        <f t="shared" si="14"/>
        <v>2.7258626506566835E-2</v>
      </c>
      <c r="W278" s="3">
        <v>2.7258626506566835E-2</v>
      </c>
    </row>
    <row r="279" spans="1:23" x14ac:dyDescent="0.55000000000000004">
      <c r="A279" s="3">
        <v>48</v>
      </c>
      <c r="B279" s="3" t="s">
        <v>52</v>
      </c>
      <c r="C279" s="3" t="s">
        <v>49</v>
      </c>
      <c r="D279" s="3" t="s">
        <v>40</v>
      </c>
      <c r="E279" s="3" t="s">
        <v>28</v>
      </c>
      <c r="F279" s="3">
        <v>58</v>
      </c>
      <c r="G279" s="4">
        <v>27.8</v>
      </c>
      <c r="H279" s="4">
        <v>77.5</v>
      </c>
      <c r="I279" s="6">
        <v>5.7945682266353318</v>
      </c>
      <c r="J279" s="5">
        <v>8.5000000000000006E-2</v>
      </c>
      <c r="K279" s="4">
        <v>23.3</v>
      </c>
      <c r="L279" s="4">
        <v>59.2</v>
      </c>
      <c r="M279" s="6">
        <v>4.8103285169846135</v>
      </c>
      <c r="N279" s="5">
        <v>7.5999999999999998E-2</v>
      </c>
      <c r="O279" s="5">
        <v>0.98423970965071828</v>
      </c>
      <c r="P279" s="5">
        <v>0.98423970965071828</v>
      </c>
      <c r="Q279" s="8">
        <v>0.20833333333333334</v>
      </c>
      <c r="R279" s="8">
        <v>0.88888888888888884</v>
      </c>
      <c r="S279" s="6">
        <f t="shared" si="12"/>
        <v>16.333333333333332</v>
      </c>
      <c r="T279" s="5">
        <f t="shared" si="13"/>
        <v>6.025957406024806E-2</v>
      </c>
      <c r="U279" s="3">
        <v>2.21</v>
      </c>
      <c r="V279" s="5">
        <f t="shared" si="14"/>
        <v>2.7266775592872428E-2</v>
      </c>
      <c r="W279" s="3">
        <v>2.7266775592872428E-2</v>
      </c>
    </row>
    <row r="280" spans="1:23" x14ac:dyDescent="0.55000000000000004">
      <c r="A280" s="3">
        <v>9</v>
      </c>
      <c r="B280" s="3" t="s">
        <v>48</v>
      </c>
      <c r="C280" s="3" t="s">
        <v>50</v>
      </c>
      <c r="D280" s="3" t="s">
        <v>10</v>
      </c>
      <c r="E280" s="2" t="s">
        <v>8</v>
      </c>
      <c r="F280" s="3">
        <v>5</v>
      </c>
      <c r="G280" s="4">
        <v>20.9</v>
      </c>
      <c r="H280" s="4">
        <v>128.19999999999999</v>
      </c>
      <c r="I280" s="6">
        <v>10.913434376850304</v>
      </c>
      <c r="J280" s="5">
        <v>0.04</v>
      </c>
      <c r="K280" s="4">
        <v>15.7</v>
      </c>
      <c r="L280" s="4">
        <v>105.1</v>
      </c>
      <c r="M280" s="6">
        <v>9.9552663909107473</v>
      </c>
      <c r="N280" s="5">
        <v>3.4000000000000002E-2</v>
      </c>
      <c r="O280" s="5">
        <v>0.9581679859395571</v>
      </c>
      <c r="P280" s="5">
        <v>0.9581679859395571</v>
      </c>
      <c r="Q280" s="8">
        <v>0.20833333333333334</v>
      </c>
      <c r="R280" s="8">
        <v>0.87083333333333324</v>
      </c>
      <c r="S280" s="6">
        <f t="shared" si="12"/>
        <v>15.899999999999997</v>
      </c>
      <c r="T280" s="5">
        <f t="shared" si="13"/>
        <v>6.0262137480475299E-2</v>
      </c>
      <c r="U280" s="3">
        <v>2.21</v>
      </c>
      <c r="V280" s="5">
        <f t="shared" si="14"/>
        <v>2.7267935511527286E-2</v>
      </c>
      <c r="W280" s="3">
        <v>2.7267935511527286E-2</v>
      </c>
    </row>
    <row r="281" spans="1:23" x14ac:dyDescent="0.55000000000000004">
      <c r="A281" s="3">
        <v>51</v>
      </c>
      <c r="B281" s="3" t="s">
        <v>48</v>
      </c>
      <c r="C281" s="3" t="s">
        <v>50</v>
      </c>
      <c r="D281" s="3" t="s">
        <v>10</v>
      </c>
      <c r="E281" s="3" t="s">
        <v>35</v>
      </c>
      <c r="F281" s="3">
        <v>82</v>
      </c>
      <c r="G281" s="4">
        <v>31.8</v>
      </c>
      <c r="H281" s="4">
        <v>63.2</v>
      </c>
      <c r="I281" s="6">
        <v>4.4062361702379684</v>
      </c>
      <c r="J281" s="5">
        <v>7.8E-2</v>
      </c>
      <c r="K281" s="4">
        <v>27.3</v>
      </c>
      <c r="L281" s="4">
        <v>45.4</v>
      </c>
      <c r="M281" s="6">
        <v>3.425173694344541</v>
      </c>
      <c r="N281" s="5">
        <v>7.6999999999999999E-2</v>
      </c>
      <c r="O281" s="5">
        <v>0.98106247589342743</v>
      </c>
      <c r="P281" s="5">
        <v>0.98106247589342743</v>
      </c>
      <c r="Q281" s="8">
        <v>0.20833333333333334</v>
      </c>
      <c r="R281" s="8">
        <v>0.88541666666666663</v>
      </c>
      <c r="S281" s="6">
        <f t="shared" si="12"/>
        <v>16.25</v>
      </c>
      <c r="T281" s="5">
        <f t="shared" si="13"/>
        <v>6.0373075439595532E-2</v>
      </c>
      <c r="U281" s="3">
        <v>2.21</v>
      </c>
      <c r="V281" s="5">
        <f t="shared" si="14"/>
        <v>2.73181336830749E-2</v>
      </c>
      <c r="W281" s="3">
        <v>2.73181336830749E-2</v>
      </c>
    </row>
    <row r="282" spans="1:23" x14ac:dyDescent="0.55000000000000004">
      <c r="A282" s="3">
        <v>16</v>
      </c>
      <c r="B282" s="3" t="s">
        <v>52</v>
      </c>
      <c r="C282" s="3" t="s">
        <v>50</v>
      </c>
      <c r="D282" s="3" t="s">
        <v>12</v>
      </c>
      <c r="E282" s="2" t="s">
        <v>14</v>
      </c>
      <c r="F282" s="3">
        <v>10</v>
      </c>
      <c r="G282" s="4">
        <v>22.1</v>
      </c>
      <c r="H282" s="4">
        <v>83.4</v>
      </c>
      <c r="I282" s="6">
        <v>6.9349274363911153</v>
      </c>
      <c r="J282" s="5">
        <v>3.7999999999999999E-2</v>
      </c>
      <c r="K282" s="4">
        <v>19.899999999999999</v>
      </c>
      <c r="L282" s="4">
        <v>68.8</v>
      </c>
      <c r="M282" s="6">
        <v>5.9744512785626229</v>
      </c>
      <c r="N282" s="5">
        <v>3.5999999999999997E-2</v>
      </c>
      <c r="O282" s="5">
        <v>0.96047615782849238</v>
      </c>
      <c r="P282" s="5">
        <v>0.96047615782849238</v>
      </c>
      <c r="Q282" s="8">
        <v>0.20555555555555557</v>
      </c>
      <c r="R282" s="8">
        <v>0.86805555555555547</v>
      </c>
      <c r="S282" s="6">
        <f t="shared" si="12"/>
        <v>15.899999999999997</v>
      </c>
      <c r="T282" s="5">
        <f t="shared" si="13"/>
        <v>6.0407305523804564E-2</v>
      </c>
      <c r="U282" s="3">
        <v>2.21</v>
      </c>
      <c r="V282" s="5">
        <f t="shared" si="14"/>
        <v>2.7333622408961342E-2</v>
      </c>
      <c r="W282" s="3">
        <v>2.7333622408961342E-2</v>
      </c>
    </row>
    <row r="283" spans="1:23" x14ac:dyDescent="0.55000000000000004">
      <c r="A283" s="3">
        <v>46</v>
      </c>
      <c r="B283" s="3" t="s">
        <v>51</v>
      </c>
      <c r="C283" s="3" t="s">
        <v>49</v>
      </c>
      <c r="D283" s="3" t="s">
        <v>39</v>
      </c>
      <c r="E283" s="2" t="s">
        <v>8</v>
      </c>
      <c r="F283" s="3">
        <v>5</v>
      </c>
      <c r="G283" s="4">
        <v>21</v>
      </c>
      <c r="H283" s="4">
        <v>107.3</v>
      </c>
      <c r="I283" s="6">
        <v>9.1162559658759044</v>
      </c>
      <c r="J283" s="5">
        <v>0.02</v>
      </c>
      <c r="K283" s="4">
        <v>15.7</v>
      </c>
      <c r="L283" s="4">
        <v>86.1</v>
      </c>
      <c r="M283" s="6">
        <v>8.1555512488812116</v>
      </c>
      <c r="N283" s="5">
        <v>1.7999999999999999E-2</v>
      </c>
      <c r="O283" s="5">
        <v>0.96070471699469273</v>
      </c>
      <c r="P283" s="5">
        <v>0.96070471699469273</v>
      </c>
      <c r="Q283" s="8">
        <v>0.20833333333333334</v>
      </c>
      <c r="R283" s="8">
        <v>0.87083333333333324</v>
      </c>
      <c r="S283" s="6">
        <f t="shared" si="12"/>
        <v>15.899999999999997</v>
      </c>
      <c r="T283" s="5">
        <f t="shared" si="13"/>
        <v>6.0421680314131629E-2</v>
      </c>
      <c r="U283" s="3">
        <v>2.21</v>
      </c>
      <c r="V283" s="5">
        <f t="shared" si="14"/>
        <v>2.7340126838973588E-2</v>
      </c>
      <c r="W283" s="3">
        <v>2.7340126838973588E-2</v>
      </c>
    </row>
    <row r="284" spans="1:23" x14ac:dyDescent="0.55000000000000004">
      <c r="A284" s="3">
        <v>5</v>
      </c>
      <c r="B284" s="3" t="s">
        <v>48</v>
      </c>
      <c r="C284" s="3" t="s">
        <v>49</v>
      </c>
      <c r="D284" s="3" t="s">
        <v>38</v>
      </c>
      <c r="E284" s="2" t="s">
        <v>18</v>
      </c>
      <c r="F284" s="3">
        <v>24</v>
      </c>
      <c r="G284" s="4">
        <v>22.2</v>
      </c>
      <c r="H284" s="4">
        <v>88.2</v>
      </c>
      <c r="I284" s="6">
        <v>7.3198576443866799</v>
      </c>
      <c r="J284" s="5">
        <v>3.3000000000000002E-2</v>
      </c>
      <c r="K284" s="4">
        <v>19.899999999999999</v>
      </c>
      <c r="L284" s="4">
        <v>73.099999999999994</v>
      </c>
      <c r="M284" s="6">
        <v>6.347854483472787</v>
      </c>
      <c r="N284" s="5">
        <v>3.3000000000000002E-2</v>
      </c>
      <c r="O284" s="5">
        <v>0.97200316091389283</v>
      </c>
      <c r="P284" s="5">
        <v>0.97200316091389283</v>
      </c>
      <c r="Q284" s="8">
        <v>0.21180555555555555</v>
      </c>
      <c r="R284" s="8">
        <v>0.88194444444444453</v>
      </c>
      <c r="S284" s="6">
        <f t="shared" si="12"/>
        <v>16.083333333333336</v>
      </c>
      <c r="T284" s="5">
        <f t="shared" si="13"/>
        <v>6.0435429694128046E-2</v>
      </c>
      <c r="U284" s="3">
        <v>2.21</v>
      </c>
      <c r="V284" s="5">
        <f t="shared" si="14"/>
        <v>2.7346348277885995E-2</v>
      </c>
      <c r="W284" s="3">
        <v>2.7346348277885995E-2</v>
      </c>
    </row>
    <row r="285" spans="1:23" x14ac:dyDescent="0.55000000000000004">
      <c r="A285" s="3">
        <v>48</v>
      </c>
      <c r="B285" s="3" t="s">
        <v>52</v>
      </c>
      <c r="C285" s="3" t="s">
        <v>49</v>
      </c>
      <c r="D285" s="3" t="s">
        <v>40</v>
      </c>
      <c r="E285" s="3" t="s">
        <v>35</v>
      </c>
      <c r="F285" s="3">
        <v>82</v>
      </c>
      <c r="G285" s="4">
        <v>30.5</v>
      </c>
      <c r="H285" s="4">
        <v>57</v>
      </c>
      <c r="I285" s="6">
        <v>4.0637508127907997</v>
      </c>
      <c r="J285" s="5">
        <v>9.7000000000000003E-2</v>
      </c>
      <c r="K285" s="4">
        <v>26.7</v>
      </c>
      <c r="L285" s="4">
        <v>40.4</v>
      </c>
      <c r="M285" s="6">
        <v>3.0812805340589038</v>
      </c>
      <c r="N285" s="5">
        <v>9.0999999999999998E-2</v>
      </c>
      <c r="O285" s="5">
        <v>0.98247027873189596</v>
      </c>
      <c r="P285" s="5">
        <v>0.98247027873189596</v>
      </c>
      <c r="Q285" s="8">
        <v>0.20833333333333334</v>
      </c>
      <c r="R285" s="8">
        <v>0.88541666666666663</v>
      </c>
      <c r="S285" s="6">
        <f t="shared" si="12"/>
        <v>16.25</v>
      </c>
      <c r="T285" s="5">
        <f t="shared" si="13"/>
        <v>6.0459709460424366E-2</v>
      </c>
      <c r="U285" s="3">
        <v>2.21</v>
      </c>
      <c r="V285" s="5">
        <f t="shared" si="14"/>
        <v>2.7357334597477089E-2</v>
      </c>
      <c r="W285" s="3">
        <v>2.7357334597477089E-2</v>
      </c>
    </row>
    <row r="286" spans="1:23" x14ac:dyDescent="0.55000000000000004">
      <c r="A286" s="3">
        <v>13</v>
      </c>
      <c r="B286" s="3" t="s">
        <v>53</v>
      </c>
      <c r="C286" s="3" t="s">
        <v>50</v>
      </c>
      <c r="D286" s="3" t="s">
        <v>11</v>
      </c>
      <c r="E286" s="2" t="s">
        <v>8</v>
      </c>
      <c r="F286" s="3">
        <v>5</v>
      </c>
      <c r="G286" s="4">
        <v>21</v>
      </c>
      <c r="H286" s="4">
        <v>127.3</v>
      </c>
      <c r="I286" s="6">
        <v>10.815464906393315</v>
      </c>
      <c r="J286" s="5">
        <v>3.3000000000000002E-2</v>
      </c>
      <c r="K286" s="4">
        <v>15.7</v>
      </c>
      <c r="L286" s="4">
        <v>104</v>
      </c>
      <c r="M286" s="6">
        <v>9.851072356372196</v>
      </c>
      <c r="N286" s="5">
        <v>0.03</v>
      </c>
      <c r="O286" s="5">
        <v>0.96439255002111857</v>
      </c>
      <c r="P286" s="5">
        <v>0.96439255002111857</v>
      </c>
      <c r="Q286" s="8">
        <v>0.20833333333333334</v>
      </c>
      <c r="R286" s="8">
        <v>0.87083333333333324</v>
      </c>
      <c r="S286" s="6">
        <f t="shared" si="12"/>
        <v>15.899999999999997</v>
      </c>
      <c r="T286" s="5">
        <f t="shared" si="13"/>
        <v>6.065361949818357E-2</v>
      </c>
      <c r="U286" s="3">
        <v>2.21</v>
      </c>
      <c r="V286" s="5">
        <f t="shared" si="14"/>
        <v>2.7445076696010665E-2</v>
      </c>
      <c r="W286" s="3">
        <v>2.7445076696010665E-2</v>
      </c>
    </row>
    <row r="287" spans="1:23" x14ac:dyDescent="0.55000000000000004">
      <c r="A287" s="3">
        <v>57</v>
      </c>
      <c r="B287" s="3" t="s">
        <v>52</v>
      </c>
      <c r="C287" s="3" t="s">
        <v>50</v>
      </c>
      <c r="D287" s="3" t="s">
        <v>12</v>
      </c>
      <c r="E287" s="2" t="s">
        <v>20</v>
      </c>
      <c r="F287" s="3">
        <v>30</v>
      </c>
      <c r="G287" s="4">
        <v>27.4</v>
      </c>
      <c r="H287" s="4">
        <v>92.9</v>
      </c>
      <c r="I287" s="6">
        <v>6.9961469595751717</v>
      </c>
      <c r="J287" s="5">
        <v>0.05</v>
      </c>
      <c r="K287" s="4">
        <v>23.4</v>
      </c>
      <c r="L287" s="4">
        <v>74.099999999999994</v>
      </c>
      <c r="M287" s="6">
        <v>6.0095740143517071</v>
      </c>
      <c r="N287" s="5">
        <v>4.9000000000000002E-2</v>
      </c>
      <c r="O287" s="5">
        <v>0.98657294522346461</v>
      </c>
      <c r="P287" s="5">
        <v>0.98657294522346461</v>
      </c>
      <c r="Q287" s="8">
        <v>0.20833333333333334</v>
      </c>
      <c r="R287" s="8">
        <v>0.88541666666666663</v>
      </c>
      <c r="S287" s="6">
        <f t="shared" si="12"/>
        <v>16.25</v>
      </c>
      <c r="T287" s="5">
        <f t="shared" si="13"/>
        <v>6.0712181244520901E-2</v>
      </c>
      <c r="U287" s="3">
        <v>2.21</v>
      </c>
      <c r="V287" s="5">
        <f t="shared" si="14"/>
        <v>2.7471575223765112E-2</v>
      </c>
      <c r="W287" s="3">
        <v>2.7471575223765112E-2</v>
      </c>
    </row>
    <row r="288" spans="1:23" x14ac:dyDescent="0.55000000000000004">
      <c r="A288" s="3">
        <v>4</v>
      </c>
      <c r="B288" s="3" t="s">
        <v>48</v>
      </c>
      <c r="C288" s="3" t="s">
        <v>49</v>
      </c>
      <c r="D288" s="3" t="s">
        <v>38</v>
      </c>
      <c r="E288" s="2" t="s">
        <v>18</v>
      </c>
      <c r="F288" s="3">
        <v>24</v>
      </c>
      <c r="G288" s="4">
        <v>22.3</v>
      </c>
      <c r="H288" s="4">
        <v>86.6</v>
      </c>
      <c r="I288" s="6">
        <v>7.1731734209219518</v>
      </c>
      <c r="J288" s="5">
        <v>3.2000000000000001E-2</v>
      </c>
      <c r="K288" s="4">
        <v>20</v>
      </c>
      <c r="L288" s="4">
        <v>71.5</v>
      </c>
      <c r="M288" s="6">
        <v>6.1964968279722594</v>
      </c>
      <c r="N288" s="5">
        <v>3.2000000000000001E-2</v>
      </c>
      <c r="O288" s="5">
        <v>0.97667659294969233</v>
      </c>
      <c r="P288" s="5">
        <v>0.97667659294969233</v>
      </c>
      <c r="Q288" s="8">
        <v>0.21180555555555555</v>
      </c>
      <c r="R288" s="8">
        <v>0.88194444444444453</v>
      </c>
      <c r="S288" s="6">
        <f t="shared" si="12"/>
        <v>16.083333333333336</v>
      </c>
      <c r="T288" s="5">
        <f t="shared" si="13"/>
        <v>6.0726005779255472E-2</v>
      </c>
      <c r="U288" s="3">
        <v>2.21</v>
      </c>
      <c r="V288" s="5">
        <f t="shared" si="14"/>
        <v>2.7477830669346368E-2</v>
      </c>
      <c r="W288" s="3">
        <v>2.7477830669346368E-2</v>
      </c>
    </row>
    <row r="289" spans="1:23" x14ac:dyDescent="0.55000000000000004">
      <c r="A289" s="3">
        <v>55</v>
      </c>
      <c r="B289" s="3" t="s">
        <v>52</v>
      </c>
      <c r="C289" s="3" t="s">
        <v>49</v>
      </c>
      <c r="D289" s="3" t="s">
        <v>40</v>
      </c>
      <c r="E289" s="2" t="s">
        <v>15</v>
      </c>
      <c r="F289" s="3">
        <v>12</v>
      </c>
      <c r="G289" s="4">
        <v>22.7</v>
      </c>
      <c r="H289" s="4">
        <v>109.2</v>
      </c>
      <c r="I289" s="6">
        <v>8.9756446646214627</v>
      </c>
      <c r="J289" s="5">
        <v>2.5000000000000001E-2</v>
      </c>
      <c r="K289" s="4">
        <v>19.5</v>
      </c>
      <c r="L289" s="4">
        <v>91.5</v>
      </c>
      <c r="M289" s="6">
        <v>8.0097930186495105</v>
      </c>
      <c r="N289" s="5">
        <v>2.4E-2</v>
      </c>
      <c r="O289" s="5">
        <v>0.96585164597195217</v>
      </c>
      <c r="P289" s="5">
        <v>0.96585164597195217</v>
      </c>
      <c r="Q289" s="8">
        <v>0.21319444444444444</v>
      </c>
      <c r="R289" s="8">
        <v>0.875</v>
      </c>
      <c r="S289" s="6">
        <f t="shared" si="12"/>
        <v>15.883333333333333</v>
      </c>
      <c r="T289" s="5">
        <f t="shared" si="13"/>
        <v>6.0809127763186914E-2</v>
      </c>
      <c r="U289" s="3">
        <v>2.21</v>
      </c>
      <c r="V289" s="5">
        <f t="shared" si="14"/>
        <v>2.751544242678141E-2</v>
      </c>
      <c r="W289" s="3">
        <v>2.751544242678141E-2</v>
      </c>
    </row>
    <row r="290" spans="1:23" x14ac:dyDescent="0.55000000000000004">
      <c r="A290" s="3">
        <v>7</v>
      </c>
      <c r="B290" s="3" t="s">
        <v>53</v>
      </c>
      <c r="C290" s="3" t="s">
        <v>49</v>
      </c>
      <c r="D290" s="3" t="s">
        <v>41</v>
      </c>
      <c r="E290" s="3" t="s">
        <v>30</v>
      </c>
      <c r="F290" s="3">
        <v>65</v>
      </c>
      <c r="G290" s="4">
        <v>27.1</v>
      </c>
      <c r="H290" s="4">
        <v>77.8</v>
      </c>
      <c r="I290" s="6">
        <v>5.8908306231387746</v>
      </c>
      <c r="J290" s="5">
        <v>7.0000000000000007E-2</v>
      </c>
      <c r="K290" s="4">
        <v>21.8</v>
      </c>
      <c r="L290" s="4">
        <v>58.6</v>
      </c>
      <c r="M290" s="6">
        <v>4.9012430758925083</v>
      </c>
      <c r="N290" s="5">
        <v>6.3E-2</v>
      </c>
      <c r="O290" s="5">
        <v>0.9895875472462663</v>
      </c>
      <c r="P290" s="5">
        <v>0.9895875472462663</v>
      </c>
      <c r="Q290" s="8">
        <v>0.20833333333333334</v>
      </c>
      <c r="R290" s="8">
        <v>0.88541666666666663</v>
      </c>
      <c r="S290" s="6">
        <f t="shared" si="12"/>
        <v>16.25</v>
      </c>
      <c r="T290" s="5">
        <f t="shared" si="13"/>
        <v>6.0897695215154847E-2</v>
      </c>
      <c r="U290" s="3">
        <v>2.21</v>
      </c>
      <c r="V290" s="5">
        <f t="shared" si="14"/>
        <v>2.7555518196902645E-2</v>
      </c>
      <c r="W290" s="3">
        <v>2.7555518196902645E-2</v>
      </c>
    </row>
    <row r="291" spans="1:23" x14ac:dyDescent="0.55000000000000004">
      <c r="A291" s="3">
        <v>58</v>
      </c>
      <c r="B291" s="3" t="s">
        <v>53</v>
      </c>
      <c r="C291" s="3" t="s">
        <v>49</v>
      </c>
      <c r="D291" s="3" t="s">
        <v>41</v>
      </c>
      <c r="E291" s="2" t="s">
        <v>18</v>
      </c>
      <c r="F291" s="3">
        <v>24</v>
      </c>
      <c r="G291" s="4">
        <v>22.8</v>
      </c>
      <c r="H291" s="4">
        <v>102.8</v>
      </c>
      <c r="I291" s="6">
        <v>8.4333768481094449</v>
      </c>
      <c r="J291" s="5">
        <v>3.5999999999999997E-2</v>
      </c>
      <c r="K291" s="4">
        <v>20</v>
      </c>
      <c r="L291" s="4">
        <v>86</v>
      </c>
      <c r="M291" s="6">
        <v>7.4531290518267745</v>
      </c>
      <c r="N291" s="5">
        <v>3.4000000000000002E-2</v>
      </c>
      <c r="O291" s="5">
        <v>0.98024779628267034</v>
      </c>
      <c r="P291" s="5">
        <v>0.98024779628267034</v>
      </c>
      <c r="Q291" s="8">
        <v>0.21180555555555555</v>
      </c>
      <c r="R291" s="8">
        <v>0.88194444444444453</v>
      </c>
      <c r="S291" s="6">
        <f t="shared" si="12"/>
        <v>16.083333333333336</v>
      </c>
      <c r="T291" s="5">
        <f t="shared" si="13"/>
        <v>6.0948049509803329E-2</v>
      </c>
      <c r="U291" s="3">
        <v>2.21</v>
      </c>
      <c r="V291" s="5">
        <f t="shared" si="14"/>
        <v>2.7578302945612365E-2</v>
      </c>
      <c r="W291" s="3">
        <v>2.7578302945612365E-2</v>
      </c>
    </row>
    <row r="292" spans="1:23" x14ac:dyDescent="0.55000000000000004">
      <c r="A292" s="3">
        <v>32</v>
      </c>
      <c r="B292" s="3" t="s">
        <v>53</v>
      </c>
      <c r="C292" s="3" t="s">
        <v>50</v>
      </c>
      <c r="D292" s="3" t="s">
        <v>11</v>
      </c>
      <c r="E292" s="2" t="s">
        <v>15</v>
      </c>
      <c r="F292" s="3">
        <v>12</v>
      </c>
      <c r="G292" s="4">
        <v>22.3</v>
      </c>
      <c r="H292" s="4">
        <v>101.7</v>
      </c>
      <c r="I292" s="6">
        <v>8.4239230589810923</v>
      </c>
      <c r="J292" s="5">
        <v>3.5999999999999997E-2</v>
      </c>
      <c r="K292" s="4">
        <v>19.399999999999999</v>
      </c>
      <c r="L292" s="4">
        <v>85</v>
      </c>
      <c r="M292" s="6">
        <v>7.4558138637265481</v>
      </c>
      <c r="N292" s="5">
        <v>3.5000000000000003E-2</v>
      </c>
      <c r="O292" s="5">
        <v>0.9681091952545442</v>
      </c>
      <c r="P292" s="5">
        <v>0.9681091952545442</v>
      </c>
      <c r="Q292" s="8">
        <v>0.21319444444444444</v>
      </c>
      <c r="R292" s="8">
        <v>0.875</v>
      </c>
      <c r="S292" s="6">
        <f t="shared" si="12"/>
        <v>15.883333333333333</v>
      </c>
      <c r="T292" s="5">
        <f t="shared" si="13"/>
        <v>6.0951260981398379E-2</v>
      </c>
      <c r="U292" s="3">
        <v>2.21</v>
      </c>
      <c r="V292" s="5">
        <f t="shared" si="14"/>
        <v>2.757975610018026E-2</v>
      </c>
      <c r="W292" s="3">
        <v>2.757975610018026E-2</v>
      </c>
    </row>
    <row r="293" spans="1:23" x14ac:dyDescent="0.55000000000000004">
      <c r="A293" s="3">
        <v>49</v>
      </c>
      <c r="B293" s="3" t="s">
        <v>51</v>
      </c>
      <c r="C293" s="3" t="s">
        <v>49</v>
      </c>
      <c r="D293" s="3" t="s">
        <v>39</v>
      </c>
      <c r="E293" s="2" t="s">
        <v>19</v>
      </c>
      <c r="F293" s="3">
        <v>26</v>
      </c>
      <c r="G293" s="4">
        <v>26.1</v>
      </c>
      <c r="H293" s="4">
        <v>92</v>
      </c>
      <c r="I293" s="6">
        <v>7.094125405687274</v>
      </c>
      <c r="J293" s="5">
        <v>3.5999999999999997E-2</v>
      </c>
      <c r="K293" s="4">
        <v>22.6</v>
      </c>
      <c r="L293" s="4">
        <v>74.099999999999994</v>
      </c>
      <c r="M293" s="6">
        <v>6.1023488564245874</v>
      </c>
      <c r="N293" s="5">
        <v>3.4000000000000002E-2</v>
      </c>
      <c r="O293" s="5">
        <v>0.99177654926268666</v>
      </c>
      <c r="P293" s="5">
        <v>0.99177654926268666</v>
      </c>
      <c r="Q293" s="8">
        <v>0.20833333333333334</v>
      </c>
      <c r="R293" s="8">
        <v>0.88541666666666663</v>
      </c>
      <c r="S293" s="6">
        <f t="shared" si="12"/>
        <v>16.25</v>
      </c>
      <c r="T293" s="5">
        <f t="shared" si="13"/>
        <v>6.1032403031549949E-2</v>
      </c>
      <c r="U293" s="3">
        <v>2.21</v>
      </c>
      <c r="V293" s="5">
        <f t="shared" si="14"/>
        <v>2.7616471959977351E-2</v>
      </c>
      <c r="W293" s="3">
        <v>2.7616471959977351E-2</v>
      </c>
    </row>
    <row r="294" spans="1:23" x14ac:dyDescent="0.55000000000000004">
      <c r="A294" s="3">
        <v>53</v>
      </c>
      <c r="B294" s="3" t="s">
        <v>48</v>
      </c>
      <c r="C294" s="3" t="s">
        <v>49</v>
      </c>
      <c r="D294" s="3" t="s">
        <v>38</v>
      </c>
      <c r="E294" s="2" t="s">
        <v>16</v>
      </c>
      <c r="F294" s="3">
        <v>16</v>
      </c>
      <c r="G294" s="4">
        <v>21</v>
      </c>
      <c r="H294" s="4">
        <v>86.4</v>
      </c>
      <c r="I294" s="6">
        <v>7.3405826230352123</v>
      </c>
      <c r="J294" s="5">
        <v>2.8000000000000001E-2</v>
      </c>
      <c r="K294" s="4">
        <v>19.7</v>
      </c>
      <c r="L294" s="4">
        <v>73.099999999999994</v>
      </c>
      <c r="M294" s="6">
        <v>6.3733776791132621</v>
      </c>
      <c r="N294" s="5">
        <v>2.8000000000000001E-2</v>
      </c>
      <c r="O294" s="5">
        <v>0.96720494392195011</v>
      </c>
      <c r="P294" s="5">
        <v>0.96720494392195011</v>
      </c>
      <c r="Q294" s="8">
        <v>0.20833333333333334</v>
      </c>
      <c r="R294" s="8">
        <v>0.86805555555555547</v>
      </c>
      <c r="S294" s="6">
        <f t="shared" si="12"/>
        <v>15.83333333333333</v>
      </c>
      <c r="T294" s="5">
        <f t="shared" si="13"/>
        <v>6.1086628037175808E-2</v>
      </c>
      <c r="U294" s="3">
        <v>2.21</v>
      </c>
      <c r="V294" s="5">
        <f t="shared" si="14"/>
        <v>2.7641008161618012E-2</v>
      </c>
      <c r="W294" s="3">
        <v>2.7641008161618012E-2</v>
      </c>
    </row>
    <row r="295" spans="1:23" x14ac:dyDescent="0.55000000000000004">
      <c r="A295" s="3">
        <v>35</v>
      </c>
      <c r="B295" s="3" t="s">
        <v>51</v>
      </c>
      <c r="C295" s="3" t="s">
        <v>50</v>
      </c>
      <c r="D295" s="3" t="s">
        <v>9</v>
      </c>
      <c r="E295" s="2" t="s">
        <v>17</v>
      </c>
      <c r="F295" s="3">
        <v>19</v>
      </c>
      <c r="G295" s="4">
        <v>22</v>
      </c>
      <c r="H295" s="4">
        <v>86.3</v>
      </c>
      <c r="I295" s="6">
        <v>7.1900134031429319</v>
      </c>
      <c r="J295" s="5">
        <v>3.5999999999999997E-2</v>
      </c>
      <c r="K295" s="4">
        <v>17.100000000000001</v>
      </c>
      <c r="L295" s="4">
        <v>67.400000000000006</v>
      </c>
      <c r="M295" s="6">
        <v>6.1980545097216915</v>
      </c>
      <c r="N295" s="5">
        <v>3.4000000000000002E-2</v>
      </c>
      <c r="O295" s="5">
        <v>0.99195889342124044</v>
      </c>
      <c r="P295" s="5">
        <v>0.99195889342124044</v>
      </c>
      <c r="Q295" s="8">
        <v>0.19930555555555554</v>
      </c>
      <c r="R295" s="8">
        <v>0.875</v>
      </c>
      <c r="S295" s="6">
        <f t="shared" si="12"/>
        <v>16.216666666666669</v>
      </c>
      <c r="T295" s="5">
        <f t="shared" si="13"/>
        <v>6.1169099285996321E-2</v>
      </c>
      <c r="U295" s="3">
        <v>2.21</v>
      </c>
      <c r="V295" s="5">
        <f t="shared" si="14"/>
        <v>2.7678325468776615E-2</v>
      </c>
      <c r="W295" s="3">
        <v>2.7678325468776615E-2</v>
      </c>
    </row>
    <row r="296" spans="1:23" x14ac:dyDescent="0.55000000000000004">
      <c r="A296" s="3">
        <v>19</v>
      </c>
      <c r="B296" s="3" t="s">
        <v>53</v>
      </c>
      <c r="C296" s="3" t="s">
        <v>49</v>
      </c>
      <c r="D296" s="3" t="s">
        <v>41</v>
      </c>
      <c r="E296" s="2" t="s">
        <v>17</v>
      </c>
      <c r="F296" s="3">
        <v>19</v>
      </c>
      <c r="G296" s="4">
        <v>22.2</v>
      </c>
      <c r="H296" s="4">
        <v>80.3</v>
      </c>
      <c r="I296" s="6">
        <v>6.6642241365561263</v>
      </c>
      <c r="J296" s="5">
        <v>3.4000000000000002E-2</v>
      </c>
      <c r="K296" s="4">
        <v>17</v>
      </c>
      <c r="L296" s="4">
        <v>61.5</v>
      </c>
      <c r="M296" s="6">
        <v>5.667341874560285</v>
      </c>
      <c r="N296" s="5">
        <v>3.1E-2</v>
      </c>
      <c r="O296" s="5">
        <v>0.99688226199584129</v>
      </c>
      <c r="P296" s="5">
        <v>0.99688226199584129</v>
      </c>
      <c r="Q296" s="8">
        <v>0.19930555555555554</v>
      </c>
      <c r="R296" s="8">
        <v>0.875</v>
      </c>
      <c r="S296" s="6">
        <f t="shared" si="12"/>
        <v>16.216666666666669</v>
      </c>
      <c r="T296" s="5">
        <f t="shared" si="13"/>
        <v>6.147269858144961E-2</v>
      </c>
      <c r="U296" s="3">
        <v>2.21</v>
      </c>
      <c r="V296" s="5">
        <f t="shared" si="14"/>
        <v>2.781570071558806E-2</v>
      </c>
      <c r="W296" s="3">
        <v>2.781570071558806E-2</v>
      </c>
    </row>
    <row r="297" spans="1:23" x14ac:dyDescent="0.55000000000000004">
      <c r="A297" s="3">
        <v>64</v>
      </c>
      <c r="B297" s="3" t="s">
        <v>53</v>
      </c>
      <c r="C297" s="3" t="s">
        <v>50</v>
      </c>
      <c r="D297" s="3" t="s">
        <v>11</v>
      </c>
      <c r="E297" s="2" t="s">
        <v>15</v>
      </c>
      <c r="F297" s="3">
        <v>12</v>
      </c>
      <c r="G297" s="4">
        <v>23</v>
      </c>
      <c r="H297" s="4">
        <v>130.69999999999999</v>
      </c>
      <c r="I297" s="6">
        <v>10.68115699811832</v>
      </c>
      <c r="J297" s="5">
        <v>4.1000000000000002E-2</v>
      </c>
      <c r="K297" s="4">
        <v>19.8</v>
      </c>
      <c r="L297" s="4">
        <v>111.5</v>
      </c>
      <c r="M297" s="6">
        <v>9.701863223379144</v>
      </c>
      <c r="N297" s="5">
        <v>3.5999999999999997E-2</v>
      </c>
      <c r="O297" s="5">
        <v>0.97929377473917611</v>
      </c>
      <c r="P297" s="5">
        <v>0.97929377473917611</v>
      </c>
      <c r="Q297" s="8">
        <v>0.21319444444444444</v>
      </c>
      <c r="R297" s="8">
        <v>0.875</v>
      </c>
      <c r="S297" s="6">
        <f t="shared" si="12"/>
        <v>15.883333333333333</v>
      </c>
      <c r="T297" s="5">
        <f t="shared" si="13"/>
        <v>6.1655431777912453E-2</v>
      </c>
      <c r="U297" s="3">
        <v>2.21</v>
      </c>
      <c r="V297" s="5">
        <f t="shared" si="14"/>
        <v>2.789838541986989E-2</v>
      </c>
      <c r="W297" s="3">
        <v>2.789838541986989E-2</v>
      </c>
    </row>
    <row r="298" spans="1:23" x14ac:dyDescent="0.55000000000000004">
      <c r="A298" s="3">
        <v>42</v>
      </c>
      <c r="B298" s="3" t="s">
        <v>53</v>
      </c>
      <c r="C298" s="3" t="s">
        <v>49</v>
      </c>
      <c r="D298" s="3" t="s">
        <v>41</v>
      </c>
      <c r="E298" s="3" t="s">
        <v>33</v>
      </c>
      <c r="F298" s="3">
        <v>75</v>
      </c>
      <c r="G298" s="4">
        <v>26.9</v>
      </c>
      <c r="H298" s="4">
        <v>58.2</v>
      </c>
      <c r="I298" s="6">
        <v>4.4227693504770711</v>
      </c>
      <c r="J298" s="5">
        <v>7.2999999999999995E-2</v>
      </c>
      <c r="K298" s="4">
        <v>23.3</v>
      </c>
      <c r="L298" s="4">
        <v>42.1</v>
      </c>
      <c r="M298" s="6">
        <v>3.4208586244096661</v>
      </c>
      <c r="N298" s="5">
        <v>6.9000000000000006E-2</v>
      </c>
      <c r="O298" s="5">
        <v>1.0019107260674049</v>
      </c>
      <c r="P298" s="5">
        <v>1.0019107260674049</v>
      </c>
      <c r="Q298" s="8">
        <v>0.20833333333333334</v>
      </c>
      <c r="R298" s="8">
        <v>0.88541666666666663</v>
      </c>
      <c r="S298" s="6">
        <f t="shared" si="12"/>
        <v>16.25</v>
      </c>
      <c r="T298" s="5">
        <f t="shared" si="13"/>
        <v>6.1656044681071075E-2</v>
      </c>
      <c r="U298" s="3">
        <v>2.21</v>
      </c>
      <c r="V298" s="5">
        <f t="shared" si="14"/>
        <v>2.7898662751615871E-2</v>
      </c>
      <c r="W298" s="3">
        <v>2.7898662751615871E-2</v>
      </c>
    </row>
    <row r="299" spans="1:23" x14ac:dyDescent="0.55000000000000004">
      <c r="A299" s="3">
        <v>57</v>
      </c>
      <c r="B299" s="3" t="s">
        <v>52</v>
      </c>
      <c r="C299" s="3" t="s">
        <v>50</v>
      </c>
      <c r="D299" s="3" t="s">
        <v>12</v>
      </c>
      <c r="E299" s="2" t="s">
        <v>14</v>
      </c>
      <c r="F299" s="3">
        <v>10</v>
      </c>
      <c r="G299" s="4">
        <v>22</v>
      </c>
      <c r="H299" s="4">
        <v>104.2</v>
      </c>
      <c r="I299" s="6">
        <v>8.6813371565178858</v>
      </c>
      <c r="J299" s="5">
        <v>3.4000000000000002E-2</v>
      </c>
      <c r="K299" s="4">
        <v>19.8</v>
      </c>
      <c r="L299" s="4">
        <v>88.5</v>
      </c>
      <c r="M299" s="6">
        <v>7.7005820203502626</v>
      </c>
      <c r="N299" s="5">
        <v>3.2000000000000001E-2</v>
      </c>
      <c r="O299" s="5">
        <v>0.98075513616762322</v>
      </c>
      <c r="P299" s="5">
        <v>0.98075513616762322</v>
      </c>
      <c r="Q299" s="8">
        <v>0.20555555555555557</v>
      </c>
      <c r="R299" s="8">
        <v>0.86805555555555547</v>
      </c>
      <c r="S299" s="6">
        <f t="shared" si="12"/>
        <v>15.899999999999997</v>
      </c>
      <c r="T299" s="5">
        <f t="shared" si="13"/>
        <v>6.1682712966517193E-2</v>
      </c>
      <c r="U299" s="3">
        <v>2.21</v>
      </c>
      <c r="V299" s="5">
        <f t="shared" si="14"/>
        <v>2.7910729849102804E-2</v>
      </c>
      <c r="W299" s="3">
        <v>2.7910729849102804E-2</v>
      </c>
    </row>
    <row r="300" spans="1:23" x14ac:dyDescent="0.55000000000000004">
      <c r="A300" s="3">
        <v>34</v>
      </c>
      <c r="B300" s="3" t="s">
        <v>48</v>
      </c>
      <c r="C300" s="3" t="s">
        <v>50</v>
      </c>
      <c r="D300" s="3" t="s">
        <v>10</v>
      </c>
      <c r="E300" s="2" t="s">
        <v>18</v>
      </c>
      <c r="F300" s="3">
        <v>24</v>
      </c>
      <c r="G300" s="4">
        <v>22.5</v>
      </c>
      <c r="H300" s="4">
        <v>92.7</v>
      </c>
      <c r="I300" s="6">
        <v>7.6488397693102241</v>
      </c>
      <c r="J300" s="5">
        <v>4.5999999999999999E-2</v>
      </c>
      <c r="K300" s="4">
        <v>20.2</v>
      </c>
      <c r="L300" s="4">
        <v>77.099999999999994</v>
      </c>
      <c r="M300" s="6">
        <v>6.6551777193548469</v>
      </c>
      <c r="N300" s="5">
        <v>4.3999999999999997E-2</v>
      </c>
      <c r="O300" s="5">
        <v>0.99366204995537721</v>
      </c>
      <c r="P300" s="5">
        <v>0.99366204995537721</v>
      </c>
      <c r="Q300" s="8">
        <v>0.21180555555555555</v>
      </c>
      <c r="R300" s="8">
        <v>0.88194444444444453</v>
      </c>
      <c r="S300" s="6">
        <f t="shared" si="12"/>
        <v>16.083333333333336</v>
      </c>
      <c r="T300" s="5">
        <f t="shared" si="13"/>
        <v>6.1782096370282515E-2</v>
      </c>
      <c r="U300" s="3">
        <v>2.21</v>
      </c>
      <c r="V300" s="5">
        <f t="shared" si="14"/>
        <v>2.7955699715059963E-2</v>
      </c>
      <c r="W300" s="3">
        <v>2.7955699715059963E-2</v>
      </c>
    </row>
    <row r="301" spans="1:23" x14ac:dyDescent="0.55000000000000004">
      <c r="A301" s="3">
        <v>30</v>
      </c>
      <c r="B301" s="3" t="s">
        <v>52</v>
      </c>
      <c r="C301" s="3" t="s">
        <v>49</v>
      </c>
      <c r="D301" s="3" t="s">
        <v>40</v>
      </c>
      <c r="E301" s="2" t="s">
        <v>15</v>
      </c>
      <c r="F301" s="3">
        <v>12</v>
      </c>
      <c r="G301" s="4">
        <v>22.5</v>
      </c>
      <c r="H301" s="4">
        <v>104</v>
      </c>
      <c r="I301" s="6">
        <v>8.5812226106608769</v>
      </c>
      <c r="J301" s="5">
        <v>2.5000000000000001E-2</v>
      </c>
      <c r="K301" s="4">
        <v>19.5</v>
      </c>
      <c r="L301" s="4">
        <v>86.8</v>
      </c>
      <c r="M301" s="6">
        <v>7.5983610275276234</v>
      </c>
      <c r="N301" s="5">
        <v>2.5000000000000001E-2</v>
      </c>
      <c r="O301" s="5">
        <v>0.98286158313325345</v>
      </c>
      <c r="P301" s="5">
        <v>0.98286158313325345</v>
      </c>
      <c r="Q301" s="8">
        <v>0.21319444444444444</v>
      </c>
      <c r="R301" s="8">
        <v>0.875</v>
      </c>
      <c r="S301" s="6">
        <f t="shared" si="12"/>
        <v>15.883333333333333</v>
      </c>
      <c r="T301" s="5">
        <f t="shared" si="13"/>
        <v>6.1880057699890037E-2</v>
      </c>
      <c r="U301" s="3">
        <v>2.21</v>
      </c>
      <c r="V301" s="5">
        <f t="shared" si="14"/>
        <v>2.8000026108547529E-2</v>
      </c>
      <c r="W301" s="3">
        <v>2.8000026108547529E-2</v>
      </c>
    </row>
    <row r="302" spans="1:23" x14ac:dyDescent="0.55000000000000004">
      <c r="A302" s="3">
        <v>15</v>
      </c>
      <c r="B302" s="3" t="s">
        <v>48</v>
      </c>
      <c r="C302" s="3" t="s">
        <v>49</v>
      </c>
      <c r="D302" s="3" t="s">
        <v>38</v>
      </c>
      <c r="E302" s="3" t="s">
        <v>35</v>
      </c>
      <c r="F302" s="3">
        <v>82</v>
      </c>
      <c r="G302" s="4">
        <v>30.8</v>
      </c>
      <c r="H302" s="4">
        <v>59.3</v>
      </c>
      <c r="I302" s="6">
        <v>4.205853313297915</v>
      </c>
      <c r="J302" s="5">
        <v>9.8000000000000004E-2</v>
      </c>
      <c r="K302" s="4">
        <v>26.8</v>
      </c>
      <c r="L302" s="4">
        <v>42</v>
      </c>
      <c r="M302" s="6">
        <v>3.1974911762564853</v>
      </c>
      <c r="N302" s="5">
        <v>9.0999999999999998E-2</v>
      </c>
      <c r="O302" s="5">
        <v>1.0083621370414297</v>
      </c>
      <c r="P302" s="5">
        <v>1.0083621370414297</v>
      </c>
      <c r="Q302" s="8">
        <v>0.20833333333333334</v>
      </c>
      <c r="R302" s="8">
        <v>0.88541666666666663</v>
      </c>
      <c r="S302" s="6">
        <f t="shared" si="12"/>
        <v>16.25</v>
      </c>
      <c r="T302" s="5">
        <f t="shared" si="13"/>
        <v>6.205305458716491E-2</v>
      </c>
      <c r="U302" s="3">
        <v>2.21</v>
      </c>
      <c r="V302" s="5">
        <f t="shared" si="14"/>
        <v>2.8078305243061045E-2</v>
      </c>
      <c r="W302" s="3">
        <v>2.8078305243061045E-2</v>
      </c>
    </row>
    <row r="303" spans="1:23" x14ac:dyDescent="0.55000000000000004">
      <c r="A303" s="3">
        <v>32</v>
      </c>
      <c r="B303" s="3" t="s">
        <v>53</v>
      </c>
      <c r="C303" s="3" t="s">
        <v>50</v>
      </c>
      <c r="D303" s="3" t="s">
        <v>11</v>
      </c>
      <c r="E303" s="2" t="s">
        <v>19</v>
      </c>
      <c r="F303" s="3">
        <v>26</v>
      </c>
      <c r="G303" s="4">
        <v>25.4</v>
      </c>
      <c r="H303" s="4">
        <v>90.5</v>
      </c>
      <c r="I303" s="6">
        <v>7.0690861287948676</v>
      </c>
      <c r="J303" s="5">
        <v>5.2999999999999999E-2</v>
      </c>
      <c r="K303" s="4">
        <v>22.3</v>
      </c>
      <c r="L303" s="4">
        <v>73.099999999999994</v>
      </c>
      <c r="M303" s="6">
        <v>6.054953545835966</v>
      </c>
      <c r="N303" s="5">
        <v>4.8000000000000001E-2</v>
      </c>
      <c r="O303" s="5">
        <v>1.0141325829589016</v>
      </c>
      <c r="P303" s="5">
        <v>1.0141325829589016</v>
      </c>
      <c r="Q303" s="8">
        <v>0.20833333333333334</v>
      </c>
      <c r="R303" s="8">
        <v>0.88541666666666663</v>
      </c>
      <c r="S303" s="6">
        <f t="shared" si="12"/>
        <v>16.25</v>
      </c>
      <c r="T303" s="5">
        <f t="shared" si="13"/>
        <v>6.2408158951317023E-2</v>
      </c>
      <c r="U303" s="3">
        <v>2.21</v>
      </c>
      <c r="V303" s="5">
        <f t="shared" si="14"/>
        <v>2.8238985950822186E-2</v>
      </c>
      <c r="W303" s="3">
        <v>2.8238985950822186E-2</v>
      </c>
    </row>
    <row r="304" spans="1:23" x14ac:dyDescent="0.55000000000000004">
      <c r="A304" s="3">
        <v>59</v>
      </c>
      <c r="B304" s="3" t="s">
        <v>52</v>
      </c>
      <c r="C304" s="3" t="s">
        <v>49</v>
      </c>
      <c r="D304" s="3" t="s">
        <v>40</v>
      </c>
      <c r="E304" s="2" t="s">
        <v>15</v>
      </c>
      <c r="F304" s="3">
        <v>12</v>
      </c>
      <c r="G304" s="4">
        <v>22.8</v>
      </c>
      <c r="H304" s="4">
        <v>105.8</v>
      </c>
      <c r="I304" s="6">
        <v>8.67948706741225</v>
      </c>
      <c r="J304" s="5">
        <v>2.5000000000000001E-2</v>
      </c>
      <c r="K304" s="4">
        <v>19.600000000000001</v>
      </c>
      <c r="L304" s="4">
        <v>88</v>
      </c>
      <c r="M304" s="6">
        <v>7.6879093757604871</v>
      </c>
      <c r="N304" s="5">
        <v>2.5000000000000001E-2</v>
      </c>
      <c r="O304" s="5">
        <v>0.9915776916517629</v>
      </c>
      <c r="P304" s="5">
        <v>0.9915776916517629</v>
      </c>
      <c r="Q304" s="8">
        <v>0.21319444444444444</v>
      </c>
      <c r="R304" s="8">
        <v>0.875</v>
      </c>
      <c r="S304" s="6">
        <f t="shared" si="12"/>
        <v>15.883333333333333</v>
      </c>
      <c r="T304" s="5">
        <f t="shared" si="13"/>
        <v>6.2428815843762621E-2</v>
      </c>
      <c r="U304" s="3">
        <v>2.21</v>
      </c>
      <c r="V304" s="5">
        <f t="shared" si="14"/>
        <v>2.8248332960978562E-2</v>
      </c>
      <c r="W304" s="3">
        <v>2.8248332960978562E-2</v>
      </c>
    </row>
    <row r="305" spans="1:23" x14ac:dyDescent="0.55000000000000004">
      <c r="A305" s="3">
        <v>56</v>
      </c>
      <c r="B305" s="3" t="s">
        <v>53</v>
      </c>
      <c r="C305" s="3" t="s">
        <v>49</v>
      </c>
      <c r="D305" s="3" t="s">
        <v>41</v>
      </c>
      <c r="E305" s="2" t="s">
        <v>16</v>
      </c>
      <c r="F305" s="3">
        <v>16</v>
      </c>
      <c r="G305" s="4">
        <v>21.1</v>
      </c>
      <c r="H305" s="4">
        <v>87.5</v>
      </c>
      <c r="I305" s="6">
        <v>7.4194116821050935</v>
      </c>
      <c r="J305" s="5">
        <v>0.03</v>
      </c>
      <c r="K305" s="4">
        <v>19.8</v>
      </c>
      <c r="L305" s="4">
        <v>73.900000000000006</v>
      </c>
      <c r="M305" s="6">
        <v>6.4302035175580157</v>
      </c>
      <c r="N305" s="5">
        <v>0.03</v>
      </c>
      <c r="O305" s="5">
        <v>0.98920816454707783</v>
      </c>
      <c r="P305" s="5">
        <v>0.98920816454707783</v>
      </c>
      <c r="Q305" s="8">
        <v>0.20833333333333334</v>
      </c>
      <c r="R305" s="8">
        <v>0.86805555555555547</v>
      </c>
      <c r="S305" s="6">
        <f t="shared" si="12"/>
        <v>15.83333333333333</v>
      </c>
      <c r="T305" s="5">
        <f t="shared" si="13"/>
        <v>6.2476305129289138E-2</v>
      </c>
      <c r="U305" s="3">
        <v>2.21</v>
      </c>
      <c r="V305" s="5">
        <f t="shared" si="14"/>
        <v>2.82698213254702E-2</v>
      </c>
      <c r="W305" s="3">
        <v>2.82698213254702E-2</v>
      </c>
    </row>
    <row r="306" spans="1:23" x14ac:dyDescent="0.55000000000000004">
      <c r="A306" s="3">
        <v>29</v>
      </c>
      <c r="B306" s="3" t="s">
        <v>52</v>
      </c>
      <c r="C306" s="3" t="s">
        <v>50</v>
      </c>
      <c r="D306" s="3" t="s">
        <v>12</v>
      </c>
      <c r="E306" s="2" t="s">
        <v>8</v>
      </c>
      <c r="F306" s="3">
        <v>5</v>
      </c>
      <c r="G306" s="4">
        <v>20.8</v>
      </c>
      <c r="H306" s="4">
        <v>125.5</v>
      </c>
      <c r="I306" s="6">
        <v>10.70471300477738</v>
      </c>
      <c r="J306" s="5">
        <v>0.04</v>
      </c>
      <c r="K306" s="4">
        <v>15.7</v>
      </c>
      <c r="L306" s="4">
        <v>102.5</v>
      </c>
      <c r="M306" s="6">
        <v>9.7089895820014434</v>
      </c>
      <c r="N306" s="5">
        <v>3.4000000000000002E-2</v>
      </c>
      <c r="O306" s="5">
        <v>0.99572342277593684</v>
      </c>
      <c r="P306" s="5">
        <v>0.99572342277593684</v>
      </c>
      <c r="Q306" s="8">
        <v>0.20833333333333334</v>
      </c>
      <c r="R306" s="8">
        <v>0.87083333333333324</v>
      </c>
      <c r="S306" s="6">
        <f t="shared" si="12"/>
        <v>15.899999999999997</v>
      </c>
      <c r="T306" s="5">
        <f t="shared" si="13"/>
        <v>6.2624114639996037E-2</v>
      </c>
      <c r="U306" s="3">
        <v>2.21</v>
      </c>
      <c r="V306" s="5">
        <f t="shared" si="14"/>
        <v>2.8336703457011784E-2</v>
      </c>
      <c r="W306" s="3">
        <v>2.8336703457011784E-2</v>
      </c>
    </row>
    <row r="307" spans="1:23" x14ac:dyDescent="0.55000000000000004">
      <c r="A307" s="3">
        <v>1</v>
      </c>
      <c r="B307" s="3" t="s">
        <v>51</v>
      </c>
      <c r="C307" s="3" t="s">
        <v>49</v>
      </c>
      <c r="D307" s="3" t="s">
        <v>39</v>
      </c>
      <c r="E307" s="3" t="s">
        <v>33</v>
      </c>
      <c r="F307" s="3">
        <v>75</v>
      </c>
      <c r="G307" s="4">
        <v>27.3</v>
      </c>
      <c r="H307" s="4">
        <v>78.099999999999994</v>
      </c>
      <c r="I307" s="6">
        <v>5.8922040865266228</v>
      </c>
      <c r="J307" s="5">
        <v>4.4999999999999998E-2</v>
      </c>
      <c r="K307" s="4">
        <v>23.4</v>
      </c>
      <c r="L307" s="4">
        <v>60.1</v>
      </c>
      <c r="M307" s="6">
        <v>4.8741619198723027</v>
      </c>
      <c r="N307" s="5">
        <v>4.2000000000000003E-2</v>
      </c>
      <c r="O307" s="5">
        <v>1.01804216665432</v>
      </c>
      <c r="P307" s="5">
        <v>1.01804216665432</v>
      </c>
      <c r="Q307" s="8">
        <v>0.20833333333333334</v>
      </c>
      <c r="R307" s="8">
        <v>0.88541666666666663</v>
      </c>
      <c r="S307" s="6">
        <f t="shared" si="12"/>
        <v>16.25</v>
      </c>
      <c r="T307" s="5">
        <f t="shared" si="13"/>
        <v>6.2648748717188923E-2</v>
      </c>
      <c r="U307" s="3">
        <v>2.21</v>
      </c>
      <c r="V307" s="5">
        <f t="shared" si="14"/>
        <v>2.8347850098275534E-2</v>
      </c>
      <c r="W307" s="3">
        <v>2.8347850098275534E-2</v>
      </c>
    </row>
    <row r="308" spans="1:23" x14ac:dyDescent="0.55000000000000004">
      <c r="A308" s="3">
        <v>5</v>
      </c>
      <c r="B308" s="3" t="s">
        <v>48</v>
      </c>
      <c r="C308" s="3" t="s">
        <v>49</v>
      </c>
      <c r="D308" s="3" t="s">
        <v>38</v>
      </c>
      <c r="E308" s="2" t="s">
        <v>22</v>
      </c>
      <c r="F308" s="3">
        <v>37</v>
      </c>
      <c r="G308" s="4">
        <v>29</v>
      </c>
      <c r="H308" s="4">
        <v>74.3</v>
      </c>
      <c r="I308" s="6">
        <v>5.4379365245413895</v>
      </c>
      <c r="J308" s="5">
        <v>6.6000000000000003E-2</v>
      </c>
      <c r="K308" s="4">
        <v>24.3</v>
      </c>
      <c r="L308" s="4">
        <v>55.3</v>
      </c>
      <c r="M308" s="6">
        <v>4.4091482690027206</v>
      </c>
      <c r="N308" s="5">
        <v>5.8000000000000003E-2</v>
      </c>
      <c r="O308" s="5">
        <v>1.0287882555386689</v>
      </c>
      <c r="P308" s="5">
        <v>1.0287882555386689</v>
      </c>
      <c r="Q308" s="8">
        <v>0.20138888888888887</v>
      </c>
      <c r="R308" s="8">
        <v>0.88541666666666663</v>
      </c>
      <c r="S308" s="6">
        <f t="shared" si="12"/>
        <v>16.416666666666668</v>
      </c>
      <c r="T308" s="5">
        <f t="shared" si="13"/>
        <v>6.2667304905908758E-2</v>
      </c>
      <c r="U308" s="3">
        <v>2.21</v>
      </c>
      <c r="V308" s="5">
        <f t="shared" si="14"/>
        <v>2.835624656375962E-2</v>
      </c>
      <c r="W308" s="3">
        <v>2.835624656375962E-2</v>
      </c>
    </row>
    <row r="309" spans="1:23" x14ac:dyDescent="0.55000000000000004">
      <c r="A309" s="3">
        <v>17</v>
      </c>
      <c r="B309" s="3" t="s">
        <v>52</v>
      </c>
      <c r="C309" s="3" t="s">
        <v>50</v>
      </c>
      <c r="D309" s="3" t="s">
        <v>12</v>
      </c>
      <c r="E309" s="2" t="s">
        <v>8</v>
      </c>
      <c r="F309" s="3">
        <v>5</v>
      </c>
      <c r="G309" s="4">
        <v>20.9</v>
      </c>
      <c r="H309" s="4">
        <v>126.1</v>
      </c>
      <c r="I309" s="6">
        <v>10.734665170989263</v>
      </c>
      <c r="J309" s="5">
        <v>3.5999999999999997E-2</v>
      </c>
      <c r="K309" s="4">
        <v>15.3</v>
      </c>
      <c r="L309" s="4">
        <v>101.9</v>
      </c>
      <c r="M309" s="6">
        <v>9.7353172281144911</v>
      </c>
      <c r="N309" s="5">
        <v>3.1E-2</v>
      </c>
      <c r="O309" s="5">
        <v>0.99934794287477224</v>
      </c>
      <c r="P309" s="5">
        <v>0.99934794287477224</v>
      </c>
      <c r="Q309" s="8">
        <v>0.20833333333333334</v>
      </c>
      <c r="R309" s="8">
        <v>0.87083333333333324</v>
      </c>
      <c r="S309" s="6">
        <f t="shared" si="12"/>
        <v>15.899999999999997</v>
      </c>
      <c r="T309" s="5">
        <f t="shared" si="13"/>
        <v>6.2852071878916504E-2</v>
      </c>
      <c r="U309" s="3">
        <v>2.21</v>
      </c>
      <c r="V309" s="5">
        <f t="shared" si="14"/>
        <v>2.8439851528921496E-2</v>
      </c>
      <c r="W309" s="3">
        <v>2.8439851528921496E-2</v>
      </c>
    </row>
    <row r="310" spans="1:23" x14ac:dyDescent="0.55000000000000004">
      <c r="A310" s="3">
        <v>24</v>
      </c>
      <c r="B310" s="3" t="s">
        <v>52</v>
      </c>
      <c r="C310" s="3" t="s">
        <v>49</v>
      </c>
      <c r="D310" s="3" t="s">
        <v>40</v>
      </c>
      <c r="E310" s="2" t="s">
        <v>19</v>
      </c>
      <c r="F310" s="3">
        <v>26</v>
      </c>
      <c r="G310" s="4">
        <v>25.9</v>
      </c>
      <c r="H310" s="4">
        <v>89.9</v>
      </c>
      <c r="I310" s="6">
        <v>6.9577103821159367</v>
      </c>
      <c r="J310" s="5">
        <v>3.6999999999999998E-2</v>
      </c>
      <c r="K310" s="4">
        <v>22.9</v>
      </c>
      <c r="L310" s="4">
        <v>72.5</v>
      </c>
      <c r="M310" s="6">
        <v>5.9362607163317991</v>
      </c>
      <c r="N310" s="5">
        <v>3.5000000000000003E-2</v>
      </c>
      <c r="O310" s="5">
        <v>1.0214496657841377</v>
      </c>
      <c r="P310" s="5">
        <v>1.0214496657841377</v>
      </c>
      <c r="Q310" s="8">
        <v>0.20833333333333334</v>
      </c>
      <c r="R310" s="8">
        <v>0.88541666666666663</v>
      </c>
      <c r="S310" s="6">
        <f t="shared" si="12"/>
        <v>16.25</v>
      </c>
      <c r="T310" s="5">
        <f t="shared" si="13"/>
        <v>6.2858440971331545E-2</v>
      </c>
      <c r="U310" s="3">
        <v>2.21</v>
      </c>
      <c r="V310" s="5">
        <f t="shared" si="14"/>
        <v>2.8442733471190747E-2</v>
      </c>
      <c r="W310" s="3">
        <v>2.8442733471190747E-2</v>
      </c>
    </row>
    <row r="311" spans="1:23" x14ac:dyDescent="0.55000000000000004">
      <c r="A311" s="3">
        <v>39</v>
      </c>
      <c r="B311" s="3" t="s">
        <v>51</v>
      </c>
      <c r="C311" s="3" t="s">
        <v>50</v>
      </c>
      <c r="D311" s="3" t="s">
        <v>9</v>
      </c>
      <c r="E311" s="3" t="s">
        <v>35</v>
      </c>
      <c r="F311" s="3">
        <v>82</v>
      </c>
      <c r="G311" s="4">
        <v>31.8</v>
      </c>
      <c r="H311" s="4">
        <v>68.900000000000006</v>
      </c>
      <c r="I311" s="6">
        <v>4.8036340526803176</v>
      </c>
      <c r="J311" s="5">
        <v>0.05</v>
      </c>
      <c r="K311" s="4">
        <v>27.6</v>
      </c>
      <c r="L311" s="4">
        <v>50.4</v>
      </c>
      <c r="M311" s="6">
        <v>3.78189766211228</v>
      </c>
      <c r="N311" s="5">
        <v>4.9000000000000002E-2</v>
      </c>
      <c r="O311" s="5">
        <v>1.0217363905680377</v>
      </c>
      <c r="P311" s="5">
        <v>1.0217363905680377</v>
      </c>
      <c r="Q311" s="8">
        <v>0.20833333333333334</v>
      </c>
      <c r="R311" s="8">
        <v>0.88541666666666663</v>
      </c>
      <c r="S311" s="6">
        <f t="shared" si="12"/>
        <v>16.25</v>
      </c>
      <c r="T311" s="5">
        <f t="shared" si="13"/>
        <v>6.28760855734177E-2</v>
      </c>
      <c r="U311" s="3">
        <v>2.21</v>
      </c>
      <c r="V311" s="5">
        <f t="shared" si="14"/>
        <v>2.8450717454035161E-2</v>
      </c>
      <c r="W311" s="3">
        <v>2.8450717454035161E-2</v>
      </c>
    </row>
    <row r="312" spans="1:23" x14ac:dyDescent="0.55000000000000004">
      <c r="A312" s="3">
        <v>15</v>
      </c>
      <c r="B312" s="3" t="s">
        <v>48</v>
      </c>
      <c r="C312" s="3" t="s">
        <v>49</v>
      </c>
      <c r="D312" s="3" t="s">
        <v>38</v>
      </c>
      <c r="E312" s="2" t="s">
        <v>23</v>
      </c>
      <c r="F312" s="3">
        <v>40</v>
      </c>
      <c r="G312" s="4">
        <v>28.2</v>
      </c>
      <c r="H312" s="4">
        <v>77.099999999999994</v>
      </c>
      <c r="I312" s="6">
        <v>5.7235606654296198</v>
      </c>
      <c r="J312" s="5">
        <v>6.0999999999999999E-2</v>
      </c>
      <c r="K312" s="4">
        <v>23.6</v>
      </c>
      <c r="L312" s="4">
        <v>58.1</v>
      </c>
      <c r="M312" s="6">
        <v>4.6940748093231299</v>
      </c>
      <c r="N312" s="5">
        <v>5.5E-2</v>
      </c>
      <c r="O312" s="5">
        <v>1.0294858561064899</v>
      </c>
      <c r="P312" s="5">
        <v>1.0294858561064899</v>
      </c>
      <c r="Q312" s="8">
        <v>0.20833333333333334</v>
      </c>
      <c r="R312" s="8">
        <v>0.89027777777777783</v>
      </c>
      <c r="S312" s="6">
        <f t="shared" si="12"/>
        <v>16.366666666666667</v>
      </c>
      <c r="T312" s="5">
        <f t="shared" si="13"/>
        <v>6.2901376136852746E-2</v>
      </c>
      <c r="U312" s="3">
        <v>2.21</v>
      </c>
      <c r="V312" s="5">
        <f t="shared" si="14"/>
        <v>2.846216114789717E-2</v>
      </c>
      <c r="W312" s="3">
        <v>2.846216114789717E-2</v>
      </c>
    </row>
    <row r="313" spans="1:23" x14ac:dyDescent="0.55000000000000004">
      <c r="A313" s="3">
        <v>52</v>
      </c>
      <c r="B313" s="3" t="s">
        <v>48</v>
      </c>
      <c r="C313" s="3" t="s">
        <v>49</v>
      </c>
      <c r="D313" s="3" t="s">
        <v>38</v>
      </c>
      <c r="E313" s="3" t="s">
        <v>26</v>
      </c>
      <c r="F313" s="3">
        <v>51</v>
      </c>
      <c r="G313" s="4">
        <v>26.7</v>
      </c>
      <c r="H313" s="4">
        <v>66</v>
      </c>
      <c r="I313" s="6">
        <v>5.0337751298982099</v>
      </c>
      <c r="J313" s="5">
        <v>7.3999999999999996E-2</v>
      </c>
      <c r="K313" s="4">
        <v>23.9</v>
      </c>
      <c r="L313" s="4">
        <v>50.1</v>
      </c>
      <c r="M313" s="6">
        <v>4.0247867371798201</v>
      </c>
      <c r="N313" s="5">
        <v>7.0000000000000007E-2</v>
      </c>
      <c r="O313" s="5">
        <v>1.0089883927183898</v>
      </c>
      <c r="P313" s="5">
        <v>1.0089883927183898</v>
      </c>
      <c r="Q313" s="8">
        <v>0.20833333333333334</v>
      </c>
      <c r="R313" s="8">
        <v>0.875</v>
      </c>
      <c r="S313" s="6">
        <f t="shared" si="12"/>
        <v>16</v>
      </c>
      <c r="T313" s="5">
        <f t="shared" si="13"/>
        <v>6.3061774544899363E-2</v>
      </c>
      <c r="U313" s="3">
        <v>2.21</v>
      </c>
      <c r="V313" s="5">
        <f t="shared" si="14"/>
        <v>2.8534739613076635E-2</v>
      </c>
      <c r="W313" s="3">
        <v>2.8534739613076635E-2</v>
      </c>
    </row>
    <row r="314" spans="1:23" x14ac:dyDescent="0.55000000000000004">
      <c r="A314" s="3">
        <v>22</v>
      </c>
      <c r="B314" s="3" t="s">
        <v>48</v>
      </c>
      <c r="C314" s="3" t="s">
        <v>49</v>
      </c>
      <c r="D314" s="3" t="s">
        <v>38</v>
      </c>
      <c r="E314" s="2" t="s">
        <v>20</v>
      </c>
      <c r="F314" s="3">
        <v>30</v>
      </c>
      <c r="G314" s="4">
        <v>27.2</v>
      </c>
      <c r="H314" s="4">
        <v>69.900000000000006</v>
      </c>
      <c r="I314" s="6">
        <v>5.2830959491717913</v>
      </c>
      <c r="J314" s="5">
        <v>4.8000000000000001E-2</v>
      </c>
      <c r="K314" s="4">
        <v>23.3</v>
      </c>
      <c r="L314" s="4">
        <v>52.4</v>
      </c>
      <c r="M314" s="6">
        <v>4.2577907819255696</v>
      </c>
      <c r="N314" s="5">
        <v>4.4999999999999998E-2</v>
      </c>
      <c r="O314" s="5">
        <v>1.0253051672462217</v>
      </c>
      <c r="P314" s="5">
        <v>1.0253051672462217</v>
      </c>
      <c r="Q314" s="8">
        <v>0.20833333333333334</v>
      </c>
      <c r="R314" s="8">
        <v>0.88541666666666663</v>
      </c>
      <c r="S314" s="6">
        <f t="shared" si="12"/>
        <v>16.25</v>
      </c>
      <c r="T314" s="5">
        <f t="shared" si="13"/>
        <v>6.3095702599767489E-2</v>
      </c>
      <c r="U314" s="3">
        <v>2.21</v>
      </c>
      <c r="V314" s="5">
        <f t="shared" si="14"/>
        <v>2.8550091674102936E-2</v>
      </c>
      <c r="W314" s="3">
        <v>2.8550091674102936E-2</v>
      </c>
    </row>
    <row r="315" spans="1:23" x14ac:dyDescent="0.55000000000000004">
      <c r="A315" s="3">
        <v>62</v>
      </c>
      <c r="B315" s="3" t="s">
        <v>52</v>
      </c>
      <c r="C315" s="3" t="s">
        <v>49</v>
      </c>
      <c r="D315" s="3" t="s">
        <v>40</v>
      </c>
      <c r="E315" s="2" t="s">
        <v>17</v>
      </c>
      <c r="F315" s="3">
        <v>19</v>
      </c>
      <c r="G315" s="4">
        <v>21.8</v>
      </c>
      <c r="H315" s="4">
        <v>74.599999999999994</v>
      </c>
      <c r="I315" s="6">
        <v>6.2394664413239092</v>
      </c>
      <c r="J315" s="5">
        <v>3.2000000000000001E-2</v>
      </c>
      <c r="K315" s="4">
        <v>16.5</v>
      </c>
      <c r="L315" s="4">
        <v>56</v>
      </c>
      <c r="M315" s="6">
        <v>5.215041960860372</v>
      </c>
      <c r="N315" s="5">
        <v>0.03</v>
      </c>
      <c r="O315" s="5">
        <v>1.0244244804635372</v>
      </c>
      <c r="P315" s="5">
        <v>1.0244244804635372</v>
      </c>
      <c r="Q315" s="8">
        <v>0.19930555555555554</v>
      </c>
      <c r="R315" s="8">
        <v>0.875</v>
      </c>
      <c r="S315" s="6">
        <f t="shared" si="12"/>
        <v>16.216666666666669</v>
      </c>
      <c r="T315" s="5">
        <f t="shared" si="13"/>
        <v>6.317108820946786E-2</v>
      </c>
      <c r="U315" s="3">
        <v>2.21</v>
      </c>
      <c r="V315" s="5">
        <f t="shared" si="14"/>
        <v>2.8584202809713962E-2</v>
      </c>
      <c r="W315" s="3">
        <v>2.8584202809713962E-2</v>
      </c>
    </row>
    <row r="316" spans="1:23" x14ac:dyDescent="0.55000000000000004">
      <c r="A316" s="3">
        <v>42</v>
      </c>
      <c r="B316" s="3" t="s">
        <v>53</v>
      </c>
      <c r="C316" s="3" t="s">
        <v>49</v>
      </c>
      <c r="D316" s="3" t="s">
        <v>41</v>
      </c>
      <c r="E316" s="2" t="s">
        <v>22</v>
      </c>
      <c r="F316" s="3">
        <v>37</v>
      </c>
      <c r="G316" s="4">
        <v>28.2</v>
      </c>
      <c r="H316" s="4">
        <v>68.3</v>
      </c>
      <c r="I316" s="6">
        <v>5.0702878527735802</v>
      </c>
      <c r="J316" s="5">
        <v>7.0000000000000007E-2</v>
      </c>
      <c r="K316" s="4">
        <v>24</v>
      </c>
      <c r="L316" s="4">
        <v>50.3</v>
      </c>
      <c r="M316" s="6">
        <v>4.033225689035163</v>
      </c>
      <c r="N316" s="5">
        <v>6.6000000000000003E-2</v>
      </c>
      <c r="O316" s="5">
        <v>1.0370621637384172</v>
      </c>
      <c r="P316" s="5">
        <v>1.0370621637384172</v>
      </c>
      <c r="Q316" s="8">
        <v>0.20138888888888887</v>
      </c>
      <c r="R316" s="8">
        <v>0.88541666666666663</v>
      </c>
      <c r="S316" s="6">
        <f t="shared" si="12"/>
        <v>16.416666666666668</v>
      </c>
      <c r="T316" s="5">
        <f t="shared" si="13"/>
        <v>6.3171299314015258E-2</v>
      </c>
      <c r="U316" s="3">
        <v>2.21</v>
      </c>
      <c r="V316" s="5">
        <f t="shared" si="14"/>
        <v>2.8584298332133599E-2</v>
      </c>
      <c r="W316" s="3">
        <v>2.8584298332133599E-2</v>
      </c>
    </row>
    <row r="317" spans="1:23" x14ac:dyDescent="0.55000000000000004">
      <c r="A317" s="3">
        <v>19</v>
      </c>
      <c r="B317" s="3" t="s">
        <v>53</v>
      </c>
      <c r="C317" s="3" t="s">
        <v>49</v>
      </c>
      <c r="D317" s="3" t="s">
        <v>41</v>
      </c>
      <c r="E317" s="2" t="s">
        <v>15</v>
      </c>
      <c r="F317" s="3">
        <v>12</v>
      </c>
      <c r="G317" s="4">
        <v>22.6</v>
      </c>
      <c r="H317" s="4">
        <v>101.4</v>
      </c>
      <c r="I317" s="6">
        <v>8.3505826456336472</v>
      </c>
      <c r="J317" s="5">
        <v>2.5999999999999999E-2</v>
      </c>
      <c r="K317" s="4">
        <v>19.600000000000001</v>
      </c>
      <c r="L317" s="4">
        <v>84.1</v>
      </c>
      <c r="M317" s="6">
        <v>7.3471952102438287</v>
      </c>
      <c r="N317" s="5">
        <v>2.5999999999999999E-2</v>
      </c>
      <c r="O317" s="5">
        <v>1.0033874353898184</v>
      </c>
      <c r="P317" s="5">
        <v>1.0033874353898184</v>
      </c>
      <c r="Q317" s="8">
        <v>0.21319444444444444</v>
      </c>
      <c r="R317" s="8">
        <v>0.875</v>
      </c>
      <c r="S317" s="6">
        <f t="shared" si="12"/>
        <v>15.883333333333333</v>
      </c>
      <c r="T317" s="5">
        <f t="shared" si="13"/>
        <v>6.3172346404395702E-2</v>
      </c>
      <c r="U317" s="3">
        <v>2.21</v>
      </c>
      <c r="V317" s="5">
        <f t="shared" si="14"/>
        <v>2.8584772128685841E-2</v>
      </c>
      <c r="W317" s="3">
        <v>2.8584772128685841E-2</v>
      </c>
    </row>
    <row r="318" spans="1:23" x14ac:dyDescent="0.55000000000000004">
      <c r="A318" s="3">
        <v>40</v>
      </c>
      <c r="B318" s="3" t="s">
        <v>48</v>
      </c>
      <c r="C318" s="3" t="s">
        <v>50</v>
      </c>
      <c r="D318" s="3" t="s">
        <v>10</v>
      </c>
      <c r="E318" s="2" t="s">
        <v>24</v>
      </c>
      <c r="F318" s="3">
        <v>44</v>
      </c>
      <c r="G318" s="4">
        <v>25.5</v>
      </c>
      <c r="H318" s="4">
        <v>82.6</v>
      </c>
      <c r="I318" s="6">
        <v>6.4400753813887457</v>
      </c>
      <c r="J318" s="5">
        <v>5.8999999999999997E-2</v>
      </c>
      <c r="K318" s="4">
        <v>21</v>
      </c>
      <c r="L318" s="4">
        <v>63.3</v>
      </c>
      <c r="M318" s="6">
        <v>5.3779962967376038</v>
      </c>
      <c r="N318" s="5">
        <v>5.2999999999999999E-2</v>
      </c>
      <c r="O318" s="5">
        <v>1.0620790846511419</v>
      </c>
      <c r="P318" s="5">
        <v>1.0620790846511419</v>
      </c>
      <c r="Q318" s="8">
        <v>0.20277777777777781</v>
      </c>
      <c r="R318" s="8">
        <v>0.90277777777777779</v>
      </c>
      <c r="S318" s="6">
        <f t="shared" si="12"/>
        <v>16.799999999999997</v>
      </c>
      <c r="T318" s="5">
        <f t="shared" si="13"/>
        <v>6.3218993133996551E-2</v>
      </c>
      <c r="U318" s="3">
        <v>2.21</v>
      </c>
      <c r="V318" s="5">
        <f t="shared" si="14"/>
        <v>2.8605879246152287E-2</v>
      </c>
      <c r="W318" s="3">
        <v>2.8605879246152287E-2</v>
      </c>
    </row>
    <row r="319" spans="1:23" x14ac:dyDescent="0.55000000000000004">
      <c r="A319" s="3">
        <v>63</v>
      </c>
      <c r="B319" s="3" t="s">
        <v>51</v>
      </c>
      <c r="C319" s="3" t="s">
        <v>49</v>
      </c>
      <c r="D319" s="3" t="s">
        <v>39</v>
      </c>
      <c r="E319" s="2" t="s">
        <v>16</v>
      </c>
      <c r="F319" s="3">
        <v>16</v>
      </c>
      <c r="G319" s="4">
        <v>21.1</v>
      </c>
      <c r="H319" s="4">
        <v>91.3</v>
      </c>
      <c r="I319" s="6">
        <v>7.7416261322993707</v>
      </c>
      <c r="J319" s="5">
        <v>2.5999999999999999E-2</v>
      </c>
      <c r="K319" s="4">
        <v>19.7</v>
      </c>
      <c r="L319" s="4">
        <v>77.3</v>
      </c>
      <c r="M319" s="6">
        <v>6.739563537557526</v>
      </c>
      <c r="N319" s="5">
        <v>2.5000000000000001E-2</v>
      </c>
      <c r="O319" s="5">
        <v>1.0020625947418447</v>
      </c>
      <c r="P319" s="5">
        <v>1.0020625947418447</v>
      </c>
      <c r="Q319" s="8">
        <v>0.20833333333333334</v>
      </c>
      <c r="R319" s="8">
        <v>0.86805555555555547</v>
      </c>
      <c r="S319" s="6">
        <f t="shared" si="12"/>
        <v>15.83333333333333</v>
      </c>
      <c r="T319" s="5">
        <f t="shared" si="13"/>
        <v>6.3288163878432308E-2</v>
      </c>
      <c r="U319" s="3">
        <v>2.21</v>
      </c>
      <c r="V319" s="5">
        <f t="shared" si="14"/>
        <v>2.8637178225534979E-2</v>
      </c>
      <c r="W319" s="3">
        <v>2.8637178225534979E-2</v>
      </c>
    </row>
    <row r="320" spans="1:23" x14ac:dyDescent="0.55000000000000004">
      <c r="A320" s="3">
        <v>22</v>
      </c>
      <c r="B320" s="3" t="s">
        <v>48</v>
      </c>
      <c r="C320" s="3" t="s">
        <v>49</v>
      </c>
      <c r="D320" s="3" t="s">
        <v>38</v>
      </c>
      <c r="E320" s="2" t="s">
        <v>21</v>
      </c>
      <c r="F320" s="3">
        <v>33</v>
      </c>
      <c r="G320" s="4">
        <v>29.7</v>
      </c>
      <c r="H320" s="4">
        <v>56.9</v>
      </c>
      <c r="I320" s="6">
        <v>4.1135210735165773</v>
      </c>
      <c r="J320" s="5">
        <v>5.8000000000000003E-2</v>
      </c>
      <c r="K320" s="4">
        <v>26</v>
      </c>
      <c r="L320" s="4">
        <v>40</v>
      </c>
      <c r="M320" s="6">
        <v>3.0900698513347522</v>
      </c>
      <c r="N320" s="5">
        <v>5.7000000000000002E-2</v>
      </c>
      <c r="O320" s="5">
        <v>1.023451222181825</v>
      </c>
      <c r="P320" s="5">
        <v>1.023451222181825</v>
      </c>
      <c r="Q320" s="8">
        <v>0.20833333333333334</v>
      </c>
      <c r="R320" s="8">
        <v>0.88194444444444453</v>
      </c>
      <c r="S320" s="6">
        <f t="shared" si="12"/>
        <v>16.166666666666668</v>
      </c>
      <c r="T320" s="5">
        <f t="shared" si="13"/>
        <v>6.3306261165886085E-2</v>
      </c>
      <c r="U320" s="3">
        <v>2.21</v>
      </c>
      <c r="V320" s="5">
        <f t="shared" si="14"/>
        <v>2.8645367043387368E-2</v>
      </c>
      <c r="W320" s="3">
        <v>2.8645367043387368E-2</v>
      </c>
    </row>
    <row r="321" spans="1:23" x14ac:dyDescent="0.55000000000000004">
      <c r="A321" s="3">
        <v>4</v>
      </c>
      <c r="B321" s="3" t="s">
        <v>48</v>
      </c>
      <c r="C321" s="3" t="s">
        <v>49</v>
      </c>
      <c r="D321" s="3" t="s">
        <v>38</v>
      </c>
      <c r="E321" s="2" t="s">
        <v>13</v>
      </c>
      <c r="F321" s="3">
        <v>8</v>
      </c>
      <c r="G321" s="4">
        <v>21.8</v>
      </c>
      <c r="H321" s="4">
        <v>104.1</v>
      </c>
      <c r="I321" s="6">
        <v>8.7068157713380554</v>
      </c>
      <c r="J321" s="5">
        <v>2.1999999999999999E-2</v>
      </c>
      <c r="K321" s="4">
        <v>19</v>
      </c>
      <c r="L321" s="4">
        <v>87.2</v>
      </c>
      <c r="M321" s="6">
        <v>7.7109801181438593</v>
      </c>
      <c r="N321" s="5">
        <v>2.1000000000000001E-2</v>
      </c>
      <c r="O321" s="5">
        <v>0.99583565319419609</v>
      </c>
      <c r="P321" s="5">
        <v>0.99583565319419609</v>
      </c>
      <c r="Q321" s="8">
        <v>0.20833333333333334</v>
      </c>
      <c r="R321" s="8">
        <v>0.86319444444444438</v>
      </c>
      <c r="S321" s="6">
        <f t="shared" si="12"/>
        <v>15.716666666666665</v>
      </c>
      <c r="T321" s="5">
        <f t="shared" si="13"/>
        <v>6.3361759482133378E-2</v>
      </c>
      <c r="U321" s="3">
        <v>2.21</v>
      </c>
      <c r="V321" s="5">
        <f t="shared" si="14"/>
        <v>2.8670479403680258E-2</v>
      </c>
      <c r="W321" s="3">
        <v>2.8670479403680258E-2</v>
      </c>
    </row>
    <row r="322" spans="1:23" x14ac:dyDescent="0.55000000000000004">
      <c r="A322" s="3">
        <v>62</v>
      </c>
      <c r="B322" s="3" t="s">
        <v>52</v>
      </c>
      <c r="C322" s="3" t="s">
        <v>49</v>
      </c>
      <c r="D322" s="3" t="s">
        <v>40</v>
      </c>
      <c r="E322" s="2" t="s">
        <v>15</v>
      </c>
      <c r="F322" s="3">
        <v>12</v>
      </c>
      <c r="G322" s="4">
        <v>22.8</v>
      </c>
      <c r="H322" s="4">
        <v>112.8</v>
      </c>
      <c r="I322" s="6">
        <v>9.2537442457854624</v>
      </c>
      <c r="J322" s="5">
        <v>2.5000000000000001E-2</v>
      </c>
      <c r="K322" s="4">
        <v>19.600000000000001</v>
      </c>
      <c r="L322" s="4">
        <v>94.4</v>
      </c>
      <c r="M322" s="6">
        <v>8.2470300576339781</v>
      </c>
      <c r="N322" s="5">
        <v>2.4E-2</v>
      </c>
      <c r="O322" s="5">
        <v>1.0067141881514843</v>
      </c>
      <c r="P322" s="5">
        <v>1.0067141881514843</v>
      </c>
      <c r="Q322" s="8">
        <v>0.21319444444444444</v>
      </c>
      <c r="R322" s="8">
        <v>0.875</v>
      </c>
      <c r="S322" s="6">
        <f t="shared" ref="S322:S385" si="15">(R322-Q322)*24</f>
        <v>15.883333333333333</v>
      </c>
      <c r="T322" s="5">
        <f t="shared" ref="T322:T385" si="16">P322/S322</f>
        <v>6.3381795686347386E-2</v>
      </c>
      <c r="U322" s="3">
        <v>2.21</v>
      </c>
      <c r="V322" s="5">
        <f t="shared" ref="V322:V385" si="17">(I322-M322)/U322/S322</f>
        <v>2.8679545559433209E-2</v>
      </c>
      <c r="W322" s="3">
        <v>2.8679545559433209E-2</v>
      </c>
    </row>
    <row r="323" spans="1:23" x14ac:dyDescent="0.55000000000000004">
      <c r="A323" s="3">
        <v>4</v>
      </c>
      <c r="B323" s="3" t="s">
        <v>48</v>
      </c>
      <c r="C323" s="3" t="s">
        <v>49</v>
      </c>
      <c r="D323" s="3" t="s">
        <v>38</v>
      </c>
      <c r="E323" s="2" t="s">
        <v>19</v>
      </c>
      <c r="F323" s="3">
        <v>26</v>
      </c>
      <c r="G323" s="4">
        <v>27.4</v>
      </c>
      <c r="H323" s="4">
        <v>87.2</v>
      </c>
      <c r="I323" s="6">
        <v>6.5668892882126473</v>
      </c>
      <c r="J323" s="5">
        <v>3.9E-2</v>
      </c>
      <c r="K323" s="4">
        <v>22.5</v>
      </c>
      <c r="L323" s="4">
        <v>67.099999999999994</v>
      </c>
      <c r="M323" s="6">
        <v>5.5365388189936997</v>
      </c>
      <c r="N323" s="5">
        <v>3.5999999999999997E-2</v>
      </c>
      <c r="O323" s="5">
        <v>1.0303504692189476</v>
      </c>
      <c r="P323" s="5">
        <v>1.0303504692189476</v>
      </c>
      <c r="Q323" s="8">
        <v>0.20833333333333334</v>
      </c>
      <c r="R323" s="8">
        <v>0.88541666666666663</v>
      </c>
      <c r="S323" s="6">
        <f t="shared" si="15"/>
        <v>16.25</v>
      </c>
      <c r="T323" s="5">
        <f t="shared" si="16"/>
        <v>6.3406182721166007E-2</v>
      </c>
      <c r="U323" s="3">
        <v>2.21</v>
      </c>
      <c r="V323" s="5">
        <f t="shared" si="17"/>
        <v>2.8690580416817199E-2</v>
      </c>
      <c r="W323" s="3">
        <v>2.8690580416817199E-2</v>
      </c>
    </row>
    <row r="324" spans="1:23" x14ac:dyDescent="0.55000000000000004">
      <c r="A324" s="3">
        <v>10</v>
      </c>
      <c r="B324" s="3" t="s">
        <v>51</v>
      </c>
      <c r="C324" s="3" t="s">
        <v>49</v>
      </c>
      <c r="D324" s="3" t="s">
        <v>39</v>
      </c>
      <c r="E324" s="3" t="s">
        <v>33</v>
      </c>
      <c r="F324" s="3">
        <v>75</v>
      </c>
      <c r="G324" s="4">
        <v>27.8</v>
      </c>
      <c r="H324" s="4">
        <v>73</v>
      </c>
      <c r="I324" s="6">
        <v>5.458109426379087</v>
      </c>
      <c r="J324" s="5">
        <v>5.8000000000000003E-2</v>
      </c>
      <c r="K324" s="4">
        <v>24.1</v>
      </c>
      <c r="L324" s="4">
        <v>55.3</v>
      </c>
      <c r="M324" s="6">
        <v>4.425783936110145</v>
      </c>
      <c r="N324" s="5">
        <v>0.05</v>
      </c>
      <c r="O324" s="5">
        <v>1.032325490268942</v>
      </c>
      <c r="P324" s="5">
        <v>1.032325490268942</v>
      </c>
      <c r="Q324" s="8">
        <v>0.20833333333333334</v>
      </c>
      <c r="R324" s="8">
        <v>0.88541666666666663</v>
      </c>
      <c r="S324" s="6">
        <f t="shared" si="15"/>
        <v>16.25</v>
      </c>
      <c r="T324" s="5">
        <f t="shared" si="16"/>
        <v>6.3527722478088744E-2</v>
      </c>
      <c r="U324" s="3">
        <v>2.21</v>
      </c>
      <c r="V324" s="5">
        <f t="shared" si="17"/>
        <v>2.8745575781940608E-2</v>
      </c>
      <c r="W324" s="3">
        <v>2.8745575781940608E-2</v>
      </c>
    </row>
    <row r="325" spans="1:23" x14ac:dyDescent="0.55000000000000004">
      <c r="A325" s="3">
        <v>45</v>
      </c>
      <c r="B325" s="3" t="s">
        <v>48</v>
      </c>
      <c r="C325" s="3" t="s">
        <v>50</v>
      </c>
      <c r="D325" s="3" t="s">
        <v>10</v>
      </c>
      <c r="E325" s="3" t="s">
        <v>35</v>
      </c>
      <c r="F325" s="3">
        <v>82</v>
      </c>
      <c r="G325" s="4">
        <v>31.6</v>
      </c>
      <c r="H325" s="4">
        <v>70.900000000000006</v>
      </c>
      <c r="I325" s="6">
        <v>4.9599728713746583</v>
      </c>
      <c r="J325" s="5">
        <v>6.7000000000000004E-2</v>
      </c>
      <c r="K325" s="4">
        <v>27.3</v>
      </c>
      <c r="L325" s="4">
        <v>52</v>
      </c>
      <c r="M325" s="6">
        <v>3.9231064340510162</v>
      </c>
      <c r="N325" s="5">
        <v>6.4000000000000001E-2</v>
      </c>
      <c r="O325" s="5">
        <v>1.036866437323642</v>
      </c>
      <c r="P325" s="5">
        <v>1.036866437323642</v>
      </c>
      <c r="Q325" s="8">
        <v>0.20833333333333334</v>
      </c>
      <c r="R325" s="8">
        <v>0.88541666666666663</v>
      </c>
      <c r="S325" s="6">
        <f t="shared" si="15"/>
        <v>16.25</v>
      </c>
      <c r="T325" s="5">
        <f t="shared" si="16"/>
        <v>6.3807165373762589E-2</v>
      </c>
      <c r="U325" s="3">
        <v>2.21</v>
      </c>
      <c r="V325" s="5">
        <f t="shared" si="17"/>
        <v>2.8872020531114293E-2</v>
      </c>
      <c r="W325" s="3">
        <v>2.8872020531114293E-2</v>
      </c>
    </row>
    <row r="326" spans="1:23" x14ac:dyDescent="0.55000000000000004">
      <c r="A326" s="3">
        <v>48</v>
      </c>
      <c r="B326" s="3" t="s">
        <v>52</v>
      </c>
      <c r="C326" s="3" t="s">
        <v>49</v>
      </c>
      <c r="D326" s="3" t="s">
        <v>40</v>
      </c>
      <c r="E326" s="2" t="s">
        <v>21</v>
      </c>
      <c r="F326" s="3">
        <v>33</v>
      </c>
      <c r="G326" s="4">
        <v>29.1</v>
      </c>
      <c r="H326" s="4">
        <v>61.3</v>
      </c>
      <c r="I326" s="6">
        <v>4.4785708151507366</v>
      </c>
      <c r="J326" s="5">
        <v>7.5999999999999998E-2</v>
      </c>
      <c r="K326" s="4">
        <v>26</v>
      </c>
      <c r="L326" s="4">
        <v>44.6</v>
      </c>
      <c r="M326" s="6">
        <v>3.4454278842382484</v>
      </c>
      <c r="N326" s="5">
        <v>7.0000000000000007E-2</v>
      </c>
      <c r="O326" s="5">
        <v>1.0331429309124882</v>
      </c>
      <c r="P326" s="5">
        <v>1.0331429309124882</v>
      </c>
      <c r="Q326" s="8">
        <v>0.20833333333333334</v>
      </c>
      <c r="R326" s="8">
        <v>0.88194444444444453</v>
      </c>
      <c r="S326" s="6">
        <f t="shared" si="15"/>
        <v>16.166666666666668</v>
      </c>
      <c r="T326" s="5">
        <f t="shared" si="16"/>
        <v>6.3905748303865251E-2</v>
      </c>
      <c r="U326" s="3">
        <v>2.21</v>
      </c>
      <c r="V326" s="5">
        <f t="shared" si="17"/>
        <v>2.891662819179423E-2</v>
      </c>
      <c r="W326" s="3">
        <v>2.891662819179423E-2</v>
      </c>
    </row>
    <row r="327" spans="1:23" x14ac:dyDescent="0.55000000000000004">
      <c r="A327" s="3">
        <v>51</v>
      </c>
      <c r="B327" s="3" t="s">
        <v>48</v>
      </c>
      <c r="C327" s="3" t="s">
        <v>50</v>
      </c>
      <c r="D327" s="3" t="s">
        <v>10</v>
      </c>
      <c r="E327" s="2" t="s">
        <v>17</v>
      </c>
      <c r="F327" s="3">
        <v>19</v>
      </c>
      <c r="G327" s="4">
        <v>21.9</v>
      </c>
      <c r="H327" s="4">
        <v>70.599999999999994</v>
      </c>
      <c r="I327" s="6">
        <v>5.8934262855432973</v>
      </c>
      <c r="J327" s="5">
        <v>4.5999999999999999E-2</v>
      </c>
      <c r="K327" s="4">
        <v>17</v>
      </c>
      <c r="L327" s="4">
        <v>52.7</v>
      </c>
      <c r="M327" s="6">
        <v>4.8564051510459683</v>
      </c>
      <c r="N327" s="5">
        <v>4.1000000000000002E-2</v>
      </c>
      <c r="O327" s="5">
        <v>1.037021134497329</v>
      </c>
      <c r="P327" s="5">
        <v>1.037021134497329</v>
      </c>
      <c r="Q327" s="8">
        <v>0.19930555555555554</v>
      </c>
      <c r="R327" s="8">
        <v>0.875</v>
      </c>
      <c r="S327" s="6">
        <f t="shared" si="15"/>
        <v>16.216666666666669</v>
      </c>
      <c r="T327" s="5">
        <f t="shared" si="16"/>
        <v>6.3947860297882561E-2</v>
      </c>
      <c r="U327" s="3">
        <v>2.21</v>
      </c>
      <c r="V327" s="5">
        <f t="shared" si="17"/>
        <v>2.8935683392707041E-2</v>
      </c>
      <c r="W327" s="3">
        <v>2.8935683392707041E-2</v>
      </c>
    </row>
    <row r="328" spans="1:23" x14ac:dyDescent="0.55000000000000004">
      <c r="A328" s="3">
        <v>53</v>
      </c>
      <c r="B328" s="3" t="s">
        <v>48</v>
      </c>
      <c r="C328" s="3" t="s">
        <v>49</v>
      </c>
      <c r="D328" s="3" t="s">
        <v>38</v>
      </c>
      <c r="E328" s="2" t="s">
        <v>8</v>
      </c>
      <c r="F328" s="3">
        <v>5</v>
      </c>
      <c r="G328" s="4">
        <v>20.9</v>
      </c>
      <c r="H328" s="4">
        <v>110.1</v>
      </c>
      <c r="I328" s="6">
        <v>9.3726140787146548</v>
      </c>
      <c r="J328" s="5">
        <v>0.02</v>
      </c>
      <c r="K328" s="4">
        <v>15.8</v>
      </c>
      <c r="L328" s="4">
        <v>88.4</v>
      </c>
      <c r="M328" s="6">
        <v>8.3555439705468935</v>
      </c>
      <c r="N328" s="5">
        <v>1.7999999999999999E-2</v>
      </c>
      <c r="O328" s="5">
        <v>1.0170701081677613</v>
      </c>
      <c r="P328" s="5">
        <v>1.0170701081677613</v>
      </c>
      <c r="Q328" s="8">
        <v>0.20833333333333334</v>
      </c>
      <c r="R328" s="8">
        <v>0.87083333333333324</v>
      </c>
      <c r="S328" s="6">
        <f t="shared" si="15"/>
        <v>15.899999999999997</v>
      </c>
      <c r="T328" s="5">
        <f t="shared" si="16"/>
        <v>6.396667346967054E-2</v>
      </c>
      <c r="U328" s="3">
        <v>2.21</v>
      </c>
      <c r="V328" s="5">
        <f t="shared" si="17"/>
        <v>2.8944196140122416E-2</v>
      </c>
      <c r="W328" s="3">
        <v>2.8944196140122416E-2</v>
      </c>
    </row>
    <row r="329" spans="1:23" x14ac:dyDescent="0.55000000000000004">
      <c r="A329" s="3">
        <v>23</v>
      </c>
      <c r="B329" s="3" t="s">
        <v>52</v>
      </c>
      <c r="C329" s="3" t="s">
        <v>49</v>
      </c>
      <c r="D329" s="3" t="s">
        <v>40</v>
      </c>
      <c r="E329" s="2" t="s">
        <v>23</v>
      </c>
      <c r="F329" s="3">
        <v>40</v>
      </c>
      <c r="G329" s="4">
        <v>28</v>
      </c>
      <c r="H329" s="4">
        <v>75.099999999999994</v>
      </c>
      <c r="I329" s="6">
        <v>5.595044544985516</v>
      </c>
      <c r="J329" s="5">
        <v>6.8000000000000005E-2</v>
      </c>
      <c r="K329" s="4">
        <v>23.7</v>
      </c>
      <c r="L329" s="4">
        <v>56.4</v>
      </c>
      <c r="M329" s="6">
        <v>4.5480885861597153</v>
      </c>
      <c r="N329" s="5">
        <v>5.8999999999999997E-2</v>
      </c>
      <c r="O329" s="5">
        <v>1.0469559588258006</v>
      </c>
      <c r="P329" s="5">
        <v>1.0469559588258006</v>
      </c>
      <c r="Q329" s="8">
        <v>0.20833333333333334</v>
      </c>
      <c r="R329" s="8">
        <v>0.89027777777777783</v>
      </c>
      <c r="S329" s="6">
        <f t="shared" si="15"/>
        <v>16.366666666666667</v>
      </c>
      <c r="T329" s="5">
        <f t="shared" si="16"/>
        <v>6.3968795854936894E-2</v>
      </c>
      <c r="U329" s="3">
        <v>2.21</v>
      </c>
      <c r="V329" s="5">
        <f t="shared" si="17"/>
        <v>2.8945156495446562E-2</v>
      </c>
      <c r="W329" s="3">
        <v>2.8945156495446562E-2</v>
      </c>
    </row>
    <row r="330" spans="1:23" x14ac:dyDescent="0.55000000000000004">
      <c r="A330" s="3">
        <v>4</v>
      </c>
      <c r="B330" s="3" t="s">
        <v>48</v>
      </c>
      <c r="C330" s="3" t="s">
        <v>49</v>
      </c>
      <c r="D330" s="3" t="s">
        <v>38</v>
      </c>
      <c r="E330" s="2" t="s">
        <v>21</v>
      </c>
      <c r="F330" s="3">
        <v>33</v>
      </c>
      <c r="G330" s="4">
        <v>29.7</v>
      </c>
      <c r="H330" s="4">
        <v>68.3</v>
      </c>
      <c r="I330" s="6">
        <v>4.9376711655743799</v>
      </c>
      <c r="J330" s="5">
        <v>5.6000000000000001E-2</v>
      </c>
      <c r="K330" s="4">
        <v>25.9</v>
      </c>
      <c r="L330" s="4">
        <v>50.4</v>
      </c>
      <c r="M330" s="6">
        <v>3.9006518716200578</v>
      </c>
      <c r="N330" s="5">
        <v>5.8000000000000003E-2</v>
      </c>
      <c r="O330" s="5">
        <v>1.0370192939543221</v>
      </c>
      <c r="P330" s="5">
        <v>1.0370192939543221</v>
      </c>
      <c r="Q330" s="8">
        <v>0.20833333333333334</v>
      </c>
      <c r="R330" s="8">
        <v>0.88194444444444453</v>
      </c>
      <c r="S330" s="6">
        <f t="shared" si="15"/>
        <v>16.166666666666668</v>
      </c>
      <c r="T330" s="5">
        <f t="shared" si="16"/>
        <v>6.4145523337380744E-2</v>
      </c>
      <c r="U330" s="3">
        <v>2.21</v>
      </c>
      <c r="V330" s="5">
        <f t="shared" si="17"/>
        <v>2.9025123682072735E-2</v>
      </c>
      <c r="W330" s="3">
        <v>2.9025123682072735E-2</v>
      </c>
    </row>
    <row r="331" spans="1:23" x14ac:dyDescent="0.55000000000000004">
      <c r="A331" s="3">
        <v>57</v>
      </c>
      <c r="B331" s="3" t="s">
        <v>52</v>
      </c>
      <c r="C331" s="3" t="s">
        <v>50</v>
      </c>
      <c r="D331" s="3" t="s">
        <v>12</v>
      </c>
      <c r="E331" s="2" t="s">
        <v>8</v>
      </c>
      <c r="F331" s="3">
        <v>5</v>
      </c>
      <c r="G331" s="4">
        <v>20.399999999999999</v>
      </c>
      <c r="H331" s="4">
        <v>123.1</v>
      </c>
      <c r="I331" s="6">
        <v>10.583603685124331</v>
      </c>
      <c r="J331" s="5">
        <v>3.2000000000000001E-2</v>
      </c>
      <c r="K331" s="4">
        <v>15.3</v>
      </c>
      <c r="L331" s="4">
        <v>100.1</v>
      </c>
      <c r="M331" s="6">
        <v>9.5633489159397485</v>
      </c>
      <c r="N331" s="5">
        <v>2.9000000000000001E-2</v>
      </c>
      <c r="O331" s="5">
        <v>1.0202547691845822</v>
      </c>
      <c r="P331" s="5">
        <v>1.0202547691845822</v>
      </c>
      <c r="Q331" s="8">
        <v>0.20833333333333334</v>
      </c>
      <c r="R331" s="8">
        <v>0.87083333333333324</v>
      </c>
      <c r="S331" s="6">
        <f t="shared" si="15"/>
        <v>15.899999999999997</v>
      </c>
      <c r="T331" s="5">
        <f t="shared" si="16"/>
        <v>6.4166966615382542E-2</v>
      </c>
      <c r="U331" s="3">
        <v>2.21</v>
      </c>
      <c r="V331" s="5">
        <f t="shared" si="17"/>
        <v>2.9034826522797531E-2</v>
      </c>
      <c r="W331" s="3">
        <v>2.9034826522797531E-2</v>
      </c>
    </row>
    <row r="332" spans="1:23" x14ac:dyDescent="0.55000000000000004">
      <c r="A332" s="3">
        <v>53</v>
      </c>
      <c r="B332" s="3" t="s">
        <v>48</v>
      </c>
      <c r="C332" s="3" t="s">
        <v>49</v>
      </c>
      <c r="D332" s="3" t="s">
        <v>38</v>
      </c>
      <c r="E332" s="2" t="s">
        <v>25</v>
      </c>
      <c r="F332" s="3">
        <v>47</v>
      </c>
      <c r="G332" s="4">
        <v>29</v>
      </c>
      <c r="H332" s="4">
        <v>75.099999999999994</v>
      </c>
      <c r="I332" s="6">
        <v>5.4964876580492374</v>
      </c>
      <c r="J332" s="5">
        <v>7.4999999999999997E-2</v>
      </c>
      <c r="K332" s="4">
        <v>25.7</v>
      </c>
      <c r="L332" s="4">
        <v>57.1</v>
      </c>
      <c r="M332" s="6">
        <v>4.4355013063697148</v>
      </c>
      <c r="N332" s="5">
        <v>7.1999999999999995E-2</v>
      </c>
      <c r="O332" s="5">
        <v>1.0609863516795226</v>
      </c>
      <c r="P332" s="5">
        <v>1.0609863516795226</v>
      </c>
      <c r="Q332" s="8">
        <v>0.20833333333333334</v>
      </c>
      <c r="R332" s="8">
        <v>0.89583333333333337</v>
      </c>
      <c r="S332" s="6">
        <f t="shared" si="15"/>
        <v>16.5</v>
      </c>
      <c r="T332" s="5">
        <f t="shared" si="16"/>
        <v>6.4302203132092284E-2</v>
      </c>
      <c r="U332" s="3">
        <v>2.21</v>
      </c>
      <c r="V332" s="5">
        <f t="shared" si="17"/>
        <v>2.9096019516783835E-2</v>
      </c>
      <c r="W332" s="3">
        <v>2.9096019516783835E-2</v>
      </c>
    </row>
    <row r="333" spans="1:23" x14ac:dyDescent="0.55000000000000004">
      <c r="A333" s="3">
        <v>1</v>
      </c>
      <c r="B333" s="3" t="s">
        <v>51</v>
      </c>
      <c r="C333" s="3" t="s">
        <v>49</v>
      </c>
      <c r="D333" s="3" t="s">
        <v>39</v>
      </c>
      <c r="E333" s="2" t="s">
        <v>19</v>
      </c>
      <c r="F333" s="3">
        <v>26</v>
      </c>
      <c r="G333" s="4">
        <v>28.1</v>
      </c>
      <c r="H333" s="4">
        <v>94.3</v>
      </c>
      <c r="I333" s="6">
        <v>7.0129210172008003</v>
      </c>
      <c r="J333" s="5">
        <v>3.4000000000000002E-2</v>
      </c>
      <c r="K333" s="4">
        <v>23.2</v>
      </c>
      <c r="L333" s="4">
        <v>73.3</v>
      </c>
      <c r="M333" s="6">
        <v>5.967407894083423</v>
      </c>
      <c r="N333" s="5">
        <v>3.2000000000000001E-2</v>
      </c>
      <c r="O333" s="5">
        <v>1.0455131231173773</v>
      </c>
      <c r="P333" s="5">
        <v>1.0455131231173773</v>
      </c>
      <c r="Q333" s="8">
        <v>0.20833333333333334</v>
      </c>
      <c r="R333" s="8">
        <v>0.88541666666666663</v>
      </c>
      <c r="S333" s="6">
        <f t="shared" si="15"/>
        <v>16.25</v>
      </c>
      <c r="T333" s="5">
        <f t="shared" si="16"/>
        <v>6.4339269114915526E-2</v>
      </c>
      <c r="U333" s="3">
        <v>2.21</v>
      </c>
      <c r="V333" s="5">
        <f t="shared" si="17"/>
        <v>2.9112791454712909E-2</v>
      </c>
      <c r="W333" s="3">
        <v>2.9112791454712909E-2</v>
      </c>
    </row>
    <row r="334" spans="1:23" x14ac:dyDescent="0.55000000000000004">
      <c r="A334" s="3">
        <v>19</v>
      </c>
      <c r="B334" s="3" t="s">
        <v>53</v>
      </c>
      <c r="C334" s="3" t="s">
        <v>49</v>
      </c>
      <c r="D334" s="3" t="s">
        <v>41</v>
      </c>
      <c r="E334" s="2" t="s">
        <v>8</v>
      </c>
      <c r="F334" s="3">
        <v>5</v>
      </c>
      <c r="G334" s="4">
        <v>21.9</v>
      </c>
      <c r="H334" s="4">
        <v>112.6</v>
      </c>
      <c r="I334" s="6">
        <v>9.3994305913905851</v>
      </c>
      <c r="J334" s="5">
        <v>0.02</v>
      </c>
      <c r="K334" s="4">
        <v>15.9</v>
      </c>
      <c r="L334" s="4">
        <v>88.8</v>
      </c>
      <c r="M334" s="6">
        <v>8.3754703838150331</v>
      </c>
      <c r="N334" s="5">
        <v>1.7999999999999999E-2</v>
      </c>
      <c r="O334" s="5">
        <v>1.0239602075755521</v>
      </c>
      <c r="P334" s="5">
        <v>1.0239602075755521</v>
      </c>
      <c r="Q334" s="8">
        <v>0.20833333333333334</v>
      </c>
      <c r="R334" s="8">
        <v>0.87083333333333324</v>
      </c>
      <c r="S334" s="6">
        <f t="shared" si="15"/>
        <v>15.899999999999997</v>
      </c>
      <c r="T334" s="5">
        <f t="shared" si="16"/>
        <v>6.440001305506618E-2</v>
      </c>
      <c r="U334" s="3">
        <v>2.21</v>
      </c>
      <c r="V334" s="5">
        <f t="shared" si="17"/>
        <v>2.9140277400482435E-2</v>
      </c>
      <c r="W334" s="3">
        <v>2.9140277400482435E-2</v>
      </c>
    </row>
    <row r="335" spans="1:23" x14ac:dyDescent="0.55000000000000004">
      <c r="A335" s="3">
        <v>56</v>
      </c>
      <c r="B335" s="3" t="s">
        <v>53</v>
      </c>
      <c r="C335" s="3" t="s">
        <v>49</v>
      </c>
      <c r="D335" s="3" t="s">
        <v>41</v>
      </c>
      <c r="E335" s="2" t="s">
        <v>13</v>
      </c>
      <c r="F335" s="3">
        <v>8</v>
      </c>
      <c r="G335" s="4">
        <v>22.3</v>
      </c>
      <c r="H335" s="4">
        <v>109</v>
      </c>
      <c r="I335" s="6">
        <v>9.0285901025461062</v>
      </c>
      <c r="J335" s="5">
        <v>2.3E-2</v>
      </c>
      <c r="K335" s="4">
        <v>19.3</v>
      </c>
      <c r="L335" s="4">
        <v>91.2</v>
      </c>
      <c r="M335" s="6">
        <v>8.0158248946927575</v>
      </c>
      <c r="N335" s="5">
        <v>2.3E-2</v>
      </c>
      <c r="O335" s="5">
        <v>1.0127652078533487</v>
      </c>
      <c r="P335" s="5">
        <v>1.0127652078533487</v>
      </c>
      <c r="Q335" s="8">
        <v>0.20833333333333334</v>
      </c>
      <c r="R335" s="8">
        <v>0.86319444444444438</v>
      </c>
      <c r="S335" s="6">
        <f t="shared" si="15"/>
        <v>15.716666666666665</v>
      </c>
      <c r="T335" s="5">
        <f t="shared" si="16"/>
        <v>6.4438931570732688E-2</v>
      </c>
      <c r="U335" s="3">
        <v>2.21</v>
      </c>
      <c r="V335" s="5">
        <f t="shared" si="17"/>
        <v>2.9157887588566828E-2</v>
      </c>
      <c r="W335" s="3">
        <v>2.9157887588566828E-2</v>
      </c>
    </row>
    <row r="336" spans="1:23" x14ac:dyDescent="0.55000000000000004">
      <c r="A336" s="3">
        <v>48</v>
      </c>
      <c r="B336" s="3" t="s">
        <v>52</v>
      </c>
      <c r="C336" s="3" t="s">
        <v>49</v>
      </c>
      <c r="D336" s="3" t="s">
        <v>40</v>
      </c>
      <c r="E336" s="2" t="s">
        <v>8</v>
      </c>
      <c r="F336" s="3">
        <v>5</v>
      </c>
      <c r="G336" s="4">
        <v>21.2</v>
      </c>
      <c r="H336" s="4">
        <v>107.2</v>
      </c>
      <c r="I336" s="6">
        <v>9.0719799280319542</v>
      </c>
      <c r="J336" s="5">
        <v>0.02</v>
      </c>
      <c r="K336" s="4">
        <v>15.9</v>
      </c>
      <c r="L336" s="4">
        <v>85.3</v>
      </c>
      <c r="M336" s="6">
        <v>8.0453561231916932</v>
      </c>
      <c r="N336" s="5">
        <v>1.7999999999999999E-2</v>
      </c>
      <c r="O336" s="5">
        <v>1.0266238048402609</v>
      </c>
      <c r="P336" s="5">
        <v>1.0266238048402609</v>
      </c>
      <c r="Q336" s="8">
        <v>0.20833333333333334</v>
      </c>
      <c r="R336" s="8">
        <v>0.87083333333333324</v>
      </c>
      <c r="S336" s="6">
        <f t="shared" si="15"/>
        <v>15.899999999999997</v>
      </c>
      <c r="T336" s="5">
        <f t="shared" si="16"/>
        <v>6.4567534895613912E-2</v>
      </c>
      <c r="U336" s="3">
        <v>2.21</v>
      </c>
      <c r="V336" s="5">
        <f t="shared" si="17"/>
        <v>2.9216079138286836E-2</v>
      </c>
      <c r="W336" s="3">
        <v>2.9216079138286836E-2</v>
      </c>
    </row>
    <row r="337" spans="1:23" x14ac:dyDescent="0.55000000000000004">
      <c r="A337" s="3">
        <v>9</v>
      </c>
      <c r="B337" s="3" t="s">
        <v>48</v>
      </c>
      <c r="C337" s="3" t="s">
        <v>50</v>
      </c>
      <c r="D337" s="3" t="s">
        <v>10</v>
      </c>
      <c r="E337" s="2" t="s">
        <v>18</v>
      </c>
      <c r="F337" s="3">
        <v>24</v>
      </c>
      <c r="G337" s="4">
        <v>22.5</v>
      </c>
      <c r="H337" s="4">
        <v>80.8</v>
      </c>
      <c r="I337" s="6">
        <v>6.6669498744365274</v>
      </c>
      <c r="J337" s="5">
        <v>4.5999999999999999E-2</v>
      </c>
      <c r="K337" s="4">
        <v>20.2</v>
      </c>
      <c r="L337" s="4">
        <v>65.2</v>
      </c>
      <c r="M337" s="6">
        <v>5.627984271101635</v>
      </c>
      <c r="N337" s="5">
        <v>4.4999999999999998E-2</v>
      </c>
      <c r="O337" s="5">
        <v>1.0389656033348924</v>
      </c>
      <c r="P337" s="5">
        <v>1.0389656033348924</v>
      </c>
      <c r="Q337" s="8">
        <v>0.21180555555555555</v>
      </c>
      <c r="R337" s="8">
        <v>0.88194444444444453</v>
      </c>
      <c r="S337" s="6">
        <f t="shared" si="15"/>
        <v>16.083333333333336</v>
      </c>
      <c r="T337" s="5">
        <f t="shared" si="16"/>
        <v>6.4598897616677239E-2</v>
      </c>
      <c r="U337" s="3">
        <v>2.21</v>
      </c>
      <c r="V337" s="5">
        <f t="shared" si="17"/>
        <v>2.9230270414786083E-2</v>
      </c>
      <c r="W337" s="3">
        <v>2.9230270414786083E-2</v>
      </c>
    </row>
    <row r="338" spans="1:23" x14ac:dyDescent="0.55000000000000004">
      <c r="A338" s="3">
        <v>61</v>
      </c>
      <c r="B338" s="3" t="s">
        <v>53</v>
      </c>
      <c r="C338" s="3" t="s">
        <v>50</v>
      </c>
      <c r="D338" s="3" t="s">
        <v>11</v>
      </c>
      <c r="E338" s="2" t="s">
        <v>8</v>
      </c>
      <c r="F338" s="3">
        <v>5</v>
      </c>
      <c r="G338" s="4">
        <v>20.399999999999999</v>
      </c>
      <c r="H338" s="4">
        <v>118.5</v>
      </c>
      <c r="I338" s="6">
        <v>10.188115651399132</v>
      </c>
      <c r="J338" s="5">
        <v>4.1000000000000002E-2</v>
      </c>
      <c r="K338" s="4">
        <v>15.6</v>
      </c>
      <c r="L338" s="4">
        <v>96.5</v>
      </c>
      <c r="M338" s="6">
        <v>9.1602362975104068</v>
      </c>
      <c r="N338" s="5">
        <v>3.5999999999999997E-2</v>
      </c>
      <c r="O338" s="5">
        <v>1.027879353888725</v>
      </c>
      <c r="P338" s="5">
        <v>1.027879353888725</v>
      </c>
      <c r="Q338" s="8">
        <v>0.20833333333333334</v>
      </c>
      <c r="R338" s="8">
        <v>0.87083333333333324</v>
      </c>
      <c r="S338" s="6">
        <f t="shared" si="15"/>
        <v>15.899999999999997</v>
      </c>
      <c r="T338" s="5">
        <f t="shared" si="16"/>
        <v>6.4646500244573912E-2</v>
      </c>
      <c r="U338" s="3">
        <v>2.21</v>
      </c>
      <c r="V338" s="5">
        <f t="shared" si="17"/>
        <v>2.9251810065418059E-2</v>
      </c>
      <c r="W338" s="3">
        <v>2.9251810065418059E-2</v>
      </c>
    </row>
    <row r="339" spans="1:23" x14ac:dyDescent="0.55000000000000004">
      <c r="A339" s="3">
        <v>44</v>
      </c>
      <c r="B339" s="3" t="s">
        <v>53</v>
      </c>
      <c r="C339" s="3" t="s">
        <v>49</v>
      </c>
      <c r="D339" s="3" t="s">
        <v>41</v>
      </c>
      <c r="E339" s="3" t="s">
        <v>27</v>
      </c>
      <c r="F339" s="3">
        <v>54</v>
      </c>
      <c r="G339" s="4">
        <v>28</v>
      </c>
      <c r="H339" s="4">
        <v>93.2</v>
      </c>
      <c r="I339" s="6">
        <v>6.9435173314600549</v>
      </c>
      <c r="J339" s="5">
        <v>6.4000000000000001E-2</v>
      </c>
      <c r="K339" s="4">
        <v>24.6</v>
      </c>
      <c r="L339" s="4">
        <v>74.099999999999994</v>
      </c>
      <c r="M339" s="6">
        <v>5.8749344277562052</v>
      </c>
      <c r="N339" s="5">
        <v>0.06</v>
      </c>
      <c r="O339" s="5">
        <v>1.0685829037038497</v>
      </c>
      <c r="P339" s="5">
        <v>1.0685829037038497</v>
      </c>
      <c r="Q339" s="8">
        <v>0.20833333333333334</v>
      </c>
      <c r="R339" s="8">
        <v>0.89583333333333337</v>
      </c>
      <c r="S339" s="6">
        <f t="shared" si="15"/>
        <v>16.5</v>
      </c>
      <c r="T339" s="5">
        <f t="shared" si="16"/>
        <v>6.4762600224475733E-2</v>
      </c>
      <c r="U339" s="3">
        <v>2.21</v>
      </c>
      <c r="V339" s="5">
        <f t="shared" si="17"/>
        <v>2.9304343992975448E-2</v>
      </c>
      <c r="W339" s="3">
        <v>2.9304343992975448E-2</v>
      </c>
    </row>
    <row r="340" spans="1:23" x14ac:dyDescent="0.55000000000000004">
      <c r="A340" s="3">
        <v>60</v>
      </c>
      <c r="B340" s="3" t="s">
        <v>51</v>
      </c>
      <c r="C340" s="3" t="s">
        <v>49</v>
      </c>
      <c r="D340" s="3" t="s">
        <v>39</v>
      </c>
      <c r="E340" s="2" t="s">
        <v>20</v>
      </c>
      <c r="F340" s="3">
        <v>30</v>
      </c>
      <c r="G340" s="4">
        <v>27.4</v>
      </c>
      <c r="H340" s="4">
        <v>87.3</v>
      </c>
      <c r="I340" s="6">
        <v>6.5744201245523399</v>
      </c>
      <c r="J340" s="5">
        <v>4.2999999999999997E-2</v>
      </c>
      <c r="K340" s="4">
        <v>23.8</v>
      </c>
      <c r="L340" s="4">
        <v>68.599999999999994</v>
      </c>
      <c r="M340" s="6">
        <v>5.5214229877482346</v>
      </c>
      <c r="N340" s="5">
        <v>5.1999999999999998E-2</v>
      </c>
      <c r="O340" s="5">
        <v>1.0529971368041053</v>
      </c>
      <c r="P340" s="5">
        <v>1.0529971368041053</v>
      </c>
      <c r="Q340" s="8">
        <v>0.20833333333333334</v>
      </c>
      <c r="R340" s="8">
        <v>0.88541666666666663</v>
      </c>
      <c r="S340" s="6">
        <f t="shared" si="15"/>
        <v>16.25</v>
      </c>
      <c r="T340" s="5">
        <f t="shared" si="16"/>
        <v>6.4799823803329562E-2</v>
      </c>
      <c r="U340" s="3">
        <v>2.21</v>
      </c>
      <c r="V340" s="5">
        <f t="shared" si="17"/>
        <v>2.9321187241325593E-2</v>
      </c>
      <c r="W340" s="3">
        <v>2.9321187241325593E-2</v>
      </c>
    </row>
    <row r="341" spans="1:23" x14ac:dyDescent="0.55000000000000004">
      <c r="A341" s="3">
        <v>20</v>
      </c>
      <c r="B341" s="3" t="s">
        <v>52</v>
      </c>
      <c r="C341" s="3" t="s">
        <v>50</v>
      </c>
      <c r="D341" s="3" t="s">
        <v>12</v>
      </c>
      <c r="E341" s="2" t="s">
        <v>17</v>
      </c>
      <c r="F341" s="3">
        <v>19</v>
      </c>
      <c r="G341" s="4">
        <v>22.1</v>
      </c>
      <c r="H341" s="4">
        <v>83.6</v>
      </c>
      <c r="I341" s="6">
        <v>6.9515579578213087</v>
      </c>
      <c r="J341" s="5">
        <v>4.1000000000000002E-2</v>
      </c>
      <c r="K341" s="4">
        <v>17.100000000000001</v>
      </c>
      <c r="L341" s="4">
        <v>64.099999999999994</v>
      </c>
      <c r="M341" s="6">
        <v>5.894588932836208</v>
      </c>
      <c r="N341" s="5">
        <v>3.6999999999999998E-2</v>
      </c>
      <c r="O341" s="5">
        <v>1.0569690249851007</v>
      </c>
      <c r="P341" s="5">
        <v>1.0569690249851007</v>
      </c>
      <c r="Q341" s="8">
        <v>0.19930555555555554</v>
      </c>
      <c r="R341" s="8">
        <v>0.875</v>
      </c>
      <c r="S341" s="6">
        <f t="shared" si="15"/>
        <v>16.216666666666669</v>
      </c>
      <c r="T341" s="5">
        <f t="shared" si="16"/>
        <v>6.5177946042246693E-2</v>
      </c>
      <c r="U341" s="3">
        <v>2.21</v>
      </c>
      <c r="V341" s="5">
        <f t="shared" si="17"/>
        <v>2.9492283277034705E-2</v>
      </c>
      <c r="W341" s="3">
        <v>2.9492283277034705E-2</v>
      </c>
    </row>
    <row r="342" spans="1:23" x14ac:dyDescent="0.55000000000000004">
      <c r="A342" s="3">
        <v>48</v>
      </c>
      <c r="B342" s="3" t="s">
        <v>52</v>
      </c>
      <c r="C342" s="3" t="s">
        <v>49</v>
      </c>
      <c r="D342" s="3" t="s">
        <v>40</v>
      </c>
      <c r="E342" s="2" t="s">
        <v>16</v>
      </c>
      <c r="F342" s="3">
        <v>16</v>
      </c>
      <c r="G342" s="4">
        <v>21</v>
      </c>
      <c r="H342" s="4">
        <v>77.900000000000006</v>
      </c>
      <c r="I342" s="6">
        <v>6.6184188233153129</v>
      </c>
      <c r="J342" s="5">
        <v>3.4000000000000002E-2</v>
      </c>
      <c r="K342" s="4">
        <v>19.8</v>
      </c>
      <c r="L342" s="4">
        <v>64.2</v>
      </c>
      <c r="M342" s="6">
        <v>5.5861849232371403</v>
      </c>
      <c r="N342" s="5">
        <v>3.3000000000000002E-2</v>
      </c>
      <c r="O342" s="5">
        <v>1.0322339000781726</v>
      </c>
      <c r="P342" s="5">
        <v>1.0322339000781726</v>
      </c>
      <c r="Q342" s="8">
        <v>0.20833333333333334</v>
      </c>
      <c r="R342" s="8">
        <v>0.86805555555555547</v>
      </c>
      <c r="S342" s="6">
        <f t="shared" si="15"/>
        <v>15.83333333333333</v>
      </c>
      <c r="T342" s="5">
        <f t="shared" si="16"/>
        <v>6.5193720004937228E-2</v>
      </c>
      <c r="U342" s="3">
        <v>2.21</v>
      </c>
      <c r="V342" s="5">
        <f t="shared" si="17"/>
        <v>2.9499420816713678E-2</v>
      </c>
      <c r="W342" s="3">
        <v>2.9499420816713678E-2</v>
      </c>
    </row>
    <row r="343" spans="1:23" x14ac:dyDescent="0.55000000000000004">
      <c r="A343" s="3">
        <v>45</v>
      </c>
      <c r="B343" s="3" t="s">
        <v>48</v>
      </c>
      <c r="C343" s="3" t="s">
        <v>50</v>
      </c>
      <c r="D343" s="3" t="s">
        <v>10</v>
      </c>
      <c r="E343" s="2" t="s">
        <v>13</v>
      </c>
      <c r="F343" s="3">
        <v>8</v>
      </c>
      <c r="G343" s="4">
        <v>22.1</v>
      </c>
      <c r="H343" s="4">
        <v>111.3</v>
      </c>
      <c r="I343" s="6">
        <v>9.2548851759032509</v>
      </c>
      <c r="J343" s="5">
        <v>3.5000000000000003E-2</v>
      </c>
      <c r="K343" s="4">
        <v>19.3</v>
      </c>
      <c r="L343" s="4">
        <v>93.6</v>
      </c>
      <c r="M343" s="6">
        <v>8.2267676550794082</v>
      </c>
      <c r="N343" s="5">
        <v>3.3000000000000002E-2</v>
      </c>
      <c r="O343" s="5">
        <v>1.0281175208238427</v>
      </c>
      <c r="P343" s="5">
        <v>1.0281175208238427</v>
      </c>
      <c r="Q343" s="8">
        <v>0.20833333333333334</v>
      </c>
      <c r="R343" s="8">
        <v>0.86319444444444438</v>
      </c>
      <c r="S343" s="6">
        <f t="shared" si="15"/>
        <v>15.716666666666665</v>
      </c>
      <c r="T343" s="5">
        <f t="shared" si="16"/>
        <v>6.541574893895076E-2</v>
      </c>
      <c r="U343" s="3">
        <v>2.21</v>
      </c>
      <c r="V343" s="5">
        <f t="shared" si="17"/>
        <v>2.9599886397715276E-2</v>
      </c>
      <c r="W343" s="3">
        <v>2.9599886397715276E-2</v>
      </c>
    </row>
    <row r="344" spans="1:23" x14ac:dyDescent="0.55000000000000004">
      <c r="A344" s="3">
        <v>16</v>
      </c>
      <c r="B344" s="3" t="s">
        <v>52</v>
      </c>
      <c r="C344" s="3" t="s">
        <v>50</v>
      </c>
      <c r="D344" s="3" t="s">
        <v>12</v>
      </c>
      <c r="E344" s="2" t="s">
        <v>17</v>
      </c>
      <c r="F344" s="3">
        <v>19</v>
      </c>
      <c r="G344" s="4">
        <v>21.9</v>
      </c>
      <c r="H344" s="4">
        <v>68.400000000000006</v>
      </c>
      <c r="I344" s="6">
        <v>5.7097784409512977</v>
      </c>
      <c r="J344" s="5">
        <v>4.5999999999999999E-2</v>
      </c>
      <c r="K344" s="4">
        <v>16.8</v>
      </c>
      <c r="L344" s="4">
        <v>50.2</v>
      </c>
      <c r="M344" s="6">
        <v>4.6454725353302395</v>
      </c>
      <c r="N344" s="5">
        <v>4.2999999999999997E-2</v>
      </c>
      <c r="O344" s="5">
        <v>1.0643059056210582</v>
      </c>
      <c r="P344" s="5">
        <v>1.0643059056210582</v>
      </c>
      <c r="Q344" s="8">
        <v>0.19930555555555554</v>
      </c>
      <c r="R344" s="8">
        <v>0.875</v>
      </c>
      <c r="S344" s="6">
        <f t="shared" si="15"/>
        <v>16.216666666666669</v>
      </c>
      <c r="T344" s="5">
        <f t="shared" si="16"/>
        <v>6.5630374447341711E-2</v>
      </c>
      <c r="U344" s="3">
        <v>2.21</v>
      </c>
      <c r="V344" s="5">
        <f t="shared" si="17"/>
        <v>2.9697002012371815E-2</v>
      </c>
      <c r="W344" s="3">
        <v>2.9697002012371815E-2</v>
      </c>
    </row>
    <row r="345" spans="1:23" x14ac:dyDescent="0.55000000000000004">
      <c r="A345" s="3">
        <v>45</v>
      </c>
      <c r="B345" s="3" t="s">
        <v>48</v>
      </c>
      <c r="C345" s="3" t="s">
        <v>50</v>
      </c>
      <c r="D345" s="3" t="s">
        <v>10</v>
      </c>
      <c r="E345" s="2" t="s">
        <v>8</v>
      </c>
      <c r="F345" s="3">
        <v>5</v>
      </c>
      <c r="G345" s="4">
        <v>20.7</v>
      </c>
      <c r="H345" s="4">
        <v>120.1</v>
      </c>
      <c r="I345" s="6">
        <v>10.264397424507358</v>
      </c>
      <c r="J345" s="5">
        <v>3.3000000000000002E-2</v>
      </c>
      <c r="K345" s="4">
        <v>15.6</v>
      </c>
      <c r="L345" s="4">
        <v>97.1</v>
      </c>
      <c r="M345" s="6">
        <v>9.2171911345933726</v>
      </c>
      <c r="N345" s="5">
        <v>2.8000000000000001E-2</v>
      </c>
      <c r="O345" s="5">
        <v>1.0472062899139853</v>
      </c>
      <c r="P345" s="5">
        <v>1.0472062899139853</v>
      </c>
      <c r="Q345" s="8">
        <v>0.20833333333333334</v>
      </c>
      <c r="R345" s="8">
        <v>0.87083333333333324</v>
      </c>
      <c r="S345" s="6">
        <f t="shared" si="15"/>
        <v>15.899999999999997</v>
      </c>
      <c r="T345" s="5">
        <f t="shared" si="16"/>
        <v>6.5862030812200351E-2</v>
      </c>
      <c r="U345" s="3">
        <v>2.21</v>
      </c>
      <c r="V345" s="5">
        <f t="shared" si="17"/>
        <v>2.9801823896923239E-2</v>
      </c>
      <c r="W345" s="3">
        <v>2.9801823896923239E-2</v>
      </c>
    </row>
    <row r="346" spans="1:23" x14ac:dyDescent="0.55000000000000004">
      <c r="A346" s="3">
        <v>63</v>
      </c>
      <c r="B346" s="3" t="s">
        <v>51</v>
      </c>
      <c r="C346" s="3" t="s">
        <v>49</v>
      </c>
      <c r="D346" s="3" t="s">
        <v>39</v>
      </c>
      <c r="E346" s="2" t="s">
        <v>20</v>
      </c>
      <c r="F346" s="3">
        <v>30</v>
      </c>
      <c r="G346" s="4">
        <v>27.5</v>
      </c>
      <c r="H346" s="4">
        <v>88</v>
      </c>
      <c r="I346" s="6">
        <v>6.6152060963440134</v>
      </c>
      <c r="J346" s="5">
        <v>0.04</v>
      </c>
      <c r="K346" s="4">
        <v>24</v>
      </c>
      <c r="L346" s="4">
        <v>69.099999999999994</v>
      </c>
      <c r="M346" s="6">
        <v>5.5406738590920428</v>
      </c>
      <c r="N346" s="5">
        <v>4.1000000000000002E-2</v>
      </c>
      <c r="O346" s="5">
        <v>1.0745322372519706</v>
      </c>
      <c r="P346" s="5">
        <v>1.0745322372519706</v>
      </c>
      <c r="Q346" s="8">
        <v>0.20833333333333334</v>
      </c>
      <c r="R346" s="8">
        <v>0.88541666666666663</v>
      </c>
      <c r="S346" s="6">
        <f t="shared" si="15"/>
        <v>16.25</v>
      </c>
      <c r="T346" s="5">
        <f t="shared" si="16"/>
        <v>6.6125060753967416E-2</v>
      </c>
      <c r="U346" s="3">
        <v>2.21</v>
      </c>
      <c r="V346" s="5">
        <f t="shared" si="17"/>
        <v>2.9920841970121004E-2</v>
      </c>
      <c r="W346" s="3">
        <v>2.9920841970121004E-2</v>
      </c>
    </row>
    <row r="347" spans="1:23" x14ac:dyDescent="0.55000000000000004">
      <c r="A347" s="3">
        <v>19</v>
      </c>
      <c r="B347" s="3" t="s">
        <v>53</v>
      </c>
      <c r="C347" s="3" t="s">
        <v>49</v>
      </c>
      <c r="D347" s="3" t="s">
        <v>41</v>
      </c>
      <c r="E347" s="2" t="s">
        <v>14</v>
      </c>
      <c r="F347" s="3">
        <v>10</v>
      </c>
      <c r="G347" s="4">
        <v>22.4</v>
      </c>
      <c r="H347" s="4">
        <v>91.5</v>
      </c>
      <c r="I347" s="6">
        <v>7.5644111646289192</v>
      </c>
      <c r="J347" s="5">
        <v>2.4E-2</v>
      </c>
      <c r="K347" s="4">
        <v>20.100000000000001</v>
      </c>
      <c r="L347" s="4">
        <v>75.3</v>
      </c>
      <c r="M347" s="6">
        <v>6.5127898570164158</v>
      </c>
      <c r="N347" s="5">
        <v>2.5000000000000001E-2</v>
      </c>
      <c r="O347" s="5">
        <v>1.0516213076125034</v>
      </c>
      <c r="P347" s="5">
        <v>1.0516213076125034</v>
      </c>
      <c r="Q347" s="8">
        <v>0.20555555555555557</v>
      </c>
      <c r="R347" s="8">
        <v>0.86805555555555547</v>
      </c>
      <c r="S347" s="6">
        <f t="shared" si="15"/>
        <v>15.899999999999997</v>
      </c>
      <c r="T347" s="5">
        <f t="shared" si="16"/>
        <v>6.6139704881289535E-2</v>
      </c>
      <c r="U347" s="3">
        <v>2.21</v>
      </c>
      <c r="V347" s="5">
        <f t="shared" si="17"/>
        <v>2.9927468272076714E-2</v>
      </c>
      <c r="W347" s="3">
        <v>2.9927468272076714E-2</v>
      </c>
    </row>
    <row r="348" spans="1:23" x14ac:dyDescent="0.55000000000000004">
      <c r="A348" s="3">
        <v>40</v>
      </c>
      <c r="B348" s="3" t="s">
        <v>48</v>
      </c>
      <c r="C348" s="3" t="s">
        <v>50</v>
      </c>
      <c r="D348" s="3" t="s">
        <v>10</v>
      </c>
      <c r="E348" s="2" t="s">
        <v>17</v>
      </c>
      <c r="F348" s="3">
        <v>19</v>
      </c>
      <c r="G348" s="4">
        <v>22</v>
      </c>
      <c r="H348" s="4">
        <v>73.3</v>
      </c>
      <c r="I348" s="6">
        <v>6.1069291129823515</v>
      </c>
      <c r="J348" s="5">
        <v>4.2000000000000003E-2</v>
      </c>
      <c r="K348" s="4">
        <v>16.8</v>
      </c>
      <c r="L348" s="4">
        <v>54.4</v>
      </c>
      <c r="M348" s="6">
        <v>5.034137568166634</v>
      </c>
      <c r="N348" s="5">
        <v>3.6999999999999998E-2</v>
      </c>
      <c r="O348" s="5">
        <v>1.0727915448157175</v>
      </c>
      <c r="P348" s="5">
        <v>1.0727915448157175</v>
      </c>
      <c r="Q348" s="8">
        <v>0.19930555555555554</v>
      </c>
      <c r="R348" s="8">
        <v>0.875</v>
      </c>
      <c r="S348" s="6">
        <f t="shared" si="15"/>
        <v>16.216666666666669</v>
      </c>
      <c r="T348" s="5">
        <f t="shared" si="16"/>
        <v>6.6153640995830459E-2</v>
      </c>
      <c r="U348" s="3">
        <v>2.21</v>
      </c>
      <c r="V348" s="5">
        <f t="shared" si="17"/>
        <v>2.9933774206258132E-2</v>
      </c>
      <c r="W348" s="3">
        <v>2.9933774206258132E-2</v>
      </c>
    </row>
    <row r="349" spans="1:23" x14ac:dyDescent="0.55000000000000004">
      <c r="A349" s="3">
        <v>61</v>
      </c>
      <c r="B349" s="3" t="s">
        <v>53</v>
      </c>
      <c r="C349" s="3" t="s">
        <v>50</v>
      </c>
      <c r="D349" s="3" t="s">
        <v>11</v>
      </c>
      <c r="E349" s="3" t="s">
        <v>33</v>
      </c>
      <c r="F349" s="3">
        <v>75</v>
      </c>
      <c r="G349" s="4">
        <v>28.7</v>
      </c>
      <c r="H349" s="4">
        <v>67.599999999999994</v>
      </c>
      <c r="I349" s="6">
        <v>4.9738994420827911</v>
      </c>
      <c r="J349" s="5">
        <v>4.3999999999999997E-2</v>
      </c>
      <c r="K349" s="4">
        <v>24.3</v>
      </c>
      <c r="L349" s="4">
        <v>48.9</v>
      </c>
      <c r="M349" s="6">
        <v>3.8988670950132551</v>
      </c>
      <c r="N349" s="5">
        <v>0.04</v>
      </c>
      <c r="O349" s="5">
        <v>1.075032347069536</v>
      </c>
      <c r="P349" s="5">
        <v>1.075032347069536</v>
      </c>
      <c r="Q349" s="8">
        <v>0.20833333333333334</v>
      </c>
      <c r="R349" s="8">
        <v>0.88541666666666663</v>
      </c>
      <c r="S349" s="6">
        <f t="shared" si="15"/>
        <v>16.25</v>
      </c>
      <c r="T349" s="5">
        <f t="shared" si="16"/>
        <v>6.615583674274067E-2</v>
      </c>
      <c r="U349" s="3">
        <v>2.21</v>
      </c>
      <c r="V349" s="5">
        <f t="shared" si="17"/>
        <v>2.9934767756896234E-2</v>
      </c>
      <c r="W349" s="3">
        <v>2.9934767756896234E-2</v>
      </c>
    </row>
    <row r="350" spans="1:23" x14ac:dyDescent="0.55000000000000004">
      <c r="A350" s="3">
        <v>25</v>
      </c>
      <c r="B350" s="3" t="s">
        <v>53</v>
      </c>
      <c r="C350" s="3" t="s">
        <v>49</v>
      </c>
      <c r="D350" s="3" t="s">
        <v>41</v>
      </c>
      <c r="E350" s="3" t="s">
        <v>33</v>
      </c>
      <c r="F350" s="3">
        <v>75</v>
      </c>
      <c r="G350" s="4">
        <v>26.6</v>
      </c>
      <c r="H350" s="4">
        <v>52.3</v>
      </c>
      <c r="I350" s="6">
        <v>3.9961559786146434</v>
      </c>
      <c r="J350" s="5">
        <v>6.5000000000000002E-2</v>
      </c>
      <c r="K350" s="4">
        <v>23.1</v>
      </c>
      <c r="L350" s="4">
        <v>35.799999999999997</v>
      </c>
      <c r="M350" s="6">
        <v>2.9200794558257392</v>
      </c>
      <c r="N350" s="5">
        <v>6.0999999999999999E-2</v>
      </c>
      <c r="O350" s="5">
        <v>1.0760765227889042</v>
      </c>
      <c r="P350" s="5">
        <v>1.0760765227889042</v>
      </c>
      <c r="Q350" s="8">
        <v>0.20833333333333334</v>
      </c>
      <c r="R350" s="8">
        <v>0.88541666666666663</v>
      </c>
      <c r="S350" s="6">
        <f t="shared" si="15"/>
        <v>16.25</v>
      </c>
      <c r="T350" s="5">
        <f t="shared" si="16"/>
        <v>6.6220093710086414E-2</v>
      </c>
      <c r="U350" s="3">
        <v>2.21</v>
      </c>
      <c r="V350" s="5">
        <f t="shared" si="17"/>
        <v>2.996384330773141E-2</v>
      </c>
      <c r="W350" s="3">
        <v>2.996384330773141E-2</v>
      </c>
    </row>
    <row r="351" spans="1:23" x14ac:dyDescent="0.55000000000000004">
      <c r="A351" s="3">
        <v>52</v>
      </c>
      <c r="B351" s="3" t="s">
        <v>48</v>
      </c>
      <c r="C351" s="3" t="s">
        <v>49</v>
      </c>
      <c r="D351" s="3" t="s">
        <v>38</v>
      </c>
      <c r="E351" s="2" t="s">
        <v>15</v>
      </c>
      <c r="F351" s="3">
        <v>12</v>
      </c>
      <c r="G351" s="4">
        <v>22.7</v>
      </c>
      <c r="H351" s="4">
        <v>100.7</v>
      </c>
      <c r="I351" s="6">
        <v>8.2769910048294992</v>
      </c>
      <c r="J351" s="5">
        <v>2.3E-2</v>
      </c>
      <c r="K351" s="4">
        <v>19.600000000000001</v>
      </c>
      <c r="L351" s="4">
        <v>82.7</v>
      </c>
      <c r="M351" s="6">
        <v>7.224887561084004</v>
      </c>
      <c r="N351" s="5">
        <v>2.1999999999999999E-2</v>
      </c>
      <c r="O351" s="5">
        <v>1.0521034437454952</v>
      </c>
      <c r="P351" s="5">
        <v>1.0521034437454952</v>
      </c>
      <c r="Q351" s="8">
        <v>0.21319444444444444</v>
      </c>
      <c r="R351" s="8">
        <v>0.875</v>
      </c>
      <c r="S351" s="6">
        <f t="shared" si="15"/>
        <v>15.883333333333333</v>
      </c>
      <c r="T351" s="5">
        <f t="shared" si="16"/>
        <v>6.6239461306117228E-2</v>
      </c>
      <c r="U351" s="3">
        <v>2.21</v>
      </c>
      <c r="V351" s="5">
        <f t="shared" si="17"/>
        <v>2.99726069258449E-2</v>
      </c>
      <c r="W351" s="3">
        <v>2.99726069258449E-2</v>
      </c>
    </row>
    <row r="352" spans="1:23" x14ac:dyDescent="0.55000000000000004">
      <c r="A352" s="3">
        <v>25</v>
      </c>
      <c r="B352" s="3" t="s">
        <v>53</v>
      </c>
      <c r="C352" s="3" t="s">
        <v>49</v>
      </c>
      <c r="D352" s="3" t="s">
        <v>41</v>
      </c>
      <c r="E352" s="3" t="s">
        <v>35</v>
      </c>
      <c r="F352" s="3">
        <v>82</v>
      </c>
      <c r="G352" s="4">
        <v>29.7</v>
      </c>
      <c r="H352" s="4">
        <v>53.2</v>
      </c>
      <c r="I352" s="6">
        <v>3.8460337629364134</v>
      </c>
      <c r="J352" s="5">
        <v>7.6999999999999999E-2</v>
      </c>
      <c r="K352" s="4">
        <v>26.4</v>
      </c>
      <c r="L352" s="4">
        <v>36.1</v>
      </c>
      <c r="M352" s="6">
        <v>2.7684256254089461</v>
      </c>
      <c r="N352" s="5">
        <v>7.4999999999999997E-2</v>
      </c>
      <c r="O352" s="5">
        <v>1.0776081375274673</v>
      </c>
      <c r="P352" s="5">
        <v>1.0776081375274673</v>
      </c>
      <c r="Q352" s="8">
        <v>0.20833333333333334</v>
      </c>
      <c r="R352" s="8">
        <v>0.88541666666666663</v>
      </c>
      <c r="S352" s="6">
        <f t="shared" si="15"/>
        <v>16.25</v>
      </c>
      <c r="T352" s="5">
        <f t="shared" si="16"/>
        <v>6.6314346924767217E-2</v>
      </c>
      <c r="U352" s="3">
        <v>2.21</v>
      </c>
      <c r="V352" s="5">
        <f t="shared" si="17"/>
        <v>3.0006491821161638E-2</v>
      </c>
      <c r="W352" s="3">
        <v>3.0006491821161638E-2</v>
      </c>
    </row>
    <row r="353" spans="1:23" x14ac:dyDescent="0.55000000000000004">
      <c r="A353" s="3">
        <v>5</v>
      </c>
      <c r="B353" s="3" t="s">
        <v>48</v>
      </c>
      <c r="C353" s="3" t="s">
        <v>49</v>
      </c>
      <c r="D353" s="3" t="s">
        <v>38</v>
      </c>
      <c r="E353" s="3" t="s">
        <v>35</v>
      </c>
      <c r="F353" s="3">
        <v>82</v>
      </c>
      <c r="G353" s="4">
        <v>30.4</v>
      </c>
      <c r="H353" s="4">
        <v>62.8</v>
      </c>
      <c r="I353" s="6">
        <v>4.4850229941373456</v>
      </c>
      <c r="J353" s="5">
        <v>9.1999999999999998E-2</v>
      </c>
      <c r="K353" s="4">
        <v>26.5</v>
      </c>
      <c r="L353" s="4">
        <v>44.5</v>
      </c>
      <c r="M353" s="6">
        <v>3.4063767529174127</v>
      </c>
      <c r="N353" s="5">
        <v>0.09</v>
      </c>
      <c r="O353" s="5">
        <v>1.0786462412199329</v>
      </c>
      <c r="P353" s="5">
        <v>1.0786462412199329</v>
      </c>
      <c r="Q353" s="8">
        <v>0.20833333333333334</v>
      </c>
      <c r="R353" s="8">
        <v>0.88541666666666663</v>
      </c>
      <c r="S353" s="6">
        <f t="shared" si="15"/>
        <v>16.25</v>
      </c>
      <c r="T353" s="5">
        <f t="shared" si="16"/>
        <v>6.637823022891895E-2</v>
      </c>
      <c r="U353" s="3">
        <v>2.21</v>
      </c>
      <c r="V353" s="5">
        <f t="shared" si="17"/>
        <v>3.0035398293628484E-2</v>
      </c>
      <c r="W353" s="3">
        <v>3.0035398293628484E-2</v>
      </c>
    </row>
    <row r="354" spans="1:23" x14ac:dyDescent="0.55000000000000004">
      <c r="A354" s="3">
        <v>53</v>
      </c>
      <c r="B354" s="3" t="s">
        <v>48</v>
      </c>
      <c r="C354" s="3" t="s">
        <v>49</v>
      </c>
      <c r="D354" s="3" t="s">
        <v>38</v>
      </c>
      <c r="E354" s="2" t="s">
        <v>13</v>
      </c>
      <c r="F354" s="3">
        <v>8</v>
      </c>
      <c r="G354" s="4">
        <v>22.4</v>
      </c>
      <c r="H354" s="4">
        <v>111.4</v>
      </c>
      <c r="I354" s="6">
        <v>9.2095672539853748</v>
      </c>
      <c r="J354" s="5">
        <v>2.1000000000000001E-2</v>
      </c>
      <c r="K354" s="4">
        <v>19.399999999999999</v>
      </c>
      <c r="L354" s="4">
        <v>93.1</v>
      </c>
      <c r="M354" s="6">
        <v>8.1663090672110776</v>
      </c>
      <c r="N354" s="5">
        <v>2.1000000000000001E-2</v>
      </c>
      <c r="O354" s="5">
        <v>1.0432581867742972</v>
      </c>
      <c r="P354" s="5">
        <v>1.0432581867742972</v>
      </c>
      <c r="Q354" s="8">
        <v>0.20833333333333334</v>
      </c>
      <c r="R354" s="8">
        <v>0.86319444444444438</v>
      </c>
      <c r="S354" s="6">
        <f t="shared" si="15"/>
        <v>15.716666666666665</v>
      </c>
      <c r="T354" s="5">
        <f t="shared" si="16"/>
        <v>6.6379099900803637E-2</v>
      </c>
      <c r="U354" s="3">
        <v>2.21</v>
      </c>
      <c r="V354" s="5">
        <f t="shared" si="17"/>
        <v>3.0035791810318391E-2</v>
      </c>
      <c r="W354" s="3">
        <v>3.0035791810318391E-2</v>
      </c>
    </row>
    <row r="355" spans="1:23" x14ac:dyDescent="0.55000000000000004">
      <c r="A355" s="3">
        <v>47</v>
      </c>
      <c r="B355" s="3" t="s">
        <v>52</v>
      </c>
      <c r="C355" s="3" t="s">
        <v>50</v>
      </c>
      <c r="D355" s="3" t="s">
        <v>12</v>
      </c>
      <c r="E355" s="2" t="s">
        <v>16</v>
      </c>
      <c r="F355" s="3">
        <v>16</v>
      </c>
      <c r="G355" s="4">
        <v>20.9</v>
      </c>
      <c r="H355" s="4">
        <v>73</v>
      </c>
      <c r="I355" s="6">
        <v>6.2143581085029043</v>
      </c>
      <c r="J355" s="5">
        <v>4.2000000000000003E-2</v>
      </c>
      <c r="K355" s="4">
        <v>19.7</v>
      </c>
      <c r="L355" s="4">
        <v>59.2</v>
      </c>
      <c r="M355" s="6">
        <v>5.1614768618810558</v>
      </c>
      <c r="N355" s="5">
        <v>4.2000000000000003E-2</v>
      </c>
      <c r="O355" s="5">
        <v>1.0528812466218485</v>
      </c>
      <c r="P355" s="5">
        <v>1.0528812466218485</v>
      </c>
      <c r="Q355" s="8">
        <v>0.20833333333333334</v>
      </c>
      <c r="R355" s="8">
        <v>0.86805555555555547</v>
      </c>
      <c r="S355" s="6">
        <f t="shared" si="15"/>
        <v>15.83333333333333</v>
      </c>
      <c r="T355" s="5">
        <f t="shared" si="16"/>
        <v>6.6497762944537811E-2</v>
      </c>
      <c r="U355" s="3">
        <v>2.21</v>
      </c>
      <c r="V355" s="5">
        <f t="shared" si="17"/>
        <v>3.0089485495265977E-2</v>
      </c>
      <c r="W355" s="3">
        <v>3.0089485495265977E-2</v>
      </c>
    </row>
    <row r="356" spans="1:23" x14ac:dyDescent="0.55000000000000004">
      <c r="A356" s="3">
        <v>56</v>
      </c>
      <c r="B356" s="3" t="s">
        <v>53</v>
      </c>
      <c r="C356" s="3" t="s">
        <v>49</v>
      </c>
      <c r="D356" s="3" t="s">
        <v>41</v>
      </c>
      <c r="E356" s="2" t="s">
        <v>14</v>
      </c>
      <c r="F356" s="3">
        <v>10</v>
      </c>
      <c r="G356" s="4">
        <v>22.1</v>
      </c>
      <c r="H356" s="4">
        <v>97.1</v>
      </c>
      <c r="I356" s="6">
        <v>8.0741181543594394</v>
      </c>
      <c r="J356" s="5">
        <v>2.3E-2</v>
      </c>
      <c r="K356" s="4">
        <v>19.899999999999999</v>
      </c>
      <c r="L356" s="4">
        <v>80.8</v>
      </c>
      <c r="M356" s="6">
        <v>7.0165067341258718</v>
      </c>
      <c r="N356" s="5">
        <v>2.4E-2</v>
      </c>
      <c r="O356" s="5">
        <v>1.0576114202335676</v>
      </c>
      <c r="P356" s="5">
        <v>1.0576114202335676</v>
      </c>
      <c r="Q356" s="8">
        <v>0.20555555555555557</v>
      </c>
      <c r="R356" s="8">
        <v>0.86805555555555547</v>
      </c>
      <c r="S356" s="6">
        <f t="shared" si="15"/>
        <v>15.899999999999997</v>
      </c>
      <c r="T356" s="5">
        <f t="shared" si="16"/>
        <v>6.6516441524123754E-2</v>
      </c>
      <c r="U356" s="3">
        <v>2.21</v>
      </c>
      <c r="V356" s="5">
        <f t="shared" si="17"/>
        <v>3.0097937341232471E-2</v>
      </c>
      <c r="W356" s="3">
        <v>3.0097937341232471E-2</v>
      </c>
    </row>
    <row r="357" spans="1:23" x14ac:dyDescent="0.55000000000000004">
      <c r="A357" s="3">
        <v>4</v>
      </c>
      <c r="B357" s="3" t="s">
        <v>48</v>
      </c>
      <c r="C357" s="3" t="s">
        <v>49</v>
      </c>
      <c r="D357" s="3" t="s">
        <v>38</v>
      </c>
      <c r="E357" s="3" t="s">
        <v>35</v>
      </c>
      <c r="F357" s="3">
        <v>82</v>
      </c>
      <c r="G357" s="4">
        <v>30.6</v>
      </c>
      <c r="H357" s="4">
        <v>63.7</v>
      </c>
      <c r="I357" s="6">
        <v>4.5335642542412113</v>
      </c>
      <c r="J357" s="5">
        <v>8.8999999999999996E-2</v>
      </c>
      <c r="K357" s="4">
        <v>26.4</v>
      </c>
      <c r="L357" s="4">
        <v>45</v>
      </c>
      <c r="M357" s="6">
        <v>3.4509460704543646</v>
      </c>
      <c r="N357" s="5">
        <v>8.8999999999999996E-2</v>
      </c>
      <c r="O357" s="5">
        <v>1.0826181837868467</v>
      </c>
      <c r="P357" s="5">
        <v>1.0826181837868467</v>
      </c>
      <c r="Q357" s="8">
        <v>0.20833333333333334</v>
      </c>
      <c r="R357" s="8">
        <v>0.88541666666666663</v>
      </c>
      <c r="S357" s="6">
        <f t="shared" si="15"/>
        <v>16.25</v>
      </c>
      <c r="T357" s="5">
        <f t="shared" si="16"/>
        <v>6.6622657463805954E-2</v>
      </c>
      <c r="U357" s="3">
        <v>2.21</v>
      </c>
      <c r="V357" s="5">
        <f t="shared" si="17"/>
        <v>3.0145998852400883E-2</v>
      </c>
      <c r="W357" s="3">
        <v>3.0145998852400883E-2</v>
      </c>
    </row>
    <row r="358" spans="1:23" x14ac:dyDescent="0.55000000000000004">
      <c r="A358" s="3">
        <v>3</v>
      </c>
      <c r="B358" s="3" t="s">
        <v>51</v>
      </c>
      <c r="C358" s="3" t="s">
        <v>50</v>
      </c>
      <c r="D358" s="3" t="s">
        <v>9</v>
      </c>
      <c r="E358" s="3" t="s">
        <v>34</v>
      </c>
      <c r="F358" s="3">
        <v>79</v>
      </c>
      <c r="G358" s="4">
        <v>29.1</v>
      </c>
      <c r="H358" s="4">
        <v>74.599999999999994</v>
      </c>
      <c r="I358" s="6">
        <v>5.4502672562845831</v>
      </c>
      <c r="J358" s="5">
        <v>6.4000000000000001E-2</v>
      </c>
      <c r="K358" s="4">
        <v>25.6</v>
      </c>
      <c r="L358" s="4">
        <v>56.1</v>
      </c>
      <c r="M358" s="6">
        <v>4.3658727056278748</v>
      </c>
      <c r="N358" s="5">
        <v>5.7000000000000002E-2</v>
      </c>
      <c r="O358" s="5">
        <v>1.0843945506567083</v>
      </c>
      <c r="P358" s="5">
        <v>1.0843945506567083</v>
      </c>
      <c r="Q358" s="8">
        <v>0.20833333333333334</v>
      </c>
      <c r="R358" s="8">
        <v>0.88541666666666663</v>
      </c>
      <c r="S358" s="6">
        <f t="shared" si="15"/>
        <v>16.25</v>
      </c>
      <c r="T358" s="5">
        <f t="shared" si="16"/>
        <v>6.6731972348105129E-2</v>
      </c>
      <c r="U358" s="3">
        <v>2.21</v>
      </c>
      <c r="V358" s="5">
        <f t="shared" si="17"/>
        <v>3.0195462600952544E-2</v>
      </c>
      <c r="W358" s="3">
        <v>3.0195462600952544E-2</v>
      </c>
    </row>
    <row r="359" spans="1:23" x14ac:dyDescent="0.55000000000000004">
      <c r="A359" s="3">
        <v>16</v>
      </c>
      <c r="B359" s="3" t="s">
        <v>52</v>
      </c>
      <c r="C359" s="3" t="s">
        <v>50</v>
      </c>
      <c r="D359" s="3" t="s">
        <v>12</v>
      </c>
      <c r="E359" s="3" t="s">
        <v>28</v>
      </c>
      <c r="F359" s="3">
        <v>58</v>
      </c>
      <c r="G359" s="4">
        <v>27.3</v>
      </c>
      <c r="H359" s="4">
        <v>69.7</v>
      </c>
      <c r="I359" s="6">
        <v>5.2584715087183831</v>
      </c>
      <c r="J359" s="5">
        <v>6.8000000000000005E-2</v>
      </c>
      <c r="K359" s="4">
        <v>23.2</v>
      </c>
      <c r="L359" s="4">
        <v>51.2</v>
      </c>
      <c r="M359" s="6">
        <v>4.1682303434798262</v>
      </c>
      <c r="N359" s="5">
        <v>6.8000000000000005E-2</v>
      </c>
      <c r="O359" s="5">
        <v>1.0902411652385569</v>
      </c>
      <c r="P359" s="5">
        <v>1.0902411652385569</v>
      </c>
      <c r="Q359" s="8">
        <v>0.20833333333333334</v>
      </c>
      <c r="R359" s="8">
        <v>0.88888888888888884</v>
      </c>
      <c r="S359" s="6">
        <f t="shared" si="15"/>
        <v>16.333333333333332</v>
      </c>
      <c r="T359" s="5">
        <f t="shared" si="16"/>
        <v>6.6749459096238181E-2</v>
      </c>
      <c r="U359" s="3">
        <v>2.21</v>
      </c>
      <c r="V359" s="5">
        <f t="shared" si="17"/>
        <v>3.0203375156668859E-2</v>
      </c>
      <c r="W359" s="3">
        <v>3.0203375156668859E-2</v>
      </c>
    </row>
    <row r="360" spans="1:23" x14ac:dyDescent="0.55000000000000004">
      <c r="A360" s="3">
        <v>24</v>
      </c>
      <c r="B360" s="3" t="s">
        <v>52</v>
      </c>
      <c r="C360" s="3" t="s">
        <v>49</v>
      </c>
      <c r="D360" s="3" t="s">
        <v>40</v>
      </c>
      <c r="E360" s="3" t="s">
        <v>33</v>
      </c>
      <c r="F360" s="3">
        <v>75</v>
      </c>
      <c r="G360" s="4">
        <v>28.1</v>
      </c>
      <c r="H360" s="4">
        <v>81.2</v>
      </c>
      <c r="I360" s="6">
        <v>6.0386976309300646</v>
      </c>
      <c r="J360" s="5">
        <v>0.05</v>
      </c>
      <c r="K360" s="4">
        <v>24.2</v>
      </c>
      <c r="L360" s="4">
        <v>62</v>
      </c>
      <c r="M360" s="6">
        <v>4.952659204451126</v>
      </c>
      <c r="N360" s="5">
        <v>4.5999999999999999E-2</v>
      </c>
      <c r="O360" s="5">
        <v>1.0860384264789387</v>
      </c>
      <c r="P360" s="5">
        <v>1.0860384264789387</v>
      </c>
      <c r="Q360" s="8">
        <v>0.20833333333333334</v>
      </c>
      <c r="R360" s="8">
        <v>0.88541666666666663</v>
      </c>
      <c r="S360" s="6">
        <f t="shared" si="15"/>
        <v>16.25</v>
      </c>
      <c r="T360" s="5">
        <f t="shared" si="16"/>
        <v>6.6833133937165459E-2</v>
      </c>
      <c r="U360" s="3">
        <v>2.21</v>
      </c>
      <c r="V360" s="5">
        <f t="shared" si="17"/>
        <v>3.0241237075640481E-2</v>
      </c>
      <c r="W360" s="3">
        <v>3.0241237075640481E-2</v>
      </c>
    </row>
    <row r="361" spans="1:23" x14ac:dyDescent="0.55000000000000004">
      <c r="A361" s="3">
        <v>32</v>
      </c>
      <c r="B361" s="3" t="s">
        <v>53</v>
      </c>
      <c r="C361" s="3" t="s">
        <v>50</v>
      </c>
      <c r="D361" s="3" t="s">
        <v>11</v>
      </c>
      <c r="E361" s="2" t="s">
        <v>8</v>
      </c>
      <c r="F361" s="3">
        <v>5</v>
      </c>
      <c r="G361" s="4">
        <v>20.8</v>
      </c>
      <c r="H361" s="4">
        <v>112.6</v>
      </c>
      <c r="I361" s="6">
        <v>9.6043879230114175</v>
      </c>
      <c r="J361" s="5">
        <v>3.1E-2</v>
      </c>
      <c r="K361" s="4">
        <v>15.2</v>
      </c>
      <c r="L361" s="4">
        <v>89.2</v>
      </c>
      <c r="M361" s="6">
        <v>8.5403559994469873</v>
      </c>
      <c r="N361" s="5">
        <v>2.7E-2</v>
      </c>
      <c r="O361" s="5">
        <v>1.0640319235644302</v>
      </c>
      <c r="P361" s="5">
        <v>1.0640319235644302</v>
      </c>
      <c r="Q361" s="8">
        <v>0.20833333333333334</v>
      </c>
      <c r="R361" s="8">
        <v>0.87083333333333324</v>
      </c>
      <c r="S361" s="6">
        <f t="shared" si="15"/>
        <v>15.899999999999997</v>
      </c>
      <c r="T361" s="5">
        <f t="shared" si="16"/>
        <v>6.6920246765058519E-2</v>
      </c>
      <c r="U361" s="3">
        <v>2.21</v>
      </c>
      <c r="V361" s="5">
        <f t="shared" si="17"/>
        <v>3.0280654644822859E-2</v>
      </c>
      <c r="W361" s="3">
        <v>3.0280654644822859E-2</v>
      </c>
    </row>
    <row r="362" spans="1:23" x14ac:dyDescent="0.55000000000000004">
      <c r="A362" s="3">
        <v>43</v>
      </c>
      <c r="B362" s="3" t="s">
        <v>51</v>
      </c>
      <c r="C362" s="3" t="s">
        <v>50</v>
      </c>
      <c r="D362" s="3" t="s">
        <v>9</v>
      </c>
      <c r="E362" s="2" t="s">
        <v>17</v>
      </c>
      <c r="F362" s="3">
        <v>19</v>
      </c>
      <c r="G362" s="4">
        <v>21.9</v>
      </c>
      <c r="H362" s="4">
        <v>80.5</v>
      </c>
      <c r="I362" s="6">
        <v>6.7198415862073011</v>
      </c>
      <c r="J362" s="5">
        <v>3.5000000000000003E-2</v>
      </c>
      <c r="K362" s="4">
        <v>16.899999999999999</v>
      </c>
      <c r="L362" s="4">
        <v>61</v>
      </c>
      <c r="M362" s="6">
        <v>5.6330597469318811</v>
      </c>
      <c r="N362" s="5">
        <v>3.2000000000000001E-2</v>
      </c>
      <c r="O362" s="5">
        <v>1.08678183927542</v>
      </c>
      <c r="P362" s="5">
        <v>1.08678183927542</v>
      </c>
      <c r="Q362" s="8">
        <v>0.19930555555555554</v>
      </c>
      <c r="R362" s="8">
        <v>0.875</v>
      </c>
      <c r="S362" s="6">
        <f t="shared" si="15"/>
        <v>16.216666666666669</v>
      </c>
      <c r="T362" s="5">
        <f t="shared" si="16"/>
        <v>6.7016351856654874E-2</v>
      </c>
      <c r="U362" s="3">
        <v>2.21</v>
      </c>
      <c r="V362" s="5">
        <f t="shared" si="17"/>
        <v>3.0324141111608541E-2</v>
      </c>
      <c r="W362" s="3">
        <v>3.0324141111608541E-2</v>
      </c>
    </row>
    <row r="363" spans="1:23" x14ac:dyDescent="0.55000000000000004">
      <c r="A363" s="3">
        <v>43</v>
      </c>
      <c r="B363" s="3" t="s">
        <v>51</v>
      </c>
      <c r="C363" s="3" t="s">
        <v>50</v>
      </c>
      <c r="D363" s="3" t="s">
        <v>9</v>
      </c>
      <c r="E363" s="2" t="s">
        <v>18</v>
      </c>
      <c r="F363" s="3">
        <v>24</v>
      </c>
      <c r="G363" s="4">
        <v>22.5</v>
      </c>
      <c r="H363" s="4">
        <v>103.7</v>
      </c>
      <c r="I363" s="6">
        <v>8.5564690838993549</v>
      </c>
      <c r="J363" s="5">
        <v>3.2000000000000001E-2</v>
      </c>
      <c r="K363" s="4">
        <v>20.2</v>
      </c>
      <c r="L363" s="4">
        <v>86.6</v>
      </c>
      <c r="M363" s="6">
        <v>7.4752061024141332</v>
      </c>
      <c r="N363" s="5">
        <v>3.1E-2</v>
      </c>
      <c r="O363" s="5">
        <v>1.0812629814852217</v>
      </c>
      <c r="P363" s="5">
        <v>1.0812629814852217</v>
      </c>
      <c r="Q363" s="8">
        <v>0.21180555555555555</v>
      </c>
      <c r="R363" s="8">
        <v>0.88194444444444453</v>
      </c>
      <c r="S363" s="6">
        <f t="shared" si="15"/>
        <v>16.083333333333336</v>
      </c>
      <c r="T363" s="5">
        <f t="shared" si="16"/>
        <v>6.7228786413588898E-2</v>
      </c>
      <c r="U363" s="3">
        <v>2.21</v>
      </c>
      <c r="V363" s="5">
        <f t="shared" si="17"/>
        <v>3.042026534551534E-2</v>
      </c>
      <c r="W363" s="3">
        <v>3.042026534551534E-2</v>
      </c>
    </row>
    <row r="364" spans="1:23" x14ac:dyDescent="0.55000000000000004">
      <c r="A364" s="3">
        <v>62</v>
      </c>
      <c r="B364" s="3" t="s">
        <v>52</v>
      </c>
      <c r="C364" s="3" t="s">
        <v>49</v>
      </c>
      <c r="D364" s="3" t="s">
        <v>40</v>
      </c>
      <c r="E364" s="2" t="s">
        <v>20</v>
      </c>
      <c r="F364" s="3">
        <v>30</v>
      </c>
      <c r="G364" s="4">
        <v>27.4</v>
      </c>
      <c r="H364" s="4">
        <v>74.7</v>
      </c>
      <c r="I364" s="6">
        <v>5.6255347457509721</v>
      </c>
      <c r="J364" s="5">
        <v>4.7E-2</v>
      </c>
      <c r="K364" s="4">
        <v>23.6</v>
      </c>
      <c r="L364" s="4">
        <v>56.1</v>
      </c>
      <c r="M364" s="6">
        <v>4.5324887573670845</v>
      </c>
      <c r="N364" s="5">
        <v>4.5999999999999999E-2</v>
      </c>
      <c r="O364" s="5">
        <v>1.0930459883838877</v>
      </c>
      <c r="P364" s="5">
        <v>1.0930459883838877</v>
      </c>
      <c r="Q364" s="8">
        <v>0.20833333333333334</v>
      </c>
      <c r="R364" s="8">
        <v>0.88541666666666663</v>
      </c>
      <c r="S364" s="6">
        <f t="shared" si="15"/>
        <v>16.25</v>
      </c>
      <c r="T364" s="5">
        <f t="shared" si="16"/>
        <v>6.7264368515931552E-2</v>
      </c>
      <c r="U364" s="3">
        <v>2.21</v>
      </c>
      <c r="V364" s="5">
        <f t="shared" si="17"/>
        <v>3.0436365844312918E-2</v>
      </c>
      <c r="W364" s="3">
        <v>3.0436365844312918E-2</v>
      </c>
    </row>
    <row r="365" spans="1:23" x14ac:dyDescent="0.55000000000000004">
      <c r="A365" s="3">
        <v>44</v>
      </c>
      <c r="B365" s="3" t="s">
        <v>53</v>
      </c>
      <c r="C365" s="3" t="s">
        <v>49</v>
      </c>
      <c r="D365" s="3" t="s">
        <v>41</v>
      </c>
      <c r="E365" s="2" t="s">
        <v>20</v>
      </c>
      <c r="F365" s="3">
        <v>30</v>
      </c>
      <c r="G365" s="4">
        <v>27.2</v>
      </c>
      <c r="H365" s="4">
        <v>78.5</v>
      </c>
      <c r="I365" s="6">
        <v>5.9330905866950729</v>
      </c>
      <c r="J365" s="5">
        <v>4.5999999999999999E-2</v>
      </c>
      <c r="K365" s="4">
        <v>23.7</v>
      </c>
      <c r="L365" s="4">
        <v>60</v>
      </c>
      <c r="M365" s="6">
        <v>4.8383921129358676</v>
      </c>
      <c r="N365" s="5">
        <v>4.4999999999999998E-2</v>
      </c>
      <c r="O365" s="5">
        <v>1.0946984737592054</v>
      </c>
      <c r="P365" s="5">
        <v>1.0946984737592054</v>
      </c>
      <c r="Q365" s="8">
        <v>0.20833333333333334</v>
      </c>
      <c r="R365" s="8">
        <v>0.88541666666666663</v>
      </c>
      <c r="S365" s="6">
        <f t="shared" si="15"/>
        <v>16.25</v>
      </c>
      <c r="T365" s="5">
        <f t="shared" si="16"/>
        <v>6.7366059923643404E-2</v>
      </c>
      <c r="U365" s="3">
        <v>2.21</v>
      </c>
      <c r="V365" s="5">
        <f t="shared" si="17"/>
        <v>3.0482380055947243E-2</v>
      </c>
      <c r="W365" s="3">
        <v>3.0482380055947243E-2</v>
      </c>
    </row>
    <row r="366" spans="1:23" x14ac:dyDescent="0.55000000000000004">
      <c r="A366" s="3">
        <v>48</v>
      </c>
      <c r="B366" s="3" t="s">
        <v>52</v>
      </c>
      <c r="C366" s="3" t="s">
        <v>49</v>
      </c>
      <c r="D366" s="3" t="s">
        <v>40</v>
      </c>
      <c r="E366" s="2" t="s">
        <v>13</v>
      </c>
      <c r="F366" s="3">
        <v>8</v>
      </c>
      <c r="G366" s="4">
        <v>22.3</v>
      </c>
      <c r="H366" s="4">
        <v>108.2</v>
      </c>
      <c r="I366" s="6">
        <v>8.9623252210595297</v>
      </c>
      <c r="J366" s="5">
        <v>2.3E-2</v>
      </c>
      <c r="K366" s="4">
        <v>19.399999999999999</v>
      </c>
      <c r="L366" s="4">
        <v>90.1</v>
      </c>
      <c r="M366" s="6">
        <v>7.9031626955501402</v>
      </c>
      <c r="N366" s="5">
        <v>2.1999999999999999E-2</v>
      </c>
      <c r="O366" s="5">
        <v>1.0591625255093895</v>
      </c>
      <c r="P366" s="5">
        <v>1.0591625255093895</v>
      </c>
      <c r="Q366" s="8">
        <v>0.20833333333333334</v>
      </c>
      <c r="R366" s="8">
        <v>0.86319444444444438</v>
      </c>
      <c r="S366" s="6">
        <f t="shared" si="15"/>
        <v>15.716666666666665</v>
      </c>
      <c r="T366" s="5">
        <f t="shared" si="16"/>
        <v>6.7391040859558188E-2</v>
      </c>
      <c r="U366" s="3">
        <v>2.21</v>
      </c>
      <c r="V366" s="5">
        <f t="shared" si="17"/>
        <v>3.0493683646858911E-2</v>
      </c>
      <c r="W366" s="3">
        <v>3.0493683646858911E-2</v>
      </c>
    </row>
    <row r="367" spans="1:23" x14ac:dyDescent="0.55000000000000004">
      <c r="A367" s="3">
        <v>16</v>
      </c>
      <c r="B367" s="3" t="s">
        <v>52</v>
      </c>
      <c r="C367" s="3" t="s">
        <v>50</v>
      </c>
      <c r="D367" s="3" t="s">
        <v>12</v>
      </c>
      <c r="E367" s="2" t="s">
        <v>16</v>
      </c>
      <c r="F367" s="3">
        <v>16</v>
      </c>
      <c r="G367" s="4">
        <v>20.8</v>
      </c>
      <c r="H367" s="4">
        <v>83.3</v>
      </c>
      <c r="I367" s="6">
        <v>7.1051999465972564</v>
      </c>
      <c r="J367" s="5">
        <v>4.2999999999999997E-2</v>
      </c>
      <c r="K367" s="4">
        <v>19.600000000000001</v>
      </c>
      <c r="L367" s="4">
        <v>69.099999999999994</v>
      </c>
      <c r="M367" s="6">
        <v>6.0367561121028359</v>
      </c>
      <c r="N367" s="5">
        <v>4.2999999999999997E-2</v>
      </c>
      <c r="O367" s="5">
        <v>1.0684438344944205</v>
      </c>
      <c r="P367" s="5">
        <v>1.0684438344944205</v>
      </c>
      <c r="Q367" s="8">
        <v>0.20833333333333334</v>
      </c>
      <c r="R367" s="8">
        <v>0.86805555555555547</v>
      </c>
      <c r="S367" s="6">
        <f t="shared" si="15"/>
        <v>15.83333333333333</v>
      </c>
      <c r="T367" s="5">
        <f t="shared" si="16"/>
        <v>6.7480663231226576E-2</v>
      </c>
      <c r="U367" s="3">
        <v>2.21</v>
      </c>
      <c r="V367" s="5">
        <f t="shared" si="17"/>
        <v>3.0534236756211117E-2</v>
      </c>
      <c r="W367" s="3">
        <v>3.0534236756211117E-2</v>
      </c>
    </row>
    <row r="368" spans="1:23" x14ac:dyDescent="0.55000000000000004">
      <c r="A368" s="3">
        <v>59</v>
      </c>
      <c r="B368" s="3" t="s">
        <v>52</v>
      </c>
      <c r="C368" s="3" t="s">
        <v>49</v>
      </c>
      <c r="D368" s="3" t="s">
        <v>40</v>
      </c>
      <c r="E368" s="2" t="s">
        <v>18</v>
      </c>
      <c r="F368" s="3">
        <v>24</v>
      </c>
      <c r="G368" s="4">
        <v>22.7</v>
      </c>
      <c r="H368" s="4">
        <v>95.2</v>
      </c>
      <c r="I368" s="6">
        <v>7.8249209896699927</v>
      </c>
      <c r="J368" s="5">
        <v>3.4000000000000002E-2</v>
      </c>
      <c r="K368" s="4">
        <v>19.899999999999999</v>
      </c>
      <c r="L368" s="4">
        <v>77.599999999999994</v>
      </c>
      <c r="M368" s="6">
        <v>6.7386252793090042</v>
      </c>
      <c r="N368" s="5">
        <v>3.3000000000000002E-2</v>
      </c>
      <c r="O368" s="5">
        <v>1.0862957103609885</v>
      </c>
      <c r="P368" s="5">
        <v>1.0862957103609885</v>
      </c>
      <c r="Q368" s="8">
        <v>0.21180555555555555</v>
      </c>
      <c r="R368" s="8">
        <v>0.88194444444444453</v>
      </c>
      <c r="S368" s="6">
        <f t="shared" si="15"/>
        <v>16.083333333333336</v>
      </c>
      <c r="T368" s="5">
        <f t="shared" si="16"/>
        <v>6.7541702198610679E-2</v>
      </c>
      <c r="U368" s="3">
        <v>2.21</v>
      </c>
      <c r="V368" s="5">
        <f t="shared" si="17"/>
        <v>3.0561856198466367E-2</v>
      </c>
      <c r="W368" s="3">
        <v>3.0561856198466367E-2</v>
      </c>
    </row>
    <row r="369" spans="1:23" x14ac:dyDescent="0.55000000000000004">
      <c r="A369" s="3">
        <v>37</v>
      </c>
      <c r="B369" s="3" t="s">
        <v>53</v>
      </c>
      <c r="C369" s="3" t="s">
        <v>50</v>
      </c>
      <c r="D369" s="3" t="s">
        <v>11</v>
      </c>
      <c r="E369" s="2" t="s">
        <v>17</v>
      </c>
      <c r="F369" s="3">
        <v>19</v>
      </c>
      <c r="G369" s="4">
        <v>21.9</v>
      </c>
      <c r="H369" s="4">
        <v>87.6</v>
      </c>
      <c r="I369" s="6">
        <v>7.3125232664814845</v>
      </c>
      <c r="J369" s="5">
        <v>3.5999999999999997E-2</v>
      </c>
      <c r="K369" s="4">
        <v>16.899999999999999</v>
      </c>
      <c r="L369" s="4">
        <v>67.3</v>
      </c>
      <c r="M369" s="6">
        <v>6.2148347699756652</v>
      </c>
      <c r="N369" s="5">
        <v>3.3000000000000002E-2</v>
      </c>
      <c r="O369" s="5">
        <v>1.0976884965058193</v>
      </c>
      <c r="P369" s="5">
        <v>1.0976884965058193</v>
      </c>
      <c r="Q369" s="8">
        <v>0.19930555555555554</v>
      </c>
      <c r="R369" s="8">
        <v>0.875</v>
      </c>
      <c r="S369" s="6">
        <f t="shared" si="15"/>
        <v>16.216666666666669</v>
      </c>
      <c r="T369" s="5">
        <f t="shared" si="16"/>
        <v>6.7688910370348562E-2</v>
      </c>
      <c r="U369" s="3">
        <v>2.21</v>
      </c>
      <c r="V369" s="5">
        <f t="shared" si="17"/>
        <v>3.0628466230926955E-2</v>
      </c>
      <c r="W369" s="3">
        <v>3.0628466230926955E-2</v>
      </c>
    </row>
    <row r="370" spans="1:23" x14ac:dyDescent="0.55000000000000004">
      <c r="A370" s="3">
        <v>35</v>
      </c>
      <c r="B370" s="3" t="s">
        <v>51</v>
      </c>
      <c r="C370" s="3" t="s">
        <v>50</v>
      </c>
      <c r="D370" s="3" t="s">
        <v>9</v>
      </c>
      <c r="E370" s="2" t="s">
        <v>8</v>
      </c>
      <c r="F370" s="3">
        <v>5</v>
      </c>
      <c r="G370" s="4">
        <v>20.6</v>
      </c>
      <c r="H370" s="4">
        <v>127.1</v>
      </c>
      <c r="I370" s="6">
        <v>10.884197611792874</v>
      </c>
      <c r="J370" s="5">
        <v>3.3000000000000002E-2</v>
      </c>
      <c r="K370" s="4">
        <v>15.6</v>
      </c>
      <c r="L370" s="4">
        <v>103.3</v>
      </c>
      <c r="M370" s="6">
        <v>9.8057244511173582</v>
      </c>
      <c r="N370" s="5">
        <v>2.9000000000000001E-2</v>
      </c>
      <c r="O370" s="5">
        <v>1.0784731606755162</v>
      </c>
      <c r="P370" s="5">
        <v>1.0784731606755162</v>
      </c>
      <c r="Q370" s="8">
        <v>0.20833333333333334</v>
      </c>
      <c r="R370" s="8">
        <v>0.87083333333333324</v>
      </c>
      <c r="S370" s="6">
        <f t="shared" si="15"/>
        <v>15.899999999999997</v>
      </c>
      <c r="T370" s="5">
        <f t="shared" si="16"/>
        <v>6.7828500671416131E-2</v>
      </c>
      <c r="U370" s="3">
        <v>2.21</v>
      </c>
      <c r="V370" s="5">
        <f t="shared" si="17"/>
        <v>3.0691629263084223E-2</v>
      </c>
      <c r="W370" s="3">
        <v>3.0691629263084223E-2</v>
      </c>
    </row>
    <row r="371" spans="1:23" x14ac:dyDescent="0.55000000000000004">
      <c r="A371" s="3">
        <v>44</v>
      </c>
      <c r="B371" s="3" t="s">
        <v>53</v>
      </c>
      <c r="C371" s="3" t="s">
        <v>49</v>
      </c>
      <c r="D371" s="3" t="s">
        <v>41</v>
      </c>
      <c r="E371" s="2" t="s">
        <v>13</v>
      </c>
      <c r="F371" s="3">
        <v>8</v>
      </c>
      <c r="G371" s="4">
        <v>22.2</v>
      </c>
      <c r="H371" s="4">
        <v>108.8</v>
      </c>
      <c r="I371" s="6">
        <v>9.0294842597422988</v>
      </c>
      <c r="J371" s="5">
        <v>2.1000000000000001E-2</v>
      </c>
      <c r="K371" s="4">
        <v>19.3</v>
      </c>
      <c r="L371" s="4">
        <v>90.6</v>
      </c>
      <c r="M371" s="6">
        <v>7.963089204596093</v>
      </c>
      <c r="N371" s="5">
        <v>0.02</v>
      </c>
      <c r="O371" s="5">
        <v>1.0663950551462058</v>
      </c>
      <c r="P371" s="5">
        <v>1.0663950551462058</v>
      </c>
      <c r="Q371" s="8">
        <v>0.20833333333333334</v>
      </c>
      <c r="R371" s="8">
        <v>0.86319444444444438</v>
      </c>
      <c r="S371" s="6">
        <f t="shared" si="15"/>
        <v>15.716666666666665</v>
      </c>
      <c r="T371" s="5">
        <f t="shared" si="16"/>
        <v>6.7851223020967508E-2</v>
      </c>
      <c r="U371" s="3">
        <v>2.21</v>
      </c>
      <c r="V371" s="5">
        <f t="shared" si="17"/>
        <v>3.0701910869216066E-2</v>
      </c>
      <c r="W371" s="3">
        <v>3.0701910869216066E-2</v>
      </c>
    </row>
    <row r="372" spans="1:23" x14ac:dyDescent="0.55000000000000004">
      <c r="A372" s="3">
        <v>44</v>
      </c>
      <c r="B372" s="3" t="s">
        <v>53</v>
      </c>
      <c r="C372" s="3" t="s">
        <v>49</v>
      </c>
      <c r="D372" s="3" t="s">
        <v>41</v>
      </c>
      <c r="E372" s="2" t="s">
        <v>19</v>
      </c>
      <c r="F372" s="3">
        <v>26</v>
      </c>
      <c r="G372" s="4">
        <v>25.7</v>
      </c>
      <c r="H372" s="4">
        <v>94.1</v>
      </c>
      <c r="I372" s="6">
        <v>7.3096440092712802</v>
      </c>
      <c r="J372" s="5">
        <v>3.9E-2</v>
      </c>
      <c r="K372" s="4">
        <v>22.5</v>
      </c>
      <c r="L372" s="4">
        <v>75.2</v>
      </c>
      <c r="M372" s="6">
        <v>6.2048840415547888</v>
      </c>
      <c r="N372" s="5">
        <v>3.5000000000000003E-2</v>
      </c>
      <c r="O372" s="5">
        <v>1.1047599677164914</v>
      </c>
      <c r="P372" s="5">
        <v>1.1047599677164914</v>
      </c>
      <c r="Q372" s="8">
        <v>0.20833333333333334</v>
      </c>
      <c r="R372" s="8">
        <v>0.88541666666666663</v>
      </c>
      <c r="S372" s="6">
        <f t="shared" si="15"/>
        <v>16.25</v>
      </c>
      <c r="T372" s="5">
        <f t="shared" si="16"/>
        <v>6.7985228782553322E-2</v>
      </c>
      <c r="U372" s="3">
        <v>2.21</v>
      </c>
      <c r="V372" s="5">
        <f t="shared" si="17"/>
        <v>3.0762546960431368E-2</v>
      </c>
      <c r="W372" s="3">
        <v>3.0762546960431368E-2</v>
      </c>
    </row>
    <row r="373" spans="1:23" x14ac:dyDescent="0.55000000000000004">
      <c r="A373" s="3">
        <v>47</v>
      </c>
      <c r="B373" s="3" t="s">
        <v>52</v>
      </c>
      <c r="C373" s="3" t="s">
        <v>50</v>
      </c>
      <c r="D373" s="3" t="s">
        <v>12</v>
      </c>
      <c r="E373" s="3" t="s">
        <v>35</v>
      </c>
      <c r="F373" s="3">
        <v>82</v>
      </c>
      <c r="G373" s="4">
        <v>31.4</v>
      </c>
      <c r="H373" s="4">
        <v>66.5</v>
      </c>
      <c r="I373" s="6">
        <v>4.6681064409861124</v>
      </c>
      <c r="J373" s="5">
        <v>6.3E-2</v>
      </c>
      <c r="K373" s="4">
        <v>27.4</v>
      </c>
      <c r="L373" s="4">
        <v>47.3</v>
      </c>
      <c r="M373" s="6">
        <v>3.5620855886749796</v>
      </c>
      <c r="N373" s="5">
        <v>7.0000000000000007E-2</v>
      </c>
      <c r="O373" s="5">
        <v>1.1060208523111328</v>
      </c>
      <c r="P373" s="5">
        <v>1.1060208523111328</v>
      </c>
      <c r="Q373" s="8">
        <v>0.20833333333333334</v>
      </c>
      <c r="R373" s="8">
        <v>0.88541666666666663</v>
      </c>
      <c r="S373" s="6">
        <f t="shared" si="15"/>
        <v>16.25</v>
      </c>
      <c r="T373" s="5">
        <f t="shared" si="16"/>
        <v>6.8062821680685101E-2</v>
      </c>
      <c r="U373" s="3">
        <v>2.21</v>
      </c>
      <c r="V373" s="5">
        <f t="shared" si="17"/>
        <v>3.079765686908828E-2</v>
      </c>
      <c r="W373" s="3">
        <v>3.079765686908828E-2</v>
      </c>
    </row>
    <row r="374" spans="1:23" x14ac:dyDescent="0.55000000000000004">
      <c r="A374" s="3">
        <v>34</v>
      </c>
      <c r="B374" s="3" t="s">
        <v>48</v>
      </c>
      <c r="C374" s="3" t="s">
        <v>50</v>
      </c>
      <c r="D374" s="3" t="s">
        <v>10</v>
      </c>
      <c r="E374" s="2" t="s">
        <v>15</v>
      </c>
      <c r="F374" s="3">
        <v>12</v>
      </c>
      <c r="G374" s="4">
        <v>22.6</v>
      </c>
      <c r="H374" s="4">
        <v>106.7</v>
      </c>
      <c r="I374" s="6">
        <v>8.7870529417072003</v>
      </c>
      <c r="J374" s="5">
        <v>0.04</v>
      </c>
      <c r="K374" s="4">
        <v>19.5</v>
      </c>
      <c r="L374" s="4">
        <v>88</v>
      </c>
      <c r="M374" s="6">
        <v>7.7034074933459786</v>
      </c>
      <c r="N374" s="5">
        <v>3.9E-2</v>
      </c>
      <c r="O374" s="5">
        <v>1.0836454483612217</v>
      </c>
      <c r="P374" s="5">
        <v>1.0836454483612217</v>
      </c>
      <c r="Q374" s="8">
        <v>0.21319444444444444</v>
      </c>
      <c r="R374" s="8">
        <v>0.875</v>
      </c>
      <c r="S374" s="6">
        <f t="shared" si="15"/>
        <v>15.883333333333333</v>
      </c>
      <c r="T374" s="5">
        <f t="shared" si="16"/>
        <v>6.8225316790842913E-2</v>
      </c>
      <c r="U374" s="3">
        <v>2.21</v>
      </c>
      <c r="V374" s="5">
        <f t="shared" si="17"/>
        <v>3.0871184068254714E-2</v>
      </c>
      <c r="W374" s="3">
        <v>3.0871184068254714E-2</v>
      </c>
    </row>
    <row r="375" spans="1:23" x14ac:dyDescent="0.55000000000000004">
      <c r="A375" s="3">
        <v>22</v>
      </c>
      <c r="B375" s="3" t="s">
        <v>48</v>
      </c>
      <c r="C375" s="3" t="s">
        <v>49</v>
      </c>
      <c r="D375" s="3" t="s">
        <v>38</v>
      </c>
      <c r="E375" s="2" t="s">
        <v>15</v>
      </c>
      <c r="F375" s="3">
        <v>12</v>
      </c>
      <c r="G375" s="4">
        <v>22.4</v>
      </c>
      <c r="H375" s="4">
        <v>101.6</v>
      </c>
      <c r="I375" s="6">
        <v>8.3993898833475207</v>
      </c>
      <c r="J375" s="5">
        <v>2.5000000000000001E-2</v>
      </c>
      <c r="K375" s="4">
        <v>19.399999999999999</v>
      </c>
      <c r="L375" s="4">
        <v>83.4</v>
      </c>
      <c r="M375" s="6">
        <v>7.3154691321740479</v>
      </c>
      <c r="N375" s="5">
        <v>2.4E-2</v>
      </c>
      <c r="O375" s="5">
        <v>1.0839207511734728</v>
      </c>
      <c r="P375" s="5">
        <v>1.0839207511734728</v>
      </c>
      <c r="Q375" s="8">
        <v>0.21319444444444444</v>
      </c>
      <c r="R375" s="8">
        <v>0.875</v>
      </c>
      <c r="S375" s="6">
        <f t="shared" si="15"/>
        <v>15.883333333333333</v>
      </c>
      <c r="T375" s="5">
        <f t="shared" si="16"/>
        <v>6.8242649601687688E-2</v>
      </c>
      <c r="U375" s="3">
        <v>2.21</v>
      </c>
      <c r="V375" s="5">
        <f t="shared" si="17"/>
        <v>3.0879026969089451E-2</v>
      </c>
      <c r="W375" s="3">
        <v>3.0879026969089451E-2</v>
      </c>
    </row>
    <row r="376" spans="1:23" x14ac:dyDescent="0.55000000000000004">
      <c r="A376" s="3">
        <v>59</v>
      </c>
      <c r="B376" s="3" t="s">
        <v>52</v>
      </c>
      <c r="C376" s="3" t="s">
        <v>49</v>
      </c>
      <c r="D376" s="3" t="s">
        <v>40</v>
      </c>
      <c r="E376" s="2" t="s">
        <v>19</v>
      </c>
      <c r="F376" s="3">
        <v>26</v>
      </c>
      <c r="G376" s="4">
        <v>27</v>
      </c>
      <c r="H376" s="4">
        <v>93.1</v>
      </c>
      <c r="I376" s="6">
        <v>7.0620905237981004</v>
      </c>
      <c r="J376" s="5">
        <v>4.8000000000000001E-2</v>
      </c>
      <c r="K376" s="4">
        <v>22.5</v>
      </c>
      <c r="L376" s="4">
        <v>72.099999999999994</v>
      </c>
      <c r="M376" s="6">
        <v>5.9490975983523962</v>
      </c>
      <c r="N376" s="5">
        <v>3.5999999999999997E-2</v>
      </c>
      <c r="O376" s="5">
        <v>1.1129929254457043</v>
      </c>
      <c r="P376" s="5">
        <v>1.1129929254457043</v>
      </c>
      <c r="Q376" s="8">
        <v>0.20833333333333334</v>
      </c>
      <c r="R376" s="8">
        <v>0.88541666666666663</v>
      </c>
      <c r="S376" s="6">
        <f t="shared" si="15"/>
        <v>16.25</v>
      </c>
      <c r="T376" s="5">
        <f t="shared" si="16"/>
        <v>6.849187233512026E-2</v>
      </c>
      <c r="U376" s="3">
        <v>2.21</v>
      </c>
      <c r="V376" s="5">
        <f t="shared" si="17"/>
        <v>3.0991797436706003E-2</v>
      </c>
      <c r="W376" s="3">
        <v>3.0991797436706003E-2</v>
      </c>
    </row>
    <row r="377" spans="1:23" x14ac:dyDescent="0.55000000000000004">
      <c r="A377" s="3">
        <v>23</v>
      </c>
      <c r="B377" s="3" t="s">
        <v>52</v>
      </c>
      <c r="C377" s="3" t="s">
        <v>49</v>
      </c>
      <c r="D377" s="3" t="s">
        <v>40</v>
      </c>
      <c r="E377" s="3" t="s">
        <v>28</v>
      </c>
      <c r="F377" s="3">
        <v>58</v>
      </c>
      <c r="G377" s="4">
        <v>27.4</v>
      </c>
      <c r="H377" s="4">
        <v>69.8</v>
      </c>
      <c r="I377" s="6">
        <v>5.2565237651059951</v>
      </c>
      <c r="J377" s="5">
        <v>7.8E-2</v>
      </c>
      <c r="K377" s="4">
        <v>23.1</v>
      </c>
      <c r="L377" s="4">
        <v>50.7</v>
      </c>
      <c r="M377" s="6">
        <v>4.1354197879990231</v>
      </c>
      <c r="N377" s="5">
        <v>7.0999999999999994E-2</v>
      </c>
      <c r="O377" s="5">
        <v>1.121103977106972</v>
      </c>
      <c r="P377" s="5">
        <v>1.121103977106972</v>
      </c>
      <c r="Q377" s="8">
        <v>0.20833333333333334</v>
      </c>
      <c r="R377" s="8">
        <v>0.88888888888888884</v>
      </c>
      <c r="S377" s="6">
        <f t="shared" si="15"/>
        <v>16.333333333333332</v>
      </c>
      <c r="T377" s="5">
        <f t="shared" si="16"/>
        <v>6.8639019006549312E-2</v>
      </c>
      <c r="U377" s="3">
        <v>2.21</v>
      </c>
      <c r="V377" s="5">
        <f t="shared" si="17"/>
        <v>3.1058379640972543E-2</v>
      </c>
      <c r="W377" s="3">
        <v>3.1058379640972543E-2</v>
      </c>
    </row>
    <row r="378" spans="1:23" x14ac:dyDescent="0.55000000000000004">
      <c r="A378" s="3">
        <v>49</v>
      </c>
      <c r="B378" s="3" t="s">
        <v>51</v>
      </c>
      <c r="C378" s="3" t="s">
        <v>49</v>
      </c>
      <c r="D378" s="3" t="s">
        <v>39</v>
      </c>
      <c r="E378" s="2" t="s">
        <v>15</v>
      </c>
      <c r="F378" s="3">
        <v>12</v>
      </c>
      <c r="G378" s="4">
        <v>22.6</v>
      </c>
      <c r="H378" s="4">
        <v>106.8</v>
      </c>
      <c r="I378" s="6">
        <v>8.7952882303123605</v>
      </c>
      <c r="J378" s="5">
        <v>2.5000000000000001E-2</v>
      </c>
      <c r="K378" s="4">
        <v>19.5</v>
      </c>
      <c r="L378" s="4">
        <v>88</v>
      </c>
      <c r="M378" s="6">
        <v>7.7034074933459786</v>
      </c>
      <c r="N378" s="5">
        <v>2.4E-2</v>
      </c>
      <c r="O378" s="5">
        <v>1.0918807369663819</v>
      </c>
      <c r="P378" s="5">
        <v>1.0918807369663819</v>
      </c>
      <c r="Q378" s="8">
        <v>0.21319444444444444</v>
      </c>
      <c r="R378" s="8">
        <v>0.875</v>
      </c>
      <c r="S378" s="6">
        <f t="shared" si="15"/>
        <v>15.883333333333333</v>
      </c>
      <c r="T378" s="5">
        <f t="shared" si="16"/>
        <v>6.8743802956960032E-2</v>
      </c>
      <c r="U378" s="3">
        <v>2.21</v>
      </c>
      <c r="V378" s="5">
        <f t="shared" si="17"/>
        <v>3.1105793193194588E-2</v>
      </c>
      <c r="W378" s="3">
        <v>3.1105793193194588E-2</v>
      </c>
    </row>
    <row r="379" spans="1:23" x14ac:dyDescent="0.55000000000000004">
      <c r="A379" s="3">
        <v>41</v>
      </c>
      <c r="B379" s="3" t="s">
        <v>51</v>
      </c>
      <c r="C379" s="3" t="s">
        <v>50</v>
      </c>
      <c r="D379" s="3" t="s">
        <v>9</v>
      </c>
      <c r="E379" s="2" t="s">
        <v>18</v>
      </c>
      <c r="F379" s="3">
        <v>24</v>
      </c>
      <c r="G379" s="4">
        <v>22.7</v>
      </c>
      <c r="H379" s="4">
        <v>107.9</v>
      </c>
      <c r="I379" s="6">
        <v>8.8687917519473984</v>
      </c>
      <c r="J379" s="5">
        <v>3.7999999999999999E-2</v>
      </c>
      <c r="K379" s="4">
        <v>20.3</v>
      </c>
      <c r="L379" s="4">
        <v>90.1</v>
      </c>
      <c r="M379" s="6">
        <v>7.7618375173936416</v>
      </c>
      <c r="N379" s="5">
        <v>3.5999999999999997E-2</v>
      </c>
      <c r="O379" s="5">
        <v>1.1069542345537569</v>
      </c>
      <c r="P379" s="5">
        <v>1.1069542345537569</v>
      </c>
      <c r="Q379" s="8">
        <v>0.21180555555555555</v>
      </c>
      <c r="R379" s="8">
        <v>0.88194444444444453</v>
      </c>
      <c r="S379" s="6">
        <f t="shared" si="15"/>
        <v>16.083333333333336</v>
      </c>
      <c r="T379" s="5">
        <f t="shared" si="16"/>
        <v>6.8826170024067768E-2</v>
      </c>
      <c r="U379" s="3">
        <v>2.21</v>
      </c>
      <c r="V379" s="5">
        <f t="shared" si="17"/>
        <v>3.1143063359306687E-2</v>
      </c>
      <c r="W379" s="3">
        <v>3.1143063359306687E-2</v>
      </c>
    </row>
    <row r="380" spans="1:23" x14ac:dyDescent="0.55000000000000004">
      <c r="A380" s="3">
        <v>24</v>
      </c>
      <c r="B380" s="3" t="s">
        <v>52</v>
      </c>
      <c r="C380" s="3" t="s">
        <v>49</v>
      </c>
      <c r="D380" s="3" t="s">
        <v>40</v>
      </c>
      <c r="E380" s="2" t="s">
        <v>13</v>
      </c>
      <c r="F380" s="3">
        <v>8</v>
      </c>
      <c r="G380" s="4">
        <v>22.1</v>
      </c>
      <c r="H380" s="4">
        <v>104.1</v>
      </c>
      <c r="I380" s="6">
        <v>8.656186404416248</v>
      </c>
      <c r="J380" s="5">
        <v>2.3E-2</v>
      </c>
      <c r="K380" s="4">
        <v>19.2</v>
      </c>
      <c r="L380" s="4">
        <v>86</v>
      </c>
      <c r="M380" s="6">
        <v>7.5740891034586078</v>
      </c>
      <c r="N380" s="5">
        <v>2.3E-2</v>
      </c>
      <c r="O380" s="5">
        <v>1.0820973009576402</v>
      </c>
      <c r="P380" s="5">
        <v>1.0820973009576402</v>
      </c>
      <c r="Q380" s="8">
        <v>0.20833333333333334</v>
      </c>
      <c r="R380" s="8">
        <v>0.86319444444444438</v>
      </c>
      <c r="S380" s="6">
        <f t="shared" si="15"/>
        <v>15.716666666666665</v>
      </c>
      <c r="T380" s="5">
        <f t="shared" si="16"/>
        <v>6.8850305469202996E-2</v>
      </c>
      <c r="U380" s="3">
        <v>2.21</v>
      </c>
      <c r="V380" s="5">
        <f t="shared" si="17"/>
        <v>3.1153984375204974E-2</v>
      </c>
      <c r="W380" s="3">
        <v>3.1153984375204974E-2</v>
      </c>
    </row>
    <row r="381" spans="1:23" x14ac:dyDescent="0.55000000000000004">
      <c r="A381" s="3">
        <v>7</v>
      </c>
      <c r="B381" s="3" t="s">
        <v>53</v>
      </c>
      <c r="C381" s="3" t="s">
        <v>49</v>
      </c>
      <c r="D381" s="3" t="s">
        <v>41</v>
      </c>
      <c r="E381" s="2" t="s">
        <v>20</v>
      </c>
      <c r="F381" s="3">
        <v>30</v>
      </c>
      <c r="G381" s="4">
        <v>26.3</v>
      </c>
      <c r="H381" s="4">
        <v>78.5</v>
      </c>
      <c r="I381" s="6">
        <v>6.0310005844262378</v>
      </c>
      <c r="J381" s="5">
        <v>5.3999999999999999E-2</v>
      </c>
      <c r="K381" s="4">
        <v>23</v>
      </c>
      <c r="L381" s="4">
        <v>60.1</v>
      </c>
      <c r="M381" s="6">
        <v>4.9115343197162291</v>
      </c>
      <c r="N381" s="5">
        <v>5.1999999999999998E-2</v>
      </c>
      <c r="O381" s="5">
        <v>1.1194662647100087</v>
      </c>
      <c r="P381" s="5">
        <v>1.1194662647100087</v>
      </c>
      <c r="Q381" s="8">
        <v>0.20833333333333334</v>
      </c>
      <c r="R381" s="8">
        <v>0.88541666666666663</v>
      </c>
      <c r="S381" s="6">
        <f t="shared" si="15"/>
        <v>16.25</v>
      </c>
      <c r="T381" s="5">
        <f t="shared" si="16"/>
        <v>6.8890231674462066E-2</v>
      </c>
      <c r="U381" s="3">
        <v>2.21</v>
      </c>
      <c r="V381" s="5">
        <f t="shared" si="17"/>
        <v>3.1172050531430802E-2</v>
      </c>
      <c r="W381" s="3">
        <v>3.1172050531430802E-2</v>
      </c>
    </row>
    <row r="382" spans="1:23" x14ac:dyDescent="0.55000000000000004">
      <c r="A382" s="3">
        <v>45</v>
      </c>
      <c r="B382" s="3" t="s">
        <v>48</v>
      </c>
      <c r="C382" s="3" t="s">
        <v>50</v>
      </c>
      <c r="D382" s="3" t="s">
        <v>10</v>
      </c>
      <c r="E382" s="3" t="s">
        <v>28</v>
      </c>
      <c r="F382" s="3">
        <v>58</v>
      </c>
      <c r="G382" s="4">
        <v>28.3</v>
      </c>
      <c r="H382" s="4">
        <v>83</v>
      </c>
      <c r="I382" s="6">
        <v>6.1505743538662019</v>
      </c>
      <c r="J382" s="5">
        <v>5.8999999999999997E-2</v>
      </c>
      <c r="K382" s="4">
        <v>23.6</v>
      </c>
      <c r="L382" s="4">
        <v>62.2</v>
      </c>
      <c r="M382" s="6">
        <v>5.0253262158330241</v>
      </c>
      <c r="N382" s="5">
        <v>5.5E-2</v>
      </c>
      <c r="O382" s="5">
        <v>1.1252481380331778</v>
      </c>
      <c r="P382" s="5">
        <v>1.1252481380331778</v>
      </c>
      <c r="Q382" s="8">
        <v>0.20833333333333334</v>
      </c>
      <c r="R382" s="8">
        <v>0.88888888888888884</v>
      </c>
      <c r="S382" s="6">
        <f t="shared" si="15"/>
        <v>16.333333333333332</v>
      </c>
      <c r="T382" s="5">
        <f t="shared" si="16"/>
        <v>6.8892743144888441E-2</v>
      </c>
      <c r="U382" s="3">
        <v>2.21</v>
      </c>
      <c r="V382" s="5">
        <f t="shared" si="17"/>
        <v>3.1173186943388432E-2</v>
      </c>
      <c r="W382" s="3">
        <v>3.1173186943388432E-2</v>
      </c>
    </row>
    <row r="383" spans="1:23" x14ac:dyDescent="0.55000000000000004">
      <c r="A383" s="3">
        <v>11</v>
      </c>
      <c r="B383" s="3" t="s">
        <v>53</v>
      </c>
      <c r="C383" s="3" t="s">
        <v>49</v>
      </c>
      <c r="D383" s="3" t="s">
        <v>41</v>
      </c>
      <c r="E383" s="2" t="s">
        <v>15</v>
      </c>
      <c r="F383" s="3">
        <v>12</v>
      </c>
      <c r="G383" s="4">
        <v>22.4</v>
      </c>
      <c r="H383" s="4">
        <v>106.4</v>
      </c>
      <c r="I383" s="6">
        <v>8.7962114526395325</v>
      </c>
      <c r="J383" s="5">
        <v>2.4E-2</v>
      </c>
      <c r="K383" s="4">
        <v>19.399999999999999</v>
      </c>
      <c r="L383" s="4">
        <v>87.8</v>
      </c>
      <c r="M383" s="6">
        <v>7.7014171439434218</v>
      </c>
      <c r="N383" s="5">
        <v>2.4E-2</v>
      </c>
      <c r="O383" s="5">
        <v>1.0947943086961107</v>
      </c>
      <c r="P383" s="5">
        <v>1.0947943086961107</v>
      </c>
      <c r="Q383" s="8">
        <v>0.21319444444444444</v>
      </c>
      <c r="R383" s="8">
        <v>0.875</v>
      </c>
      <c r="S383" s="6">
        <f t="shared" si="15"/>
        <v>15.883333333333333</v>
      </c>
      <c r="T383" s="5">
        <f t="shared" si="16"/>
        <v>6.8927238742672245E-2</v>
      </c>
      <c r="U383" s="3">
        <v>2.21</v>
      </c>
      <c r="V383" s="5">
        <f t="shared" si="17"/>
        <v>3.1188795811163909E-2</v>
      </c>
      <c r="W383" s="3">
        <v>3.1188795811163909E-2</v>
      </c>
    </row>
    <row r="384" spans="1:23" x14ac:dyDescent="0.55000000000000004">
      <c r="A384" s="3">
        <v>60</v>
      </c>
      <c r="B384" s="3" t="s">
        <v>51</v>
      </c>
      <c r="C384" s="3" t="s">
        <v>49</v>
      </c>
      <c r="D384" s="3" t="s">
        <v>39</v>
      </c>
      <c r="E384" s="2" t="s">
        <v>19</v>
      </c>
      <c r="F384" s="3">
        <v>26</v>
      </c>
      <c r="G384" s="4">
        <v>25.1</v>
      </c>
      <c r="H384" s="4">
        <v>94.6</v>
      </c>
      <c r="I384" s="6">
        <v>7.4305986018661319</v>
      </c>
      <c r="J384" s="5">
        <v>3.5999999999999997E-2</v>
      </c>
      <c r="K384" s="4">
        <v>22.4</v>
      </c>
      <c r="L384" s="4">
        <v>76.3</v>
      </c>
      <c r="M384" s="6">
        <v>6.3078095285375584</v>
      </c>
      <c r="N384" s="5">
        <v>3.4000000000000002E-2</v>
      </c>
      <c r="O384" s="5">
        <v>1.1227890733285735</v>
      </c>
      <c r="P384" s="5">
        <v>1.1227890733285735</v>
      </c>
      <c r="Q384" s="8">
        <v>0.20833333333333334</v>
      </c>
      <c r="R384" s="8">
        <v>0.88541666666666663</v>
      </c>
      <c r="S384" s="6">
        <f t="shared" si="15"/>
        <v>16.25</v>
      </c>
      <c r="T384" s="5">
        <f t="shared" si="16"/>
        <v>6.909471220483529E-2</v>
      </c>
      <c r="U384" s="3">
        <v>2.21</v>
      </c>
      <c r="V384" s="5">
        <f t="shared" si="17"/>
        <v>3.1264575658296517E-2</v>
      </c>
      <c r="W384" s="3">
        <v>3.1264575658296517E-2</v>
      </c>
    </row>
    <row r="385" spans="1:23" x14ac:dyDescent="0.55000000000000004">
      <c r="A385" s="3">
        <v>17</v>
      </c>
      <c r="B385" s="3" t="s">
        <v>52</v>
      </c>
      <c r="C385" s="3" t="s">
        <v>50</v>
      </c>
      <c r="D385" s="3" t="s">
        <v>12</v>
      </c>
      <c r="E385" s="2" t="s">
        <v>18</v>
      </c>
      <c r="F385" s="3">
        <v>24</v>
      </c>
      <c r="G385" s="4">
        <v>22.1</v>
      </c>
      <c r="H385" s="4">
        <v>106.1</v>
      </c>
      <c r="I385" s="6">
        <v>8.8224916187181925</v>
      </c>
      <c r="J385" s="5">
        <v>5.8999999999999997E-2</v>
      </c>
      <c r="K385" s="4">
        <v>19.7</v>
      </c>
      <c r="L385" s="4">
        <v>88.4</v>
      </c>
      <c r="M385" s="6">
        <v>7.7073404491602249</v>
      </c>
      <c r="N385" s="5">
        <v>5.6000000000000001E-2</v>
      </c>
      <c r="O385" s="5">
        <v>1.1151511695579677</v>
      </c>
      <c r="P385" s="5">
        <v>1.1151511695579677</v>
      </c>
      <c r="Q385" s="8">
        <v>0.21180555555555555</v>
      </c>
      <c r="R385" s="8">
        <v>0.88194444444444453</v>
      </c>
      <c r="S385" s="6">
        <f t="shared" si="15"/>
        <v>16.083333333333336</v>
      </c>
      <c r="T385" s="5">
        <f t="shared" si="16"/>
        <v>6.9335824013966887E-2</v>
      </c>
      <c r="U385" s="3">
        <v>2.21</v>
      </c>
      <c r="V385" s="5">
        <f t="shared" si="17"/>
        <v>3.1373676024419414E-2</v>
      </c>
      <c r="W385" s="3">
        <v>3.1373676024419414E-2</v>
      </c>
    </row>
    <row r="386" spans="1:23" x14ac:dyDescent="0.55000000000000004">
      <c r="A386" s="3">
        <v>47</v>
      </c>
      <c r="B386" s="3" t="s">
        <v>52</v>
      </c>
      <c r="C386" s="3" t="s">
        <v>50</v>
      </c>
      <c r="D386" s="3" t="s">
        <v>12</v>
      </c>
      <c r="E386" s="2" t="s">
        <v>14</v>
      </c>
      <c r="F386" s="3">
        <v>10</v>
      </c>
      <c r="G386" s="4">
        <v>22</v>
      </c>
      <c r="H386" s="4">
        <v>96.1</v>
      </c>
      <c r="I386" s="6">
        <v>8.0064923295716781</v>
      </c>
      <c r="J386" s="5">
        <v>3.5999999999999997E-2</v>
      </c>
      <c r="K386" s="4">
        <v>19.899999999999999</v>
      </c>
      <c r="L386" s="4">
        <v>79.5</v>
      </c>
      <c r="M386" s="6">
        <v>6.9036173931065195</v>
      </c>
      <c r="N386" s="5">
        <v>3.5000000000000003E-2</v>
      </c>
      <c r="O386" s="5">
        <v>1.1028749364651587</v>
      </c>
      <c r="P386" s="5">
        <v>1.1028749364651587</v>
      </c>
      <c r="Q386" s="8">
        <v>0.20555555555555557</v>
      </c>
      <c r="R386" s="8">
        <v>0.86805555555555547</v>
      </c>
      <c r="S386" s="6">
        <f t="shared" ref="S386:S449" si="18">(R386-Q386)*24</f>
        <v>15.899999999999997</v>
      </c>
      <c r="T386" s="5">
        <f t="shared" ref="T386:T449" si="19">P386/S386</f>
        <v>6.9363203551267849E-2</v>
      </c>
      <c r="U386" s="3">
        <v>2.21</v>
      </c>
      <c r="V386" s="5">
        <f t="shared" ref="V386:V449" si="20">(I386-M386)/U386/S386</f>
        <v>3.1386064955324824E-2</v>
      </c>
      <c r="W386" s="3">
        <v>3.1386064955324824E-2</v>
      </c>
    </row>
    <row r="387" spans="1:23" x14ac:dyDescent="0.55000000000000004">
      <c r="A387" s="3">
        <v>48</v>
      </c>
      <c r="B387" s="3" t="s">
        <v>52</v>
      </c>
      <c r="C387" s="3" t="s">
        <v>49</v>
      </c>
      <c r="D387" s="3" t="s">
        <v>40</v>
      </c>
      <c r="E387" s="2" t="s">
        <v>14</v>
      </c>
      <c r="F387" s="3">
        <v>10</v>
      </c>
      <c r="G387" s="4">
        <v>22.1</v>
      </c>
      <c r="H387" s="4">
        <v>89.1</v>
      </c>
      <c r="I387" s="6">
        <v>7.4088972971516576</v>
      </c>
      <c r="J387" s="5">
        <v>2.5000000000000001E-2</v>
      </c>
      <c r="K387" s="4">
        <v>19.899999999999999</v>
      </c>
      <c r="L387" s="4">
        <v>72.599999999999994</v>
      </c>
      <c r="M387" s="6">
        <v>6.3044355061576516</v>
      </c>
      <c r="N387" s="5">
        <v>2.5000000000000001E-2</v>
      </c>
      <c r="O387" s="5">
        <v>1.104461790994006</v>
      </c>
      <c r="P387" s="5">
        <v>1.104461790994006</v>
      </c>
      <c r="Q387" s="8">
        <v>0.20555555555555557</v>
      </c>
      <c r="R387" s="8">
        <v>0.86805555555555547</v>
      </c>
      <c r="S387" s="6">
        <f t="shared" si="18"/>
        <v>15.899999999999997</v>
      </c>
      <c r="T387" s="5">
        <f t="shared" si="19"/>
        <v>6.9463005722893476E-2</v>
      </c>
      <c r="U387" s="3">
        <v>2.21</v>
      </c>
      <c r="V387" s="5">
        <f t="shared" si="20"/>
        <v>3.1431224309001568E-2</v>
      </c>
      <c r="W387" s="3">
        <v>3.1431224309001568E-2</v>
      </c>
    </row>
    <row r="388" spans="1:23" x14ac:dyDescent="0.55000000000000004">
      <c r="A388" s="3">
        <v>16</v>
      </c>
      <c r="B388" s="3" t="s">
        <v>52</v>
      </c>
      <c r="C388" s="3" t="s">
        <v>50</v>
      </c>
      <c r="D388" s="3" t="s">
        <v>12</v>
      </c>
      <c r="E388" s="2" t="s">
        <v>13</v>
      </c>
      <c r="F388" s="3">
        <v>8</v>
      </c>
      <c r="G388" s="4">
        <v>21.7</v>
      </c>
      <c r="H388" s="4">
        <v>102</v>
      </c>
      <c r="I388" s="6">
        <v>8.5478224528833078</v>
      </c>
      <c r="J388" s="5">
        <v>3.6999999999999998E-2</v>
      </c>
      <c r="K388" s="4">
        <v>19</v>
      </c>
      <c r="L388" s="4">
        <v>84.3</v>
      </c>
      <c r="M388" s="6">
        <v>7.4545369720129271</v>
      </c>
      <c r="N388" s="5">
        <v>3.5000000000000003E-2</v>
      </c>
      <c r="O388" s="5">
        <v>1.0932854808703807</v>
      </c>
      <c r="P388" s="5">
        <v>1.0932854808703807</v>
      </c>
      <c r="Q388" s="8">
        <v>0.20833333333333334</v>
      </c>
      <c r="R388" s="8">
        <v>0.86319444444444438</v>
      </c>
      <c r="S388" s="6">
        <f t="shared" si="18"/>
        <v>15.716666666666665</v>
      </c>
      <c r="T388" s="5">
        <f t="shared" si="19"/>
        <v>6.9562172695888491E-2</v>
      </c>
      <c r="U388" s="3">
        <v>2.21</v>
      </c>
      <c r="V388" s="5">
        <f t="shared" si="20"/>
        <v>3.147609624248348E-2</v>
      </c>
      <c r="W388" s="3">
        <v>3.147609624248348E-2</v>
      </c>
    </row>
    <row r="389" spans="1:23" x14ac:dyDescent="0.55000000000000004">
      <c r="A389" s="3">
        <v>4</v>
      </c>
      <c r="B389" s="3" t="s">
        <v>48</v>
      </c>
      <c r="C389" s="3" t="s">
        <v>49</v>
      </c>
      <c r="D389" s="3" t="s">
        <v>38</v>
      </c>
      <c r="E389" s="3" t="s">
        <v>34</v>
      </c>
      <c r="F389" s="3">
        <v>79</v>
      </c>
      <c r="G389" s="4">
        <v>28.5</v>
      </c>
      <c r="H389" s="4">
        <v>66.8</v>
      </c>
      <c r="I389" s="6">
        <v>4.9325148440079847</v>
      </c>
      <c r="J389" s="5">
        <v>8.4000000000000005E-2</v>
      </c>
      <c r="K389" s="4">
        <v>24.9</v>
      </c>
      <c r="L389" s="4">
        <v>48.2</v>
      </c>
      <c r="M389" s="6">
        <v>3.8001191795950571</v>
      </c>
      <c r="N389" s="5">
        <v>8.1000000000000003E-2</v>
      </c>
      <c r="O389" s="5">
        <v>1.1323956644129276</v>
      </c>
      <c r="P389" s="5">
        <v>1.1323956644129276</v>
      </c>
      <c r="Q389" s="8">
        <v>0.20833333333333334</v>
      </c>
      <c r="R389" s="8">
        <v>0.88541666666666663</v>
      </c>
      <c r="S389" s="6">
        <f t="shared" si="18"/>
        <v>16.25</v>
      </c>
      <c r="T389" s="5">
        <f t="shared" si="19"/>
        <v>6.9685887040795549E-2</v>
      </c>
      <c r="U389" s="3">
        <v>2.21</v>
      </c>
      <c r="V389" s="5">
        <f t="shared" si="20"/>
        <v>3.1532075584070382E-2</v>
      </c>
      <c r="W389" s="3">
        <v>3.1532075584070382E-2</v>
      </c>
    </row>
    <row r="390" spans="1:23" x14ac:dyDescent="0.55000000000000004">
      <c r="A390" s="3">
        <v>11</v>
      </c>
      <c r="B390" s="3" t="s">
        <v>53</v>
      </c>
      <c r="C390" s="3" t="s">
        <v>49</v>
      </c>
      <c r="D390" s="3" t="s">
        <v>41</v>
      </c>
      <c r="E390" s="2" t="s">
        <v>21</v>
      </c>
      <c r="F390" s="3">
        <v>33</v>
      </c>
      <c r="G390" s="4">
        <v>28.7</v>
      </c>
      <c r="H390" s="4">
        <v>64.599999999999994</v>
      </c>
      <c r="I390" s="6">
        <v>4.7531642597418395</v>
      </c>
      <c r="J390" s="5">
        <v>6.3E-2</v>
      </c>
      <c r="K390" s="4">
        <v>26.1</v>
      </c>
      <c r="L390" s="4">
        <v>47</v>
      </c>
      <c r="M390" s="6">
        <v>3.6241727616011072</v>
      </c>
      <c r="N390" s="5">
        <v>5.7000000000000002E-2</v>
      </c>
      <c r="O390" s="5">
        <v>1.1289914981407323</v>
      </c>
      <c r="P390" s="5">
        <v>1.1289914981407323</v>
      </c>
      <c r="Q390" s="8">
        <v>0.20833333333333334</v>
      </c>
      <c r="R390" s="8">
        <v>0.88194444444444453</v>
      </c>
      <c r="S390" s="6">
        <f t="shared" si="18"/>
        <v>16.166666666666668</v>
      </c>
      <c r="T390" s="5">
        <f t="shared" si="19"/>
        <v>6.9834525658189622E-2</v>
      </c>
      <c r="U390" s="3">
        <v>2.21</v>
      </c>
      <c r="V390" s="5">
        <f t="shared" si="20"/>
        <v>3.1599332877008883E-2</v>
      </c>
      <c r="W390" s="3">
        <v>3.1599332877008883E-2</v>
      </c>
    </row>
    <row r="391" spans="1:23" x14ac:dyDescent="0.55000000000000004">
      <c r="A391" s="3">
        <v>36</v>
      </c>
      <c r="B391" s="3" t="s">
        <v>52</v>
      </c>
      <c r="C391" s="3" t="s">
        <v>50</v>
      </c>
      <c r="D391" s="3" t="s">
        <v>12</v>
      </c>
      <c r="E391" s="2" t="s">
        <v>15</v>
      </c>
      <c r="F391" s="3">
        <v>12</v>
      </c>
      <c r="G391" s="4">
        <v>22.5</v>
      </c>
      <c r="H391" s="4">
        <v>100.6</v>
      </c>
      <c r="I391" s="6">
        <v>8.3006826406969623</v>
      </c>
      <c r="J391" s="5">
        <v>4.1000000000000002E-2</v>
      </c>
      <c r="K391" s="4">
        <v>19.5</v>
      </c>
      <c r="L391" s="4">
        <v>82.1</v>
      </c>
      <c r="M391" s="6">
        <v>7.1869290364057363</v>
      </c>
      <c r="N391" s="5">
        <v>4.1000000000000002E-2</v>
      </c>
      <c r="O391" s="5">
        <v>1.1137536042912259</v>
      </c>
      <c r="P391" s="5">
        <v>1.1137536042912259</v>
      </c>
      <c r="Q391" s="8">
        <v>0.21319444444444444</v>
      </c>
      <c r="R391" s="8">
        <v>0.875</v>
      </c>
      <c r="S391" s="6">
        <f t="shared" si="18"/>
        <v>15.883333333333333</v>
      </c>
      <c r="T391" s="5">
        <f t="shared" si="19"/>
        <v>7.0120898486331115E-2</v>
      </c>
      <c r="U391" s="3">
        <v>2.21</v>
      </c>
      <c r="V391" s="5">
        <f t="shared" si="20"/>
        <v>3.1728913342231276E-2</v>
      </c>
      <c r="W391" s="3">
        <v>3.1728913342231276E-2</v>
      </c>
    </row>
    <row r="392" spans="1:23" x14ac:dyDescent="0.55000000000000004">
      <c r="A392" s="3">
        <v>11</v>
      </c>
      <c r="B392" s="3" t="s">
        <v>53</v>
      </c>
      <c r="C392" s="3" t="s">
        <v>49</v>
      </c>
      <c r="D392" s="3" t="s">
        <v>41</v>
      </c>
      <c r="E392" s="2" t="s">
        <v>17</v>
      </c>
      <c r="F392" s="3">
        <v>19</v>
      </c>
      <c r="G392" s="4">
        <v>22.2</v>
      </c>
      <c r="H392" s="4">
        <v>74</v>
      </c>
      <c r="I392" s="6">
        <v>6.1413771619570783</v>
      </c>
      <c r="J392" s="5">
        <v>3.2000000000000001E-2</v>
      </c>
      <c r="K392" s="4">
        <v>17.100000000000001</v>
      </c>
      <c r="L392" s="4">
        <v>54.4</v>
      </c>
      <c r="M392" s="6">
        <v>5.0025840553243333</v>
      </c>
      <c r="N392" s="5">
        <v>2.9000000000000001E-2</v>
      </c>
      <c r="O392" s="5">
        <v>1.138793106632745</v>
      </c>
      <c r="P392" s="5">
        <v>1.138793106632745</v>
      </c>
      <c r="Q392" s="8">
        <v>0.19930555555555554</v>
      </c>
      <c r="R392" s="8">
        <v>0.875</v>
      </c>
      <c r="S392" s="6">
        <f t="shared" si="18"/>
        <v>16.216666666666669</v>
      </c>
      <c r="T392" s="5">
        <f t="shared" si="19"/>
        <v>7.0223624252790023E-2</v>
      </c>
      <c r="U392" s="3">
        <v>2.21</v>
      </c>
      <c r="V392" s="5">
        <f t="shared" si="20"/>
        <v>3.1775395589497747E-2</v>
      </c>
      <c r="W392" s="3">
        <v>3.1775395589497747E-2</v>
      </c>
    </row>
    <row r="393" spans="1:23" x14ac:dyDescent="0.55000000000000004">
      <c r="A393" s="3">
        <v>18</v>
      </c>
      <c r="B393" s="3" t="s">
        <v>51</v>
      </c>
      <c r="C393" s="3" t="s">
        <v>50</v>
      </c>
      <c r="D393" s="3" t="s">
        <v>9</v>
      </c>
      <c r="E393" s="2" t="s">
        <v>17</v>
      </c>
      <c r="F393" s="3">
        <v>19</v>
      </c>
      <c r="G393" s="4">
        <v>22.2</v>
      </c>
      <c r="H393" s="4">
        <v>88.9</v>
      </c>
      <c r="I393" s="6">
        <v>7.3779517526754637</v>
      </c>
      <c r="J393" s="5">
        <v>4.1000000000000002E-2</v>
      </c>
      <c r="K393" s="4">
        <v>17.3</v>
      </c>
      <c r="L393" s="4">
        <v>68.099999999999994</v>
      </c>
      <c r="M393" s="6">
        <v>6.2363325144641317</v>
      </c>
      <c r="N393" s="5">
        <v>3.6999999999999998E-2</v>
      </c>
      <c r="O393" s="5">
        <v>1.1416192382113319</v>
      </c>
      <c r="P393" s="5">
        <v>1.1416192382113319</v>
      </c>
      <c r="Q393" s="8">
        <v>0.19930555555555554</v>
      </c>
      <c r="R393" s="8">
        <v>0.875</v>
      </c>
      <c r="S393" s="6">
        <f t="shared" si="18"/>
        <v>16.216666666666669</v>
      </c>
      <c r="T393" s="5">
        <f t="shared" si="19"/>
        <v>7.0397897525878633E-2</v>
      </c>
      <c r="U393" s="3">
        <v>2.21</v>
      </c>
      <c r="V393" s="5">
        <f t="shared" si="20"/>
        <v>3.1854252274153227E-2</v>
      </c>
      <c r="W393" s="3">
        <v>3.1854252274153227E-2</v>
      </c>
    </row>
    <row r="394" spans="1:23" x14ac:dyDescent="0.55000000000000004">
      <c r="A394" s="3">
        <v>15</v>
      </c>
      <c r="B394" s="3" t="s">
        <v>48</v>
      </c>
      <c r="C394" s="3" t="s">
        <v>49</v>
      </c>
      <c r="D394" s="3" t="s">
        <v>38</v>
      </c>
      <c r="E394" s="3" t="s">
        <v>34</v>
      </c>
      <c r="F394" s="3">
        <v>79</v>
      </c>
      <c r="G394" s="4">
        <v>28.4</v>
      </c>
      <c r="H394" s="4">
        <v>64.2</v>
      </c>
      <c r="I394" s="6">
        <v>4.7489684579144544</v>
      </c>
      <c r="J394" s="5">
        <v>8.5999999999999993E-2</v>
      </c>
      <c r="K394" s="4">
        <v>24.9</v>
      </c>
      <c r="L394" s="4">
        <v>45.7</v>
      </c>
      <c r="M394" s="6">
        <v>3.6030175623961429</v>
      </c>
      <c r="N394" s="5">
        <v>8.1000000000000003E-2</v>
      </c>
      <c r="O394" s="5">
        <v>1.1459508955183115</v>
      </c>
      <c r="P394" s="5">
        <v>1.1459508955183115</v>
      </c>
      <c r="Q394" s="8">
        <v>0.20833333333333334</v>
      </c>
      <c r="R394" s="8">
        <v>0.88541666666666663</v>
      </c>
      <c r="S394" s="6">
        <f t="shared" si="18"/>
        <v>16.25</v>
      </c>
      <c r="T394" s="5">
        <f t="shared" si="19"/>
        <v>7.0520055108819174E-2</v>
      </c>
      <c r="U394" s="3">
        <v>2.21</v>
      </c>
      <c r="V394" s="5">
        <f t="shared" si="20"/>
        <v>3.1909527198560717E-2</v>
      </c>
      <c r="W394" s="3">
        <v>3.1909527198560717E-2</v>
      </c>
    </row>
    <row r="395" spans="1:23" x14ac:dyDescent="0.55000000000000004">
      <c r="A395" s="3">
        <v>1</v>
      </c>
      <c r="B395" s="3" t="s">
        <v>51</v>
      </c>
      <c r="C395" s="3" t="s">
        <v>49</v>
      </c>
      <c r="D395" s="3" t="s">
        <v>39</v>
      </c>
      <c r="E395" s="2" t="s">
        <v>16</v>
      </c>
      <c r="F395" s="3">
        <v>16</v>
      </c>
      <c r="G395" s="4">
        <v>20.7</v>
      </c>
      <c r="H395" s="4">
        <v>97.5</v>
      </c>
      <c r="I395" s="6">
        <v>8.3328788417108015</v>
      </c>
      <c r="J395" s="5">
        <v>2.7E-2</v>
      </c>
      <c r="K395" s="4">
        <v>19.600000000000001</v>
      </c>
      <c r="L395" s="4">
        <v>82.6</v>
      </c>
      <c r="M395" s="6">
        <v>7.21615130042973</v>
      </c>
      <c r="N395" s="5">
        <v>2.8000000000000001E-2</v>
      </c>
      <c r="O395" s="5">
        <v>1.1167275412810715</v>
      </c>
      <c r="P395" s="5">
        <v>1.1167275412810715</v>
      </c>
      <c r="Q395" s="8">
        <v>0.20833333333333334</v>
      </c>
      <c r="R395" s="8">
        <v>0.86805555555555547</v>
      </c>
      <c r="S395" s="6">
        <f t="shared" si="18"/>
        <v>15.83333333333333</v>
      </c>
      <c r="T395" s="5">
        <f t="shared" si="19"/>
        <v>7.0530160501962424E-2</v>
      </c>
      <c r="U395" s="3">
        <v>2.21</v>
      </c>
      <c r="V395" s="5">
        <f t="shared" si="20"/>
        <v>3.1914099774643635E-2</v>
      </c>
      <c r="W395" s="3">
        <v>3.1914099774643635E-2</v>
      </c>
    </row>
    <row r="396" spans="1:23" x14ac:dyDescent="0.55000000000000004">
      <c r="A396" s="3">
        <v>52</v>
      </c>
      <c r="B396" s="3" t="s">
        <v>48</v>
      </c>
      <c r="C396" s="3" t="s">
        <v>49</v>
      </c>
      <c r="D396" s="3" t="s">
        <v>38</v>
      </c>
      <c r="E396" s="2" t="s">
        <v>24</v>
      </c>
      <c r="F396" s="3">
        <v>44</v>
      </c>
      <c r="G396" s="4">
        <v>25</v>
      </c>
      <c r="H396" s="4">
        <v>80.900000000000006</v>
      </c>
      <c r="I396" s="6">
        <v>6.3663335406440043</v>
      </c>
      <c r="J396" s="5">
        <v>5.8999999999999997E-2</v>
      </c>
      <c r="K396" s="4">
        <v>20.6</v>
      </c>
      <c r="L396" s="4">
        <v>60.5</v>
      </c>
      <c r="M396" s="6">
        <v>5.1809123171791418</v>
      </c>
      <c r="N396" s="5">
        <v>5.2999999999999999E-2</v>
      </c>
      <c r="O396" s="5">
        <v>1.1854212234648625</v>
      </c>
      <c r="P396" s="5">
        <v>1.1854212234648625</v>
      </c>
      <c r="Q396" s="8">
        <v>0.20277777777777781</v>
      </c>
      <c r="R396" s="8">
        <v>0.90277777777777779</v>
      </c>
      <c r="S396" s="6">
        <f t="shared" si="18"/>
        <v>16.799999999999997</v>
      </c>
      <c r="T396" s="5">
        <f t="shared" si="19"/>
        <v>7.0560787111003734E-2</v>
      </c>
      <c r="U396" s="3">
        <v>2.21</v>
      </c>
      <c r="V396" s="5">
        <f t="shared" si="20"/>
        <v>3.1927957968779966E-2</v>
      </c>
      <c r="W396" s="3">
        <v>3.1927957968779966E-2</v>
      </c>
    </row>
    <row r="397" spans="1:23" x14ac:dyDescent="0.55000000000000004">
      <c r="A397" s="3">
        <v>37</v>
      </c>
      <c r="B397" s="3" t="s">
        <v>53</v>
      </c>
      <c r="C397" s="3" t="s">
        <v>50</v>
      </c>
      <c r="D397" s="3" t="s">
        <v>11</v>
      </c>
      <c r="E397" s="2" t="s">
        <v>16</v>
      </c>
      <c r="F397" s="3">
        <v>16</v>
      </c>
      <c r="G397" s="4">
        <v>20.9</v>
      </c>
      <c r="H397" s="4">
        <v>100.6</v>
      </c>
      <c r="I397" s="6">
        <v>8.5638962426766039</v>
      </c>
      <c r="J397" s="5">
        <v>3.4000000000000002E-2</v>
      </c>
      <c r="K397" s="4">
        <v>19.7</v>
      </c>
      <c r="L397" s="4">
        <v>85.4</v>
      </c>
      <c r="M397" s="6">
        <v>7.4457791217000366</v>
      </c>
      <c r="N397" s="5">
        <v>3.5000000000000003E-2</v>
      </c>
      <c r="O397" s="5">
        <v>1.1181171209765672</v>
      </c>
      <c r="P397" s="5">
        <v>1.1181171209765672</v>
      </c>
      <c r="Q397" s="8">
        <v>0.20833333333333334</v>
      </c>
      <c r="R397" s="8">
        <v>0.86805555555555547</v>
      </c>
      <c r="S397" s="6">
        <f t="shared" si="18"/>
        <v>15.83333333333333</v>
      </c>
      <c r="T397" s="5">
        <f t="shared" si="19"/>
        <v>7.0617923430098997E-2</v>
      </c>
      <c r="U397" s="3">
        <v>2.21</v>
      </c>
      <c r="V397" s="5">
        <f t="shared" si="20"/>
        <v>3.195381150683213E-2</v>
      </c>
      <c r="W397" s="3">
        <v>3.195381150683213E-2</v>
      </c>
    </row>
    <row r="398" spans="1:23" x14ac:dyDescent="0.55000000000000004">
      <c r="A398" s="3">
        <v>23</v>
      </c>
      <c r="B398" s="3" t="s">
        <v>52</v>
      </c>
      <c r="C398" s="3" t="s">
        <v>49</v>
      </c>
      <c r="D398" s="3" t="s">
        <v>40</v>
      </c>
      <c r="E398" s="2" t="s">
        <v>20</v>
      </c>
      <c r="F398" s="3">
        <v>30</v>
      </c>
      <c r="G398" s="4">
        <v>27.1</v>
      </c>
      <c r="H398" s="4">
        <v>78.7</v>
      </c>
      <c r="I398" s="6">
        <v>5.9589764786763695</v>
      </c>
      <c r="J398" s="5">
        <v>4.9000000000000002E-2</v>
      </c>
      <c r="K398" s="4">
        <v>23.2</v>
      </c>
      <c r="L398" s="4">
        <v>59.1</v>
      </c>
      <c r="M398" s="6">
        <v>4.8113752597589396</v>
      </c>
      <c r="N398" s="5">
        <v>4.7E-2</v>
      </c>
      <c r="O398" s="5">
        <v>1.1476012189174298</v>
      </c>
      <c r="P398" s="5">
        <v>1.1476012189174298</v>
      </c>
      <c r="Q398" s="8">
        <v>0.20833333333333334</v>
      </c>
      <c r="R398" s="8">
        <v>0.88541666666666663</v>
      </c>
      <c r="S398" s="6">
        <f t="shared" si="18"/>
        <v>16.25</v>
      </c>
      <c r="T398" s="5">
        <f t="shared" si="19"/>
        <v>7.0621613471841829E-2</v>
      </c>
      <c r="U398" s="3">
        <v>2.21</v>
      </c>
      <c r="V398" s="5">
        <f t="shared" si="20"/>
        <v>3.1955481208978204E-2</v>
      </c>
      <c r="W398" s="3">
        <v>3.1955481208978204E-2</v>
      </c>
    </row>
    <row r="399" spans="1:23" x14ac:dyDescent="0.55000000000000004">
      <c r="A399" s="3">
        <v>22</v>
      </c>
      <c r="B399" s="3" t="s">
        <v>48</v>
      </c>
      <c r="C399" s="3" t="s">
        <v>49</v>
      </c>
      <c r="D399" s="3" t="s">
        <v>38</v>
      </c>
      <c r="E399" s="3" t="s">
        <v>26</v>
      </c>
      <c r="F399" s="3">
        <v>51</v>
      </c>
      <c r="G399" s="4">
        <v>26.6</v>
      </c>
      <c r="H399" s="4">
        <v>63.5</v>
      </c>
      <c r="I399" s="6">
        <v>4.8519293430598447</v>
      </c>
      <c r="J399" s="5">
        <v>7.5999999999999998E-2</v>
      </c>
      <c r="K399" s="4">
        <v>24.1</v>
      </c>
      <c r="L399" s="4">
        <v>46.5</v>
      </c>
      <c r="M399" s="6">
        <v>3.7215000547761621</v>
      </c>
      <c r="N399" s="5">
        <v>7.4999999999999997E-2</v>
      </c>
      <c r="O399" s="5">
        <v>1.1304292882836826</v>
      </c>
      <c r="P399" s="5">
        <v>1.1304292882836826</v>
      </c>
      <c r="Q399" s="8">
        <v>0.20833333333333334</v>
      </c>
      <c r="R399" s="8">
        <v>0.875</v>
      </c>
      <c r="S399" s="6">
        <f t="shared" si="18"/>
        <v>16</v>
      </c>
      <c r="T399" s="5">
        <f t="shared" si="19"/>
        <v>7.0651830517730163E-2</v>
      </c>
      <c r="U399" s="3">
        <v>2.21</v>
      </c>
      <c r="V399" s="5">
        <f t="shared" si="20"/>
        <v>3.1969154080420892E-2</v>
      </c>
      <c r="W399" s="3">
        <v>3.1969154080420892E-2</v>
      </c>
    </row>
    <row r="400" spans="1:23" x14ac:dyDescent="0.55000000000000004">
      <c r="A400" s="3">
        <v>40</v>
      </c>
      <c r="B400" s="3" t="s">
        <v>48</v>
      </c>
      <c r="C400" s="3" t="s">
        <v>50</v>
      </c>
      <c r="D400" s="3" t="s">
        <v>10</v>
      </c>
      <c r="E400" s="3" t="s">
        <v>35</v>
      </c>
      <c r="F400" s="3">
        <v>82</v>
      </c>
      <c r="G400" s="4">
        <v>31.2</v>
      </c>
      <c r="H400" s="4">
        <v>68.2</v>
      </c>
      <c r="I400" s="6">
        <v>4.8038916713500379</v>
      </c>
      <c r="J400" s="5">
        <v>7.4999999999999997E-2</v>
      </c>
      <c r="K400" s="4">
        <v>26.9</v>
      </c>
      <c r="L400" s="4">
        <v>48.1</v>
      </c>
      <c r="M400" s="6">
        <v>3.6552440851880941</v>
      </c>
      <c r="N400" s="5">
        <v>7.0000000000000007E-2</v>
      </c>
      <c r="O400" s="5">
        <v>1.1486475861619438</v>
      </c>
      <c r="P400" s="5">
        <v>1.1486475861619438</v>
      </c>
      <c r="Q400" s="8">
        <v>0.20833333333333334</v>
      </c>
      <c r="R400" s="8">
        <v>0.88541666666666663</v>
      </c>
      <c r="S400" s="6">
        <f t="shared" si="18"/>
        <v>16.25</v>
      </c>
      <c r="T400" s="5">
        <f t="shared" si="19"/>
        <v>7.0686005302273466E-2</v>
      </c>
      <c r="U400" s="3">
        <v>2.21</v>
      </c>
      <c r="V400" s="5">
        <f t="shared" si="20"/>
        <v>3.1984617783834143E-2</v>
      </c>
      <c r="W400" s="3">
        <v>3.1984617783834143E-2</v>
      </c>
    </row>
    <row r="401" spans="1:23" x14ac:dyDescent="0.55000000000000004">
      <c r="A401" s="3">
        <v>63</v>
      </c>
      <c r="B401" s="3" t="s">
        <v>51</v>
      </c>
      <c r="C401" s="3" t="s">
        <v>49</v>
      </c>
      <c r="D401" s="3" t="s">
        <v>39</v>
      </c>
      <c r="E401" s="2" t="s">
        <v>15</v>
      </c>
      <c r="F401" s="3">
        <v>12</v>
      </c>
      <c r="G401" s="4">
        <v>22.8</v>
      </c>
      <c r="H401" s="4">
        <v>114.7</v>
      </c>
      <c r="I401" s="6">
        <v>9.4096140513439046</v>
      </c>
      <c r="J401" s="5">
        <v>2.1999999999999999E-2</v>
      </c>
      <c r="K401" s="4">
        <v>19.600000000000001</v>
      </c>
      <c r="L401" s="4">
        <v>94.8</v>
      </c>
      <c r="M401" s="6">
        <v>8.2819751002510706</v>
      </c>
      <c r="N401" s="5">
        <v>2.1999999999999999E-2</v>
      </c>
      <c r="O401" s="5">
        <v>1.127638951092834</v>
      </c>
      <c r="P401" s="5">
        <v>1.127638951092834</v>
      </c>
      <c r="Q401" s="8">
        <v>0.21319444444444444</v>
      </c>
      <c r="R401" s="8">
        <v>0.875</v>
      </c>
      <c r="S401" s="6">
        <f t="shared" si="18"/>
        <v>15.883333333333333</v>
      </c>
      <c r="T401" s="5">
        <f t="shared" si="19"/>
        <v>7.0995107099234039E-2</v>
      </c>
      <c r="U401" s="3">
        <v>2.21</v>
      </c>
      <c r="V401" s="5">
        <f t="shared" si="20"/>
        <v>3.2124482850332141E-2</v>
      </c>
      <c r="W401" s="3">
        <v>3.2124482850332141E-2</v>
      </c>
    </row>
    <row r="402" spans="1:23" x14ac:dyDescent="0.55000000000000004">
      <c r="A402" s="3">
        <v>53</v>
      </c>
      <c r="B402" s="3" t="s">
        <v>48</v>
      </c>
      <c r="C402" s="3" t="s">
        <v>49</v>
      </c>
      <c r="D402" s="3" t="s">
        <v>38</v>
      </c>
      <c r="E402" s="2" t="s">
        <v>20</v>
      </c>
      <c r="F402" s="3">
        <v>30</v>
      </c>
      <c r="G402" s="4">
        <v>27.5</v>
      </c>
      <c r="H402" s="4">
        <v>81.599999999999994</v>
      </c>
      <c r="I402" s="6">
        <v>6.1341001984280856</v>
      </c>
      <c r="J402" s="5">
        <v>4.7E-2</v>
      </c>
      <c r="K402" s="4">
        <v>24.1</v>
      </c>
      <c r="L402" s="4">
        <v>62.2</v>
      </c>
      <c r="M402" s="6">
        <v>4.9780065248833827</v>
      </c>
      <c r="N402" s="5">
        <v>4.4999999999999998E-2</v>
      </c>
      <c r="O402" s="5">
        <v>1.1560936735447029</v>
      </c>
      <c r="P402" s="5">
        <v>1.1560936735447029</v>
      </c>
      <c r="Q402" s="8">
        <v>0.20833333333333334</v>
      </c>
      <c r="R402" s="8">
        <v>0.88541666666666663</v>
      </c>
      <c r="S402" s="6">
        <f t="shared" si="18"/>
        <v>16.25</v>
      </c>
      <c r="T402" s="5">
        <f t="shared" si="19"/>
        <v>7.1144226064289412E-2</v>
      </c>
      <c r="U402" s="3">
        <v>2.21</v>
      </c>
      <c r="V402" s="5">
        <f t="shared" si="20"/>
        <v>3.2191957495153585E-2</v>
      </c>
      <c r="W402" s="3">
        <v>3.2191957495153585E-2</v>
      </c>
    </row>
    <row r="403" spans="1:23" x14ac:dyDescent="0.55000000000000004">
      <c r="A403" s="3">
        <v>40</v>
      </c>
      <c r="B403" s="3" t="s">
        <v>48</v>
      </c>
      <c r="C403" s="3" t="s">
        <v>50</v>
      </c>
      <c r="D403" s="3" t="s">
        <v>10</v>
      </c>
      <c r="E403" s="2" t="s">
        <v>18</v>
      </c>
      <c r="F403" s="3">
        <v>24</v>
      </c>
      <c r="G403" s="4">
        <v>22.3</v>
      </c>
      <c r="H403" s="4">
        <v>89</v>
      </c>
      <c r="I403" s="6">
        <v>7.371968065381683</v>
      </c>
      <c r="J403" s="5">
        <v>0.04</v>
      </c>
      <c r="K403" s="4">
        <v>20.100000000000001</v>
      </c>
      <c r="L403" s="4">
        <v>72</v>
      </c>
      <c r="M403" s="6">
        <v>6.2273687875854167</v>
      </c>
      <c r="N403" s="5">
        <v>3.9E-2</v>
      </c>
      <c r="O403" s="5">
        <v>1.1445992777962664</v>
      </c>
      <c r="P403" s="5">
        <v>1.1445992777962664</v>
      </c>
      <c r="Q403" s="8">
        <v>0.21180555555555555</v>
      </c>
      <c r="R403" s="8">
        <v>0.88194444444444453</v>
      </c>
      <c r="S403" s="6">
        <f t="shared" si="18"/>
        <v>16.083333333333336</v>
      </c>
      <c r="T403" s="5">
        <f t="shared" si="19"/>
        <v>7.116679447437925E-2</v>
      </c>
      <c r="U403" s="3">
        <v>2.21</v>
      </c>
      <c r="V403" s="5">
        <f t="shared" si="20"/>
        <v>3.2202169445420474E-2</v>
      </c>
      <c r="W403" s="3">
        <v>3.2202169445420474E-2</v>
      </c>
    </row>
    <row r="404" spans="1:23" x14ac:dyDescent="0.55000000000000004">
      <c r="A404" s="3">
        <v>58</v>
      </c>
      <c r="B404" s="3" t="s">
        <v>53</v>
      </c>
      <c r="C404" s="3" t="s">
        <v>49</v>
      </c>
      <c r="D404" s="3" t="s">
        <v>41</v>
      </c>
      <c r="E404" s="2" t="s">
        <v>13</v>
      </c>
      <c r="F404" s="3">
        <v>8</v>
      </c>
      <c r="G404" s="4">
        <v>22.3</v>
      </c>
      <c r="H404" s="4">
        <v>107.2</v>
      </c>
      <c r="I404" s="6">
        <v>8.8794941192013077</v>
      </c>
      <c r="J404" s="5">
        <v>2.1999999999999999E-2</v>
      </c>
      <c r="K404" s="4">
        <v>19.3</v>
      </c>
      <c r="L404" s="4">
        <v>88.3</v>
      </c>
      <c r="M404" s="6">
        <v>7.7609357258922191</v>
      </c>
      <c r="N404" s="5">
        <v>2.1999999999999999E-2</v>
      </c>
      <c r="O404" s="5">
        <v>1.1185583933090886</v>
      </c>
      <c r="P404" s="5">
        <v>1.1185583933090886</v>
      </c>
      <c r="Q404" s="8">
        <v>0.20833333333333334</v>
      </c>
      <c r="R404" s="8">
        <v>0.86319444444444438</v>
      </c>
      <c r="S404" s="6">
        <f t="shared" si="18"/>
        <v>15.716666666666665</v>
      </c>
      <c r="T404" s="5">
        <f t="shared" si="19"/>
        <v>7.1170205300684325E-2</v>
      </c>
      <c r="U404" s="3">
        <v>2.21</v>
      </c>
      <c r="V404" s="5">
        <f t="shared" si="20"/>
        <v>3.2203712805739519E-2</v>
      </c>
      <c r="W404" s="3">
        <v>3.2203712805739519E-2</v>
      </c>
    </row>
    <row r="405" spans="1:23" x14ac:dyDescent="0.55000000000000004">
      <c r="A405" s="3">
        <v>37</v>
      </c>
      <c r="B405" s="3" t="s">
        <v>53</v>
      </c>
      <c r="C405" s="3" t="s">
        <v>50</v>
      </c>
      <c r="D405" s="3" t="s">
        <v>11</v>
      </c>
      <c r="E405" s="2" t="s">
        <v>8</v>
      </c>
      <c r="F405" s="3">
        <v>5</v>
      </c>
      <c r="G405" s="4">
        <v>20.6</v>
      </c>
      <c r="H405" s="4">
        <v>126.4</v>
      </c>
      <c r="I405" s="6">
        <v>10.824253171759397</v>
      </c>
      <c r="J405" s="5">
        <v>3.1E-2</v>
      </c>
      <c r="K405" s="4">
        <v>15.6</v>
      </c>
      <c r="L405" s="4">
        <v>102.1</v>
      </c>
      <c r="M405" s="6">
        <v>9.6918147769514249</v>
      </c>
      <c r="N405" s="5">
        <v>2.7E-2</v>
      </c>
      <c r="O405" s="5">
        <v>1.1324383948079717</v>
      </c>
      <c r="P405" s="5">
        <v>1.1324383948079717</v>
      </c>
      <c r="Q405" s="8">
        <v>0.20833333333333334</v>
      </c>
      <c r="R405" s="8">
        <v>0.87083333333333324</v>
      </c>
      <c r="S405" s="6">
        <f t="shared" si="18"/>
        <v>15.899999999999997</v>
      </c>
      <c r="T405" s="5">
        <f t="shared" si="19"/>
        <v>7.1222540553960503E-2</v>
      </c>
      <c r="U405" s="3">
        <v>2.21</v>
      </c>
      <c r="V405" s="5">
        <f t="shared" si="20"/>
        <v>3.2227393915819233E-2</v>
      </c>
      <c r="W405" s="3">
        <v>3.2227393915819233E-2</v>
      </c>
    </row>
    <row r="406" spans="1:23" x14ac:dyDescent="0.55000000000000004">
      <c r="A406" s="3">
        <v>3</v>
      </c>
      <c r="B406" s="3" t="s">
        <v>51</v>
      </c>
      <c r="C406" s="3" t="s">
        <v>50</v>
      </c>
      <c r="D406" s="3" t="s">
        <v>9</v>
      </c>
      <c r="E406" s="3" t="s">
        <v>33</v>
      </c>
      <c r="F406" s="3">
        <v>75</v>
      </c>
      <c r="G406" s="4">
        <v>27.6</v>
      </c>
      <c r="H406" s="4">
        <v>86.9</v>
      </c>
      <c r="I406" s="6">
        <v>6.5207719610626427</v>
      </c>
      <c r="J406" s="5">
        <v>6.0999999999999999E-2</v>
      </c>
      <c r="K406" s="4">
        <v>23.7</v>
      </c>
      <c r="L406" s="4">
        <v>66.5</v>
      </c>
      <c r="M406" s="6">
        <v>5.3625512585039203</v>
      </c>
      <c r="N406" s="5">
        <v>5.0999999999999997E-2</v>
      </c>
      <c r="O406" s="5">
        <v>1.1582207025587223</v>
      </c>
      <c r="P406" s="5">
        <v>1.1582207025587223</v>
      </c>
      <c r="Q406" s="8">
        <v>0.20833333333333334</v>
      </c>
      <c r="R406" s="8">
        <v>0.88541666666666663</v>
      </c>
      <c r="S406" s="6">
        <f t="shared" si="18"/>
        <v>16.25</v>
      </c>
      <c r="T406" s="5">
        <f t="shared" si="19"/>
        <v>7.1275120157459834E-2</v>
      </c>
      <c r="U406" s="3">
        <v>2.21</v>
      </c>
      <c r="V406" s="5">
        <f t="shared" si="20"/>
        <v>3.2251185591610783E-2</v>
      </c>
      <c r="W406" s="3">
        <v>3.2251185591610783E-2</v>
      </c>
    </row>
    <row r="407" spans="1:23" x14ac:dyDescent="0.55000000000000004">
      <c r="A407" s="3">
        <v>59</v>
      </c>
      <c r="B407" s="3" t="s">
        <v>52</v>
      </c>
      <c r="C407" s="3" t="s">
        <v>49</v>
      </c>
      <c r="D407" s="3" t="s">
        <v>40</v>
      </c>
      <c r="E407" s="2" t="s">
        <v>20</v>
      </c>
      <c r="F407" s="3">
        <v>30</v>
      </c>
      <c r="G407" s="4">
        <v>27.4</v>
      </c>
      <c r="H407" s="4">
        <v>85.2</v>
      </c>
      <c r="I407" s="6">
        <v>6.4162725614187801</v>
      </c>
      <c r="J407" s="5">
        <v>4.7E-2</v>
      </c>
      <c r="K407" s="4">
        <v>23.7</v>
      </c>
      <c r="L407" s="4">
        <v>65.2</v>
      </c>
      <c r="M407" s="6">
        <v>5.2577194293903098</v>
      </c>
      <c r="N407" s="5">
        <v>4.4999999999999998E-2</v>
      </c>
      <c r="O407" s="5">
        <v>1.1585531320284703</v>
      </c>
      <c r="P407" s="5">
        <v>1.1585531320284703</v>
      </c>
      <c r="Q407" s="8">
        <v>0.20833333333333334</v>
      </c>
      <c r="R407" s="8">
        <v>0.88541666666666663</v>
      </c>
      <c r="S407" s="6">
        <f t="shared" si="18"/>
        <v>16.25</v>
      </c>
      <c r="T407" s="5">
        <f t="shared" si="19"/>
        <v>7.1295577355598175E-2</v>
      </c>
      <c r="U407" s="3">
        <v>2.21</v>
      </c>
      <c r="V407" s="5">
        <f t="shared" si="20"/>
        <v>3.2260442242352118E-2</v>
      </c>
      <c r="W407" s="3">
        <v>3.2260442242352118E-2</v>
      </c>
    </row>
    <row r="408" spans="1:23" x14ac:dyDescent="0.55000000000000004">
      <c r="A408" s="3">
        <v>25</v>
      </c>
      <c r="B408" s="3" t="s">
        <v>53</v>
      </c>
      <c r="C408" s="3" t="s">
        <v>49</v>
      </c>
      <c r="D408" s="3" t="s">
        <v>41</v>
      </c>
      <c r="E408" s="2" t="s">
        <v>15</v>
      </c>
      <c r="F408" s="3">
        <v>12</v>
      </c>
      <c r="G408" s="4">
        <v>22.5</v>
      </c>
      <c r="H408" s="4">
        <v>101.6</v>
      </c>
      <c r="I408" s="6">
        <v>8.3831943965687028</v>
      </c>
      <c r="J408" s="5">
        <v>0.03</v>
      </c>
      <c r="K408" s="4">
        <v>19.5</v>
      </c>
      <c r="L408" s="4">
        <v>82.8</v>
      </c>
      <c r="M408" s="6">
        <v>7.2482061414664427</v>
      </c>
      <c r="N408" s="5">
        <v>2.9000000000000001E-2</v>
      </c>
      <c r="O408" s="5">
        <v>1.1349882551022601</v>
      </c>
      <c r="P408" s="5">
        <v>1.1349882551022601</v>
      </c>
      <c r="Q408" s="8">
        <v>0.21319444444444444</v>
      </c>
      <c r="R408" s="8">
        <v>0.875</v>
      </c>
      <c r="S408" s="6">
        <f t="shared" si="18"/>
        <v>15.883333333333333</v>
      </c>
      <c r="T408" s="5">
        <f t="shared" si="19"/>
        <v>7.1457812493321726E-2</v>
      </c>
      <c r="U408" s="3">
        <v>2.21</v>
      </c>
      <c r="V408" s="5">
        <f t="shared" si="20"/>
        <v>3.2333851806932913E-2</v>
      </c>
      <c r="W408" s="3">
        <v>3.2333851806932913E-2</v>
      </c>
    </row>
    <row r="409" spans="1:23" x14ac:dyDescent="0.55000000000000004">
      <c r="A409" s="3">
        <v>15</v>
      </c>
      <c r="B409" s="3" t="s">
        <v>48</v>
      </c>
      <c r="C409" s="3" t="s">
        <v>49</v>
      </c>
      <c r="D409" s="3" t="s">
        <v>38</v>
      </c>
      <c r="E409" s="2" t="s">
        <v>20</v>
      </c>
      <c r="F409" s="3">
        <v>30</v>
      </c>
      <c r="G409" s="4">
        <v>26.5</v>
      </c>
      <c r="H409" s="4">
        <v>72.400000000000006</v>
      </c>
      <c r="I409" s="6">
        <v>5.5420601553083308</v>
      </c>
      <c r="J409" s="5">
        <v>4.4999999999999998E-2</v>
      </c>
      <c r="K409" s="4">
        <v>23.3</v>
      </c>
      <c r="L409" s="4">
        <v>53.9</v>
      </c>
      <c r="M409" s="6">
        <v>4.3796741058356528</v>
      </c>
      <c r="N409" s="5">
        <v>4.2999999999999997E-2</v>
      </c>
      <c r="O409" s="5">
        <v>1.1623860494726781</v>
      </c>
      <c r="P409" s="5">
        <v>1.1623860494726781</v>
      </c>
      <c r="Q409" s="8">
        <v>0.20833333333333334</v>
      </c>
      <c r="R409" s="8">
        <v>0.88541666666666663</v>
      </c>
      <c r="S409" s="6">
        <f t="shared" si="18"/>
        <v>16.25</v>
      </c>
      <c r="T409" s="5">
        <f t="shared" si="19"/>
        <v>7.153144919831865E-2</v>
      </c>
      <c r="U409" s="3">
        <v>2.21</v>
      </c>
      <c r="V409" s="5">
        <f t="shared" si="20"/>
        <v>3.2367171582949619E-2</v>
      </c>
      <c r="W409" s="3">
        <v>3.2367171582949619E-2</v>
      </c>
    </row>
    <row r="410" spans="1:23" x14ac:dyDescent="0.55000000000000004">
      <c r="A410" s="3">
        <v>4</v>
      </c>
      <c r="B410" s="3" t="s">
        <v>48</v>
      </c>
      <c r="C410" s="3" t="s">
        <v>49</v>
      </c>
      <c r="D410" s="3" t="s">
        <v>38</v>
      </c>
      <c r="E410" s="2" t="s">
        <v>22</v>
      </c>
      <c r="F410" s="3">
        <v>37</v>
      </c>
      <c r="G410" s="4">
        <v>29</v>
      </c>
      <c r="H410" s="4">
        <v>77.400000000000006</v>
      </c>
      <c r="I410" s="6">
        <v>5.664822166884302</v>
      </c>
      <c r="J410" s="5">
        <v>0.06</v>
      </c>
      <c r="K410" s="4">
        <v>24.2</v>
      </c>
      <c r="L410" s="4">
        <v>56.2</v>
      </c>
      <c r="M410" s="6">
        <v>4.4893459240347307</v>
      </c>
      <c r="N410" s="5">
        <v>0.06</v>
      </c>
      <c r="O410" s="5">
        <v>1.1754762428495713</v>
      </c>
      <c r="P410" s="5">
        <v>1.1754762428495713</v>
      </c>
      <c r="Q410" s="8">
        <v>0.20138888888888887</v>
      </c>
      <c r="R410" s="8">
        <v>0.88541666666666663</v>
      </c>
      <c r="S410" s="6">
        <f t="shared" si="18"/>
        <v>16.416666666666668</v>
      </c>
      <c r="T410" s="5">
        <f t="shared" si="19"/>
        <v>7.1602613777638852E-2</v>
      </c>
      <c r="U410" s="3">
        <v>2.21</v>
      </c>
      <c r="V410" s="5">
        <f t="shared" si="20"/>
        <v>3.2399372750062834E-2</v>
      </c>
      <c r="W410" s="3">
        <v>3.2399372750062834E-2</v>
      </c>
    </row>
    <row r="411" spans="1:23" x14ac:dyDescent="0.55000000000000004">
      <c r="A411" s="3">
        <v>40</v>
      </c>
      <c r="B411" s="3" t="s">
        <v>48</v>
      </c>
      <c r="C411" s="3" t="s">
        <v>50</v>
      </c>
      <c r="D411" s="3" t="s">
        <v>10</v>
      </c>
      <c r="E411" s="3" t="s">
        <v>33</v>
      </c>
      <c r="F411" s="3">
        <v>75</v>
      </c>
      <c r="G411" s="4">
        <v>27.8</v>
      </c>
      <c r="H411" s="4">
        <v>76.3</v>
      </c>
      <c r="I411" s="6">
        <v>5.7048458799003336</v>
      </c>
      <c r="J411" s="5">
        <v>5.8999999999999997E-2</v>
      </c>
      <c r="K411" s="4">
        <v>23.6</v>
      </c>
      <c r="L411" s="4">
        <v>56.2</v>
      </c>
      <c r="M411" s="6">
        <v>4.5405680599648868</v>
      </c>
      <c r="N411" s="5">
        <v>5.7000000000000002E-2</v>
      </c>
      <c r="O411" s="5">
        <v>1.1642778199354469</v>
      </c>
      <c r="P411" s="5">
        <v>1.1642778199354469</v>
      </c>
      <c r="Q411" s="8">
        <v>0.20833333333333334</v>
      </c>
      <c r="R411" s="8">
        <v>0.88541666666666663</v>
      </c>
      <c r="S411" s="6">
        <f t="shared" si="18"/>
        <v>16.25</v>
      </c>
      <c r="T411" s="5">
        <f t="shared" si="19"/>
        <v>7.1647865842181344E-2</v>
      </c>
      <c r="U411" s="3">
        <v>2.21</v>
      </c>
      <c r="V411" s="5">
        <f t="shared" si="20"/>
        <v>3.2419848797367125E-2</v>
      </c>
      <c r="W411" s="3">
        <v>3.2419848797367125E-2</v>
      </c>
    </row>
    <row r="412" spans="1:23" x14ac:dyDescent="0.55000000000000004">
      <c r="A412" s="3">
        <v>17</v>
      </c>
      <c r="B412" s="3" t="s">
        <v>52</v>
      </c>
      <c r="C412" s="3" t="s">
        <v>50</v>
      </c>
      <c r="D412" s="3" t="s">
        <v>12</v>
      </c>
      <c r="E412" s="2" t="s">
        <v>14</v>
      </c>
      <c r="F412" s="3">
        <v>10</v>
      </c>
      <c r="G412" s="4">
        <v>22.1</v>
      </c>
      <c r="H412" s="4">
        <v>87.7</v>
      </c>
      <c r="I412" s="6">
        <v>7.2924836471402976</v>
      </c>
      <c r="J412" s="5">
        <v>4.1000000000000002E-2</v>
      </c>
      <c r="K412" s="4">
        <v>19.8</v>
      </c>
      <c r="L412" s="4">
        <v>70.7</v>
      </c>
      <c r="M412" s="6">
        <v>6.151764393658345</v>
      </c>
      <c r="N412" s="5">
        <v>3.9E-2</v>
      </c>
      <c r="O412" s="5">
        <v>1.1407192534819526</v>
      </c>
      <c r="P412" s="5">
        <v>1.1407192534819526</v>
      </c>
      <c r="Q412" s="8">
        <v>0.20555555555555557</v>
      </c>
      <c r="R412" s="8">
        <v>0.86805555555555547</v>
      </c>
      <c r="S412" s="6">
        <f t="shared" si="18"/>
        <v>15.899999999999997</v>
      </c>
      <c r="T412" s="5">
        <f t="shared" si="19"/>
        <v>7.1743349275594517E-2</v>
      </c>
      <c r="U412" s="3">
        <v>2.21</v>
      </c>
      <c r="V412" s="5">
        <f t="shared" si="20"/>
        <v>3.2463053970857247E-2</v>
      </c>
      <c r="W412" s="3">
        <v>3.2463053970857247E-2</v>
      </c>
    </row>
    <row r="413" spans="1:23" x14ac:dyDescent="0.55000000000000004">
      <c r="A413" s="3">
        <v>38</v>
      </c>
      <c r="B413" s="3" t="s">
        <v>51</v>
      </c>
      <c r="C413" s="3" t="s">
        <v>49</v>
      </c>
      <c r="D413" s="3" t="s">
        <v>39</v>
      </c>
      <c r="E413" s="2" t="s">
        <v>20</v>
      </c>
      <c r="F413" s="3">
        <v>30</v>
      </c>
      <c r="G413" s="4">
        <v>27.6</v>
      </c>
      <c r="H413" s="4">
        <v>96.2</v>
      </c>
      <c r="I413" s="6">
        <v>7.2186221249047886</v>
      </c>
      <c r="J413" s="5">
        <v>4.2000000000000003E-2</v>
      </c>
      <c r="K413" s="4">
        <v>23.8</v>
      </c>
      <c r="L413" s="4">
        <v>75.2</v>
      </c>
      <c r="M413" s="6">
        <v>6.0526386104761976</v>
      </c>
      <c r="N413" s="5">
        <v>4.1000000000000002E-2</v>
      </c>
      <c r="O413" s="5">
        <v>1.1659835144285911</v>
      </c>
      <c r="P413" s="5">
        <v>1.1659835144285911</v>
      </c>
      <c r="Q413" s="8">
        <v>0.20833333333333334</v>
      </c>
      <c r="R413" s="8">
        <v>0.88541666666666663</v>
      </c>
      <c r="S413" s="6">
        <f t="shared" si="18"/>
        <v>16.25</v>
      </c>
      <c r="T413" s="5">
        <f t="shared" si="19"/>
        <v>7.1752831657144064E-2</v>
      </c>
      <c r="U413" s="3">
        <v>2.21</v>
      </c>
      <c r="V413" s="5">
        <f t="shared" si="20"/>
        <v>3.2467344641241659E-2</v>
      </c>
      <c r="W413" s="3">
        <v>3.2467344641241659E-2</v>
      </c>
    </row>
    <row r="414" spans="1:23" x14ac:dyDescent="0.55000000000000004">
      <c r="A414" s="3">
        <v>48</v>
      </c>
      <c r="B414" s="3" t="s">
        <v>52</v>
      </c>
      <c r="C414" s="3" t="s">
        <v>49</v>
      </c>
      <c r="D414" s="3" t="s">
        <v>40</v>
      </c>
      <c r="E414" s="3" t="s">
        <v>34</v>
      </c>
      <c r="F414" s="3">
        <v>79</v>
      </c>
      <c r="G414" s="4">
        <v>27.4</v>
      </c>
      <c r="H414" s="4">
        <v>52.8</v>
      </c>
      <c r="I414" s="6">
        <v>3.9762815873581165</v>
      </c>
      <c r="J414" s="5">
        <v>8.5000000000000006E-2</v>
      </c>
      <c r="K414" s="4">
        <v>24.4</v>
      </c>
      <c r="L414" s="4">
        <v>35.299999999999997</v>
      </c>
      <c r="M414" s="6">
        <v>2.8092360219621573</v>
      </c>
      <c r="N414" s="5">
        <v>8.1000000000000003E-2</v>
      </c>
      <c r="O414" s="5">
        <v>1.1670455653959593</v>
      </c>
      <c r="P414" s="5">
        <v>1.1670455653959593</v>
      </c>
      <c r="Q414" s="8">
        <v>0.20833333333333334</v>
      </c>
      <c r="R414" s="8">
        <v>0.88541666666666663</v>
      </c>
      <c r="S414" s="6">
        <f t="shared" si="18"/>
        <v>16.25</v>
      </c>
      <c r="T414" s="5">
        <f t="shared" si="19"/>
        <v>7.181818863975134E-2</v>
      </c>
      <c r="U414" s="3">
        <v>2.21</v>
      </c>
      <c r="V414" s="5">
        <f t="shared" si="20"/>
        <v>3.2496917936539069E-2</v>
      </c>
      <c r="W414" s="3">
        <v>3.2496917936539069E-2</v>
      </c>
    </row>
    <row r="415" spans="1:23" x14ac:dyDescent="0.55000000000000004">
      <c r="A415" s="3">
        <v>40</v>
      </c>
      <c r="B415" s="3" t="s">
        <v>48</v>
      </c>
      <c r="C415" s="3" t="s">
        <v>50</v>
      </c>
      <c r="D415" s="3" t="s">
        <v>10</v>
      </c>
      <c r="E415" s="2" t="s">
        <v>14</v>
      </c>
      <c r="F415" s="3">
        <v>10</v>
      </c>
      <c r="G415" s="4">
        <v>22</v>
      </c>
      <c r="H415" s="4">
        <v>99</v>
      </c>
      <c r="I415" s="6">
        <v>8.2481034404536544</v>
      </c>
      <c r="J415" s="5">
        <v>3.5000000000000003E-2</v>
      </c>
      <c r="K415" s="4">
        <v>19.899999999999999</v>
      </c>
      <c r="L415" s="4">
        <v>81.8</v>
      </c>
      <c r="M415" s="6">
        <v>7.1033446887561418</v>
      </c>
      <c r="N415" s="5">
        <v>3.3000000000000002E-2</v>
      </c>
      <c r="O415" s="5">
        <v>1.1447587516975126</v>
      </c>
      <c r="P415" s="5">
        <v>1.1447587516975126</v>
      </c>
      <c r="Q415" s="8">
        <v>0.20555555555555557</v>
      </c>
      <c r="R415" s="8">
        <v>0.86805555555555547</v>
      </c>
      <c r="S415" s="6">
        <f t="shared" si="18"/>
        <v>15.899999999999997</v>
      </c>
      <c r="T415" s="5">
        <f t="shared" si="19"/>
        <v>7.1997405767139172E-2</v>
      </c>
      <c r="U415" s="3">
        <v>2.21</v>
      </c>
      <c r="V415" s="5">
        <f t="shared" si="20"/>
        <v>3.257801165933899E-2</v>
      </c>
      <c r="W415" s="3">
        <v>3.257801165933899E-2</v>
      </c>
    </row>
    <row r="416" spans="1:23" x14ac:dyDescent="0.55000000000000004">
      <c r="A416" s="3">
        <v>24</v>
      </c>
      <c r="B416" s="3" t="s">
        <v>52</v>
      </c>
      <c r="C416" s="3" t="s">
        <v>49</v>
      </c>
      <c r="D416" s="3" t="s">
        <v>40</v>
      </c>
      <c r="E416" s="2" t="s">
        <v>16</v>
      </c>
      <c r="F416" s="3">
        <v>16</v>
      </c>
      <c r="G416" s="4">
        <v>20.9</v>
      </c>
      <c r="H416" s="4">
        <v>93.6</v>
      </c>
      <c r="I416" s="6">
        <v>7.9679988898064629</v>
      </c>
      <c r="J416" s="5">
        <v>2.7E-2</v>
      </c>
      <c r="K416" s="4">
        <v>19.7</v>
      </c>
      <c r="L416" s="4">
        <v>78.3</v>
      </c>
      <c r="M416" s="6">
        <v>6.8267506467109227</v>
      </c>
      <c r="N416" s="5">
        <v>2.8000000000000001E-2</v>
      </c>
      <c r="O416" s="5">
        <v>1.1412482430955402</v>
      </c>
      <c r="P416" s="5">
        <v>1.1412482430955402</v>
      </c>
      <c r="Q416" s="8">
        <v>0.20833333333333334</v>
      </c>
      <c r="R416" s="8">
        <v>0.86805555555555547</v>
      </c>
      <c r="S416" s="6">
        <f t="shared" si="18"/>
        <v>15.83333333333333</v>
      </c>
      <c r="T416" s="5">
        <f t="shared" si="19"/>
        <v>7.207883640603413E-2</v>
      </c>
      <c r="U416" s="3">
        <v>2.21</v>
      </c>
      <c r="V416" s="5">
        <f t="shared" si="20"/>
        <v>3.2614858102277884E-2</v>
      </c>
      <c r="W416" s="3">
        <v>3.2614858102277884E-2</v>
      </c>
    </row>
    <row r="417" spans="1:23" x14ac:dyDescent="0.55000000000000004">
      <c r="A417" s="3">
        <v>2</v>
      </c>
      <c r="B417" s="3" t="s">
        <v>48</v>
      </c>
      <c r="C417" s="3" t="s">
        <v>49</v>
      </c>
      <c r="D417" s="3" t="s">
        <v>38</v>
      </c>
      <c r="E417" s="2" t="s">
        <v>17</v>
      </c>
      <c r="F417" s="3">
        <v>19</v>
      </c>
      <c r="G417" s="4">
        <v>22.1</v>
      </c>
      <c r="H417" s="4">
        <v>72</v>
      </c>
      <c r="I417" s="6">
        <v>5.9869877148700263</v>
      </c>
      <c r="J417" s="5">
        <v>3.2000000000000001E-2</v>
      </c>
      <c r="K417" s="4">
        <v>17.2</v>
      </c>
      <c r="L417" s="4">
        <v>52.5</v>
      </c>
      <c r="M417" s="6">
        <v>4.8177850350191562</v>
      </c>
      <c r="N417" s="5">
        <v>0.03</v>
      </c>
      <c r="O417" s="5">
        <v>1.1692026798508701</v>
      </c>
      <c r="P417" s="5">
        <v>1.1692026798508701</v>
      </c>
      <c r="Q417" s="8">
        <v>0.19930555555555554</v>
      </c>
      <c r="R417" s="8">
        <v>0.875</v>
      </c>
      <c r="S417" s="6">
        <f t="shared" si="18"/>
        <v>16.216666666666669</v>
      </c>
      <c r="T417" s="5">
        <f t="shared" si="19"/>
        <v>7.209882917888201E-2</v>
      </c>
      <c r="U417" s="3">
        <v>2.21</v>
      </c>
      <c r="V417" s="5">
        <f t="shared" si="20"/>
        <v>3.2623904605828966E-2</v>
      </c>
      <c r="W417" s="3">
        <v>3.2623904605828966E-2</v>
      </c>
    </row>
    <row r="418" spans="1:23" x14ac:dyDescent="0.55000000000000004">
      <c r="A418" s="3">
        <v>32</v>
      </c>
      <c r="B418" s="3" t="s">
        <v>53</v>
      </c>
      <c r="C418" s="3" t="s">
        <v>50</v>
      </c>
      <c r="D418" s="3" t="s">
        <v>11</v>
      </c>
      <c r="E418" s="2" t="s">
        <v>14</v>
      </c>
      <c r="F418" s="3">
        <v>10</v>
      </c>
      <c r="G418" s="4">
        <v>22</v>
      </c>
      <c r="H418" s="4">
        <v>87.5</v>
      </c>
      <c r="I418" s="6">
        <v>7.2899904145423706</v>
      </c>
      <c r="J418" s="5">
        <v>3.4000000000000002E-2</v>
      </c>
      <c r="K418" s="4">
        <v>19.8</v>
      </c>
      <c r="L418" s="4">
        <v>70.599999999999994</v>
      </c>
      <c r="M418" s="6">
        <v>6.1430631710364798</v>
      </c>
      <c r="N418" s="5">
        <v>3.3000000000000002E-2</v>
      </c>
      <c r="O418" s="5">
        <v>1.1469272435058908</v>
      </c>
      <c r="P418" s="5">
        <v>1.1469272435058908</v>
      </c>
      <c r="Q418" s="8">
        <v>0.20555555555555557</v>
      </c>
      <c r="R418" s="8">
        <v>0.86805555555555547</v>
      </c>
      <c r="S418" s="6">
        <f t="shared" si="18"/>
        <v>15.899999999999997</v>
      </c>
      <c r="T418" s="5">
        <f t="shared" si="19"/>
        <v>7.2133788899741577E-2</v>
      </c>
      <c r="U418" s="3">
        <v>2.21</v>
      </c>
      <c r="V418" s="5">
        <f t="shared" si="20"/>
        <v>3.2639723484045959E-2</v>
      </c>
      <c r="W418" s="3">
        <v>3.2639723484045959E-2</v>
      </c>
    </row>
    <row r="419" spans="1:23" x14ac:dyDescent="0.55000000000000004">
      <c r="A419" s="3">
        <v>52</v>
      </c>
      <c r="B419" s="3" t="s">
        <v>48</v>
      </c>
      <c r="C419" s="3" t="s">
        <v>49</v>
      </c>
      <c r="D419" s="3" t="s">
        <v>38</v>
      </c>
      <c r="E419" s="3" t="s">
        <v>32</v>
      </c>
      <c r="F419" s="3">
        <v>72</v>
      </c>
      <c r="G419" s="4">
        <v>27.6</v>
      </c>
      <c r="H419" s="4">
        <v>69.7</v>
      </c>
      <c r="I419" s="6">
        <v>5.2301243462147999</v>
      </c>
      <c r="J419" s="5">
        <v>7.4999999999999997E-2</v>
      </c>
      <c r="K419" s="4">
        <v>23.9</v>
      </c>
      <c r="L419" s="4">
        <v>50.5</v>
      </c>
      <c r="M419" s="6">
        <v>4.0569207630255661</v>
      </c>
      <c r="N419" s="5">
        <v>6.9000000000000006E-2</v>
      </c>
      <c r="O419" s="5">
        <v>1.1732035831892338</v>
      </c>
      <c r="P419" s="5">
        <v>1.1732035831892338</v>
      </c>
      <c r="Q419" s="8">
        <v>0.20833333333333334</v>
      </c>
      <c r="R419" s="8">
        <v>0.88541666666666663</v>
      </c>
      <c r="S419" s="6">
        <f t="shared" si="18"/>
        <v>16.25</v>
      </c>
      <c r="T419" s="5">
        <f t="shared" si="19"/>
        <v>7.2197143580875922E-2</v>
      </c>
      <c r="U419" s="3">
        <v>2.21</v>
      </c>
      <c r="V419" s="5">
        <f t="shared" si="20"/>
        <v>3.2668390760577343E-2</v>
      </c>
      <c r="W419" s="3">
        <v>3.2668390760577343E-2</v>
      </c>
    </row>
    <row r="420" spans="1:23" x14ac:dyDescent="0.55000000000000004">
      <c r="A420" s="3">
        <v>58</v>
      </c>
      <c r="B420" s="3" t="s">
        <v>53</v>
      </c>
      <c r="C420" s="3" t="s">
        <v>49</v>
      </c>
      <c r="D420" s="3" t="s">
        <v>41</v>
      </c>
      <c r="E420" s="3" t="s">
        <v>34</v>
      </c>
      <c r="F420" s="3">
        <v>79</v>
      </c>
      <c r="G420" s="4">
        <v>28.4</v>
      </c>
      <c r="H420" s="4">
        <v>71.5</v>
      </c>
      <c r="I420" s="6">
        <v>5.2889601984561283</v>
      </c>
      <c r="J420" s="5">
        <v>7.1999999999999995E-2</v>
      </c>
      <c r="K420" s="4">
        <v>24.8</v>
      </c>
      <c r="L420" s="4">
        <v>52.1</v>
      </c>
      <c r="M420" s="6">
        <v>4.1152699506841151</v>
      </c>
      <c r="N420" s="5">
        <v>6.6000000000000003E-2</v>
      </c>
      <c r="O420" s="5">
        <v>1.1736902477720133</v>
      </c>
      <c r="P420" s="5">
        <v>1.1736902477720133</v>
      </c>
      <c r="Q420" s="8">
        <v>0.20833333333333334</v>
      </c>
      <c r="R420" s="8">
        <v>0.88541666666666663</v>
      </c>
      <c r="S420" s="6">
        <f t="shared" si="18"/>
        <v>16.25</v>
      </c>
      <c r="T420" s="5">
        <f t="shared" si="19"/>
        <v>7.2227092170585427E-2</v>
      </c>
      <c r="U420" s="3">
        <v>2.21</v>
      </c>
      <c r="V420" s="5">
        <f t="shared" si="20"/>
        <v>3.2681942158635943E-2</v>
      </c>
      <c r="W420" s="3">
        <v>3.2681942158635943E-2</v>
      </c>
    </row>
    <row r="421" spans="1:23" x14ac:dyDescent="0.55000000000000004">
      <c r="A421" s="3">
        <v>23</v>
      </c>
      <c r="B421" s="3" t="s">
        <v>52</v>
      </c>
      <c r="C421" s="3" t="s">
        <v>49</v>
      </c>
      <c r="D421" s="3" t="s">
        <v>40</v>
      </c>
      <c r="E421" s="2" t="s">
        <v>13</v>
      </c>
      <c r="F421" s="3">
        <v>8</v>
      </c>
      <c r="G421" s="4">
        <v>21.9</v>
      </c>
      <c r="H421" s="4">
        <v>105.3</v>
      </c>
      <c r="I421" s="6">
        <v>8.7900536525171269</v>
      </c>
      <c r="J421" s="5">
        <v>2.3E-2</v>
      </c>
      <c r="K421" s="4">
        <v>19.2</v>
      </c>
      <c r="L421" s="4">
        <v>86.9</v>
      </c>
      <c r="M421" s="6">
        <v>7.6533528266343387</v>
      </c>
      <c r="N421" s="5">
        <v>2.3E-2</v>
      </c>
      <c r="O421" s="5">
        <v>1.1367008258827882</v>
      </c>
      <c r="P421" s="5">
        <v>1.1367008258827882</v>
      </c>
      <c r="Q421" s="8">
        <v>0.20833333333333334</v>
      </c>
      <c r="R421" s="8">
        <v>0.86319444444444438</v>
      </c>
      <c r="S421" s="6">
        <f t="shared" si="18"/>
        <v>15.716666666666665</v>
      </c>
      <c r="T421" s="5">
        <f t="shared" si="19"/>
        <v>7.2324548836656732E-2</v>
      </c>
      <c r="U421" s="3">
        <v>2.21</v>
      </c>
      <c r="V421" s="5">
        <f t="shared" si="20"/>
        <v>3.2726040197582233E-2</v>
      </c>
      <c r="W421" s="3">
        <v>3.2726040197582233E-2</v>
      </c>
    </row>
    <row r="422" spans="1:23" x14ac:dyDescent="0.55000000000000004">
      <c r="A422" s="3">
        <v>46</v>
      </c>
      <c r="B422" s="3" t="s">
        <v>51</v>
      </c>
      <c r="C422" s="3" t="s">
        <v>49</v>
      </c>
      <c r="D422" s="3" t="s">
        <v>39</v>
      </c>
      <c r="E422" s="3" t="s">
        <v>27</v>
      </c>
      <c r="F422" s="3">
        <v>54</v>
      </c>
      <c r="G422" s="4">
        <v>28.1</v>
      </c>
      <c r="H422" s="4">
        <v>98.2</v>
      </c>
      <c r="I422" s="6">
        <v>7.3029569871592654</v>
      </c>
      <c r="J422" s="5">
        <v>5.6000000000000001E-2</v>
      </c>
      <c r="K422" s="4">
        <v>24.7</v>
      </c>
      <c r="L422" s="4">
        <v>77.2</v>
      </c>
      <c r="M422" s="6">
        <v>6.1092718465603904</v>
      </c>
      <c r="N422" s="5">
        <v>5.2999999999999999E-2</v>
      </c>
      <c r="O422" s="5">
        <v>1.1936851405988751</v>
      </c>
      <c r="P422" s="5">
        <v>1.1936851405988751</v>
      </c>
      <c r="Q422" s="8">
        <v>0.20833333333333334</v>
      </c>
      <c r="R422" s="8">
        <v>0.89583333333333337</v>
      </c>
      <c r="S422" s="6">
        <f t="shared" si="18"/>
        <v>16.5</v>
      </c>
      <c r="T422" s="5">
        <f t="shared" si="19"/>
        <v>7.2344553975689396E-2</v>
      </c>
      <c r="U422" s="3">
        <v>2.21</v>
      </c>
      <c r="V422" s="5">
        <f t="shared" si="20"/>
        <v>3.2735092296692039E-2</v>
      </c>
      <c r="W422" s="3">
        <v>3.2735092296692039E-2</v>
      </c>
    </row>
    <row r="423" spans="1:23" x14ac:dyDescent="0.55000000000000004">
      <c r="A423" s="3">
        <v>1</v>
      </c>
      <c r="B423" s="3" t="s">
        <v>51</v>
      </c>
      <c r="C423" s="3" t="s">
        <v>49</v>
      </c>
      <c r="D423" s="3" t="s">
        <v>39</v>
      </c>
      <c r="E423" s="2" t="s">
        <v>24</v>
      </c>
      <c r="F423" s="3">
        <v>44</v>
      </c>
      <c r="G423" s="4">
        <v>25.7</v>
      </c>
      <c r="H423" s="4">
        <v>85.4</v>
      </c>
      <c r="I423" s="6">
        <v>6.6338320764268586</v>
      </c>
      <c r="J423" s="5">
        <v>0.05</v>
      </c>
      <c r="K423" s="4">
        <v>21.5</v>
      </c>
      <c r="L423" s="4">
        <v>64.400000000000006</v>
      </c>
      <c r="M423" s="6">
        <v>5.4179908488556849</v>
      </c>
      <c r="N423" s="5">
        <v>4.5999999999999999E-2</v>
      </c>
      <c r="O423" s="5">
        <v>1.2158412275711736</v>
      </c>
      <c r="P423" s="5">
        <v>1.2158412275711736</v>
      </c>
      <c r="Q423" s="8">
        <v>0.20277777777777781</v>
      </c>
      <c r="R423" s="8">
        <v>0.90277777777777779</v>
      </c>
      <c r="S423" s="6">
        <f t="shared" si="18"/>
        <v>16.799999999999997</v>
      </c>
      <c r="T423" s="5">
        <f t="shared" si="19"/>
        <v>7.2371501641141298E-2</v>
      </c>
      <c r="U423" s="3">
        <v>2.21</v>
      </c>
      <c r="V423" s="5">
        <f t="shared" si="20"/>
        <v>3.2747285810471177E-2</v>
      </c>
      <c r="W423" s="3">
        <v>3.2747285810471177E-2</v>
      </c>
    </row>
    <row r="424" spans="1:23" x14ac:dyDescent="0.55000000000000004">
      <c r="A424" s="3">
        <v>27</v>
      </c>
      <c r="B424" s="3" t="s">
        <v>48</v>
      </c>
      <c r="C424" s="3" t="s">
        <v>50</v>
      </c>
      <c r="D424" s="3" t="s">
        <v>10</v>
      </c>
      <c r="E424" s="2" t="s">
        <v>20</v>
      </c>
      <c r="F424" s="3">
        <v>30</v>
      </c>
      <c r="G424" s="4">
        <v>27.1</v>
      </c>
      <c r="H424" s="4">
        <v>83.9</v>
      </c>
      <c r="I424" s="6">
        <v>6.352708088449142</v>
      </c>
      <c r="J424" s="5">
        <v>6.6000000000000003E-2</v>
      </c>
      <c r="K424" s="4">
        <v>23.9</v>
      </c>
      <c r="L424" s="4">
        <v>64.400000000000006</v>
      </c>
      <c r="M424" s="6">
        <v>5.1735781611652776</v>
      </c>
      <c r="N424" s="5">
        <v>6.0999999999999999E-2</v>
      </c>
      <c r="O424" s="5">
        <v>1.1791299272838645</v>
      </c>
      <c r="P424" s="5">
        <v>1.1791299272838645</v>
      </c>
      <c r="Q424" s="8">
        <v>0.20833333333333334</v>
      </c>
      <c r="R424" s="8">
        <v>0.88541666666666663</v>
      </c>
      <c r="S424" s="6">
        <f t="shared" si="18"/>
        <v>16.25</v>
      </c>
      <c r="T424" s="5">
        <f t="shared" si="19"/>
        <v>7.2561841679007047E-2</v>
      </c>
      <c r="U424" s="3">
        <v>2.21</v>
      </c>
      <c r="V424" s="5">
        <f t="shared" si="20"/>
        <v>3.2833412524437583E-2</v>
      </c>
      <c r="W424" s="3">
        <v>3.2833412524437583E-2</v>
      </c>
    </row>
    <row r="425" spans="1:23" x14ac:dyDescent="0.55000000000000004">
      <c r="A425" s="3">
        <v>7</v>
      </c>
      <c r="B425" s="3" t="s">
        <v>53</v>
      </c>
      <c r="C425" s="3" t="s">
        <v>49</v>
      </c>
      <c r="D425" s="3" t="s">
        <v>41</v>
      </c>
      <c r="E425" s="3" t="s">
        <v>35</v>
      </c>
      <c r="F425" s="3">
        <v>82</v>
      </c>
      <c r="G425" s="4">
        <v>29.3</v>
      </c>
      <c r="H425" s="4">
        <v>59.9</v>
      </c>
      <c r="I425" s="6">
        <v>4.360899190434484</v>
      </c>
      <c r="J425" s="5">
        <v>8.1000000000000003E-2</v>
      </c>
      <c r="K425" s="4">
        <v>25.8</v>
      </c>
      <c r="L425" s="4">
        <v>41</v>
      </c>
      <c r="M425" s="6">
        <v>3.1789957227654457</v>
      </c>
      <c r="N425" s="5">
        <v>8.1000000000000003E-2</v>
      </c>
      <c r="O425" s="5">
        <v>1.1819034676690383</v>
      </c>
      <c r="P425" s="5">
        <v>1.1819034676690383</v>
      </c>
      <c r="Q425" s="8">
        <v>0.20833333333333334</v>
      </c>
      <c r="R425" s="8">
        <v>0.88541666666666663</v>
      </c>
      <c r="S425" s="6">
        <f t="shared" si="18"/>
        <v>16.25</v>
      </c>
      <c r="T425" s="5">
        <f t="shared" si="19"/>
        <v>7.2732521087325433E-2</v>
      </c>
      <c r="U425" s="3">
        <v>2.21</v>
      </c>
      <c r="V425" s="5">
        <f t="shared" si="20"/>
        <v>3.2910643025939115E-2</v>
      </c>
      <c r="W425" s="3">
        <v>3.2910643025939115E-2</v>
      </c>
    </row>
    <row r="426" spans="1:23" x14ac:dyDescent="0.55000000000000004">
      <c r="A426" s="3">
        <v>64</v>
      </c>
      <c r="B426" s="3" t="s">
        <v>53</v>
      </c>
      <c r="C426" s="3" t="s">
        <v>50</v>
      </c>
      <c r="D426" s="3" t="s">
        <v>11</v>
      </c>
      <c r="E426" s="2" t="s">
        <v>13</v>
      </c>
      <c r="F426" s="3">
        <v>8</v>
      </c>
      <c r="G426" s="4">
        <v>22.4</v>
      </c>
      <c r="H426" s="4">
        <v>122.9</v>
      </c>
      <c r="I426" s="6">
        <v>10.160285597080811</v>
      </c>
      <c r="J426" s="5">
        <v>0.04</v>
      </c>
      <c r="K426" s="4">
        <v>19.399999999999999</v>
      </c>
      <c r="L426" s="4">
        <v>102.8</v>
      </c>
      <c r="M426" s="6">
        <v>9.0171490022481073</v>
      </c>
      <c r="N426" s="5">
        <v>3.5000000000000003E-2</v>
      </c>
      <c r="O426" s="5">
        <v>1.1431365948327041</v>
      </c>
      <c r="P426" s="5">
        <v>1.1431365948327041</v>
      </c>
      <c r="Q426" s="8">
        <v>0.20833333333333334</v>
      </c>
      <c r="R426" s="8">
        <v>0.86319444444444438</v>
      </c>
      <c r="S426" s="6">
        <f t="shared" si="18"/>
        <v>15.716666666666665</v>
      </c>
      <c r="T426" s="5">
        <f t="shared" si="19"/>
        <v>7.2734035726365068E-2</v>
      </c>
      <c r="U426" s="3">
        <v>2.21</v>
      </c>
      <c r="V426" s="5">
        <f t="shared" si="20"/>
        <v>3.2911328382970617E-2</v>
      </c>
      <c r="W426" s="3">
        <v>3.2911328382970617E-2</v>
      </c>
    </row>
    <row r="427" spans="1:23" x14ac:dyDescent="0.55000000000000004">
      <c r="A427" s="3">
        <v>55</v>
      </c>
      <c r="B427" s="3" t="s">
        <v>52</v>
      </c>
      <c r="C427" s="3" t="s">
        <v>49</v>
      </c>
      <c r="D427" s="3" t="s">
        <v>40</v>
      </c>
      <c r="E427" s="3" t="s">
        <v>33</v>
      </c>
      <c r="F427" s="3">
        <v>75</v>
      </c>
      <c r="G427" s="4">
        <v>28.4</v>
      </c>
      <c r="H427" s="4">
        <v>76.900000000000006</v>
      </c>
      <c r="I427" s="6">
        <v>5.6884061435143538</v>
      </c>
      <c r="J427" s="5">
        <v>0.06</v>
      </c>
      <c r="K427" s="4">
        <v>24.4</v>
      </c>
      <c r="L427" s="4">
        <v>56.6</v>
      </c>
      <c r="M427" s="6">
        <v>4.5043274459789835</v>
      </c>
      <c r="N427" s="5">
        <v>5.3999999999999999E-2</v>
      </c>
      <c r="O427" s="5">
        <v>1.1840786975353703</v>
      </c>
      <c r="P427" s="5">
        <v>1.1840786975353703</v>
      </c>
      <c r="Q427" s="8">
        <v>0.20833333333333334</v>
      </c>
      <c r="R427" s="8">
        <v>0.88541666666666663</v>
      </c>
      <c r="S427" s="6">
        <f t="shared" si="18"/>
        <v>16.25</v>
      </c>
      <c r="T427" s="5">
        <f t="shared" si="19"/>
        <v>7.2866381386792023E-2</v>
      </c>
      <c r="U427" s="3">
        <v>2.21</v>
      </c>
      <c r="V427" s="5">
        <f t="shared" si="20"/>
        <v>3.2971213297190959E-2</v>
      </c>
      <c r="W427" s="3">
        <v>3.2971213297190959E-2</v>
      </c>
    </row>
    <row r="428" spans="1:23" x14ac:dyDescent="0.55000000000000004">
      <c r="A428" s="3">
        <v>44</v>
      </c>
      <c r="B428" s="3" t="s">
        <v>53</v>
      </c>
      <c r="C428" s="3" t="s">
        <v>49</v>
      </c>
      <c r="D428" s="3" t="s">
        <v>41</v>
      </c>
      <c r="E428" s="2" t="s">
        <v>16</v>
      </c>
      <c r="F428" s="3">
        <v>16</v>
      </c>
      <c r="G428" s="4">
        <v>20.9</v>
      </c>
      <c r="H428" s="4">
        <v>80.3</v>
      </c>
      <c r="I428" s="6">
        <v>6.8357939193531942</v>
      </c>
      <c r="J428" s="5">
        <v>2.9000000000000001E-2</v>
      </c>
      <c r="K428" s="4">
        <v>19.8</v>
      </c>
      <c r="L428" s="4">
        <v>65.3</v>
      </c>
      <c r="M428" s="6">
        <v>5.6818983720776508</v>
      </c>
      <c r="N428" s="5">
        <v>2.9000000000000001E-2</v>
      </c>
      <c r="O428" s="5">
        <v>1.1538955472755434</v>
      </c>
      <c r="P428" s="5">
        <v>1.1538955472755434</v>
      </c>
      <c r="Q428" s="8">
        <v>0.20833333333333334</v>
      </c>
      <c r="R428" s="8">
        <v>0.86805555555555547</v>
      </c>
      <c r="S428" s="6">
        <f t="shared" si="18"/>
        <v>15.83333333333333</v>
      </c>
      <c r="T428" s="5">
        <f t="shared" si="19"/>
        <v>7.2877613512139602E-2</v>
      </c>
      <c r="U428" s="3">
        <v>2.21</v>
      </c>
      <c r="V428" s="5">
        <f t="shared" si="20"/>
        <v>3.2976295706850497E-2</v>
      </c>
      <c r="W428" s="3">
        <v>3.2976295706850497E-2</v>
      </c>
    </row>
    <row r="429" spans="1:23" x14ac:dyDescent="0.55000000000000004">
      <c r="A429" s="3">
        <v>7</v>
      </c>
      <c r="B429" s="3" t="s">
        <v>53</v>
      </c>
      <c r="C429" s="3" t="s">
        <v>49</v>
      </c>
      <c r="D429" s="3" t="s">
        <v>41</v>
      </c>
      <c r="E429" s="2" t="s">
        <v>23</v>
      </c>
      <c r="F429" s="3">
        <v>40</v>
      </c>
      <c r="G429" s="4">
        <v>27.8</v>
      </c>
      <c r="H429" s="4">
        <v>87</v>
      </c>
      <c r="I429" s="6">
        <v>6.5048701382874059</v>
      </c>
      <c r="J429" s="5">
        <v>0.06</v>
      </c>
      <c r="K429" s="4">
        <v>23.2</v>
      </c>
      <c r="L429" s="4">
        <v>65.2</v>
      </c>
      <c r="M429" s="6">
        <v>5.3079808280250917</v>
      </c>
      <c r="N429" s="5">
        <v>5.6000000000000001E-2</v>
      </c>
      <c r="O429" s="5">
        <v>1.1968893102623142</v>
      </c>
      <c r="P429" s="5">
        <v>1.1968893102623142</v>
      </c>
      <c r="Q429" s="8">
        <v>0.20833333333333334</v>
      </c>
      <c r="R429" s="8">
        <v>0.89027777777777783</v>
      </c>
      <c r="S429" s="6">
        <f t="shared" si="18"/>
        <v>16.366666666666667</v>
      </c>
      <c r="T429" s="5">
        <f t="shared" si="19"/>
        <v>7.3129693091383757E-2</v>
      </c>
      <c r="U429" s="3">
        <v>2.21</v>
      </c>
      <c r="V429" s="5">
        <f t="shared" si="20"/>
        <v>3.3090358864879529E-2</v>
      </c>
      <c r="W429" s="3">
        <v>3.3090358864879529E-2</v>
      </c>
    </row>
    <row r="430" spans="1:23" x14ac:dyDescent="0.55000000000000004">
      <c r="A430" s="3">
        <v>8</v>
      </c>
      <c r="B430" s="3" t="s">
        <v>51</v>
      </c>
      <c r="C430" s="3" t="s">
        <v>50</v>
      </c>
      <c r="D430" s="3" t="s">
        <v>9</v>
      </c>
      <c r="E430" s="2" t="s">
        <v>16</v>
      </c>
      <c r="F430" s="3">
        <v>16</v>
      </c>
      <c r="G430" s="4">
        <v>20.7</v>
      </c>
      <c r="H430" s="4">
        <v>101.3</v>
      </c>
      <c r="I430" s="6">
        <v>8.6576474529774785</v>
      </c>
      <c r="J430" s="5">
        <v>3.3000000000000002E-2</v>
      </c>
      <c r="K430" s="4">
        <v>19.399999999999999</v>
      </c>
      <c r="L430" s="4">
        <v>85.5</v>
      </c>
      <c r="M430" s="6">
        <v>7.4996715923367034</v>
      </c>
      <c r="N430" s="5">
        <v>3.3000000000000002E-2</v>
      </c>
      <c r="O430" s="5">
        <v>1.1579758606407751</v>
      </c>
      <c r="P430" s="5">
        <v>1.1579758606407751</v>
      </c>
      <c r="Q430" s="8">
        <v>0.20833333333333334</v>
      </c>
      <c r="R430" s="8">
        <v>0.86805555555555547</v>
      </c>
      <c r="S430" s="6">
        <f t="shared" si="18"/>
        <v>15.83333333333333</v>
      </c>
      <c r="T430" s="5">
        <f t="shared" si="19"/>
        <v>7.3135317514154224E-2</v>
      </c>
      <c r="U430" s="3">
        <v>2.21</v>
      </c>
      <c r="V430" s="5">
        <f t="shared" si="20"/>
        <v>3.3092903852558475E-2</v>
      </c>
      <c r="W430" s="3">
        <v>3.3092903852558475E-2</v>
      </c>
    </row>
    <row r="431" spans="1:23" x14ac:dyDescent="0.55000000000000004">
      <c r="A431" s="3">
        <v>11</v>
      </c>
      <c r="B431" s="3" t="s">
        <v>53</v>
      </c>
      <c r="C431" s="3" t="s">
        <v>49</v>
      </c>
      <c r="D431" s="3" t="s">
        <v>41</v>
      </c>
      <c r="E431" s="2" t="s">
        <v>20</v>
      </c>
      <c r="F431" s="3">
        <v>30</v>
      </c>
      <c r="G431" s="4">
        <v>26.8</v>
      </c>
      <c r="H431" s="4">
        <v>75.599999999999994</v>
      </c>
      <c r="I431" s="6">
        <v>5.7554841172616724</v>
      </c>
      <c r="J431" s="5">
        <v>5.0999999999999997E-2</v>
      </c>
      <c r="K431" s="4">
        <v>23.3</v>
      </c>
      <c r="L431" s="4">
        <v>56.2</v>
      </c>
      <c r="M431" s="6">
        <v>4.5665618691644472</v>
      </c>
      <c r="N431" s="5">
        <v>4.8000000000000001E-2</v>
      </c>
      <c r="O431" s="5">
        <v>1.1889222480972252</v>
      </c>
      <c r="P431" s="5">
        <v>1.1889222480972252</v>
      </c>
      <c r="Q431" s="8">
        <v>0.20833333333333334</v>
      </c>
      <c r="R431" s="8">
        <v>0.88541666666666663</v>
      </c>
      <c r="S431" s="6">
        <f t="shared" si="18"/>
        <v>16.25</v>
      </c>
      <c r="T431" s="5">
        <f t="shared" si="19"/>
        <v>7.3164446036752318E-2</v>
      </c>
      <c r="U431" s="3">
        <v>2.21</v>
      </c>
      <c r="V431" s="5">
        <f t="shared" si="20"/>
        <v>3.3106084179525937E-2</v>
      </c>
      <c r="W431" s="3">
        <v>3.3106084179525937E-2</v>
      </c>
    </row>
    <row r="432" spans="1:23" x14ac:dyDescent="0.55000000000000004">
      <c r="A432" s="3">
        <v>48</v>
      </c>
      <c r="B432" s="3" t="s">
        <v>52</v>
      </c>
      <c r="C432" s="3" t="s">
        <v>49</v>
      </c>
      <c r="D432" s="3" t="s">
        <v>40</v>
      </c>
      <c r="E432" s="2" t="s">
        <v>22</v>
      </c>
      <c r="F432" s="3">
        <v>37</v>
      </c>
      <c r="G432" s="4">
        <v>29.5</v>
      </c>
      <c r="H432" s="4">
        <v>75.8</v>
      </c>
      <c r="I432" s="6">
        <v>5.499112457006385</v>
      </c>
      <c r="J432" s="5">
        <v>7.4999999999999997E-2</v>
      </c>
      <c r="K432" s="4">
        <v>24.5</v>
      </c>
      <c r="L432" s="4">
        <v>54.1</v>
      </c>
      <c r="M432" s="6">
        <v>4.2973019519633935</v>
      </c>
      <c r="N432" s="5">
        <v>7.1999999999999995E-2</v>
      </c>
      <c r="O432" s="5">
        <v>1.2018105050429915</v>
      </c>
      <c r="P432" s="5">
        <v>1.2018105050429915</v>
      </c>
      <c r="Q432" s="8">
        <v>0.20138888888888887</v>
      </c>
      <c r="R432" s="8">
        <v>0.88541666666666663</v>
      </c>
      <c r="S432" s="6">
        <f t="shared" si="18"/>
        <v>16.416666666666668</v>
      </c>
      <c r="T432" s="5">
        <f t="shared" si="19"/>
        <v>7.3206731271654293E-2</v>
      </c>
      <c r="U432" s="3">
        <v>2.21</v>
      </c>
      <c r="V432" s="5">
        <f t="shared" si="20"/>
        <v>3.3125217769979322E-2</v>
      </c>
      <c r="W432" s="3">
        <v>3.3125217769979322E-2</v>
      </c>
    </row>
    <row r="433" spans="1:23" x14ac:dyDescent="0.55000000000000004">
      <c r="A433" s="3">
        <v>63</v>
      </c>
      <c r="B433" s="3" t="s">
        <v>51</v>
      </c>
      <c r="C433" s="3" t="s">
        <v>49</v>
      </c>
      <c r="D433" s="3" t="s">
        <v>39</v>
      </c>
      <c r="E433" s="2" t="s">
        <v>21</v>
      </c>
      <c r="F433" s="3">
        <v>33</v>
      </c>
      <c r="G433" s="4">
        <v>30.1</v>
      </c>
      <c r="H433" s="4">
        <v>84.1</v>
      </c>
      <c r="I433" s="6">
        <v>6.0376116929258838</v>
      </c>
      <c r="J433" s="5">
        <v>0.05</v>
      </c>
      <c r="K433" s="4">
        <v>26.5</v>
      </c>
      <c r="L433" s="4">
        <v>63.4</v>
      </c>
      <c r="M433" s="6">
        <v>4.8531300255048082</v>
      </c>
      <c r="N433" s="5">
        <v>4.7E-2</v>
      </c>
      <c r="O433" s="5">
        <v>1.1844816674210756</v>
      </c>
      <c r="P433" s="5">
        <v>1.1844816674210756</v>
      </c>
      <c r="Q433" s="8">
        <v>0.20833333333333334</v>
      </c>
      <c r="R433" s="8">
        <v>0.88194444444444453</v>
      </c>
      <c r="S433" s="6">
        <f t="shared" si="18"/>
        <v>16.166666666666668</v>
      </c>
      <c r="T433" s="5">
        <f t="shared" si="19"/>
        <v>7.3266907263159306E-2</v>
      </c>
      <c r="U433" s="3">
        <v>2.21</v>
      </c>
      <c r="V433" s="5">
        <f t="shared" si="20"/>
        <v>3.3152446725411455E-2</v>
      </c>
      <c r="W433" s="3">
        <v>3.3152446725411455E-2</v>
      </c>
    </row>
    <row r="434" spans="1:23" x14ac:dyDescent="0.55000000000000004">
      <c r="A434" s="3">
        <v>51</v>
      </c>
      <c r="B434" s="3" t="s">
        <v>48</v>
      </c>
      <c r="C434" s="3" t="s">
        <v>50</v>
      </c>
      <c r="D434" s="3" t="s">
        <v>10</v>
      </c>
      <c r="E434" s="3" t="s">
        <v>27</v>
      </c>
      <c r="F434" s="3">
        <v>54</v>
      </c>
      <c r="G434" s="4">
        <v>27.3</v>
      </c>
      <c r="H434" s="4">
        <v>75</v>
      </c>
      <c r="I434" s="6">
        <v>5.6583265875735824</v>
      </c>
      <c r="J434" s="5">
        <v>6.6000000000000003E-2</v>
      </c>
      <c r="K434" s="4">
        <v>24.7</v>
      </c>
      <c r="L434" s="4">
        <v>56.2</v>
      </c>
      <c r="M434" s="6">
        <v>4.4474232872628745</v>
      </c>
      <c r="N434" s="5">
        <v>6.3E-2</v>
      </c>
      <c r="O434" s="5">
        <v>1.2109033003107079</v>
      </c>
      <c r="P434" s="5">
        <v>1.2109033003107079</v>
      </c>
      <c r="Q434" s="8">
        <v>0.20833333333333334</v>
      </c>
      <c r="R434" s="8">
        <v>0.89583333333333337</v>
      </c>
      <c r="S434" s="6">
        <f t="shared" si="18"/>
        <v>16.5</v>
      </c>
      <c r="T434" s="5">
        <f t="shared" si="19"/>
        <v>7.338807880670957E-2</v>
      </c>
      <c r="U434" s="3">
        <v>2.21</v>
      </c>
      <c r="V434" s="5">
        <f t="shared" si="20"/>
        <v>3.3207275478149126E-2</v>
      </c>
      <c r="W434" s="3">
        <v>3.3207275478149126E-2</v>
      </c>
    </row>
    <row r="435" spans="1:23" x14ac:dyDescent="0.55000000000000004">
      <c r="A435" s="3">
        <v>38</v>
      </c>
      <c r="B435" s="3" t="s">
        <v>51</v>
      </c>
      <c r="C435" s="3" t="s">
        <v>49</v>
      </c>
      <c r="D435" s="3" t="s">
        <v>39</v>
      </c>
      <c r="E435" s="2" t="s">
        <v>13</v>
      </c>
      <c r="F435" s="3">
        <v>8</v>
      </c>
      <c r="G435" s="4">
        <v>22.2</v>
      </c>
      <c r="H435" s="4">
        <v>114</v>
      </c>
      <c r="I435" s="6">
        <v>9.4610404927446883</v>
      </c>
      <c r="J435" s="5">
        <v>2.1000000000000001E-2</v>
      </c>
      <c r="K435" s="4">
        <v>19.3</v>
      </c>
      <c r="L435" s="4">
        <v>94.5</v>
      </c>
      <c r="M435" s="6">
        <v>8.3058711902244031</v>
      </c>
      <c r="N435" s="5">
        <v>2.1000000000000001E-2</v>
      </c>
      <c r="O435" s="5">
        <v>1.1551693025202852</v>
      </c>
      <c r="P435" s="5">
        <v>1.1551693025202852</v>
      </c>
      <c r="Q435" s="8">
        <v>0.20833333333333334</v>
      </c>
      <c r="R435" s="8">
        <v>0.86319444444444438</v>
      </c>
      <c r="S435" s="6">
        <f t="shared" si="18"/>
        <v>15.716666666666665</v>
      </c>
      <c r="T435" s="5">
        <f t="shared" si="19"/>
        <v>7.3499637488035119E-2</v>
      </c>
      <c r="U435" s="3">
        <v>2.21</v>
      </c>
      <c r="V435" s="5">
        <f t="shared" si="20"/>
        <v>3.325775451947291E-2</v>
      </c>
      <c r="W435" s="3">
        <v>3.325775451947291E-2</v>
      </c>
    </row>
    <row r="436" spans="1:23" x14ac:dyDescent="0.55000000000000004">
      <c r="A436" s="3">
        <v>26</v>
      </c>
      <c r="B436" s="3" t="s">
        <v>52</v>
      </c>
      <c r="C436" s="3" t="s">
        <v>50</v>
      </c>
      <c r="D436" s="3" t="s">
        <v>12</v>
      </c>
      <c r="E436" s="2" t="s">
        <v>17</v>
      </c>
      <c r="F436" s="3">
        <v>19</v>
      </c>
      <c r="G436" s="4">
        <v>22.2</v>
      </c>
      <c r="H436" s="4">
        <v>87.9</v>
      </c>
      <c r="I436" s="6">
        <v>7.2949601694057726</v>
      </c>
      <c r="J436" s="5">
        <v>0.04</v>
      </c>
      <c r="K436" s="4">
        <v>17.2</v>
      </c>
      <c r="L436" s="4">
        <v>66.5</v>
      </c>
      <c r="M436" s="6">
        <v>6.1025277110242646</v>
      </c>
      <c r="N436" s="5">
        <v>3.5999999999999997E-2</v>
      </c>
      <c r="O436" s="5">
        <v>1.192432458381508</v>
      </c>
      <c r="P436" s="5">
        <v>1.192432458381508</v>
      </c>
      <c r="Q436" s="8">
        <v>0.19930555555555554</v>
      </c>
      <c r="R436" s="8">
        <v>0.875</v>
      </c>
      <c r="S436" s="6">
        <f t="shared" si="18"/>
        <v>16.216666666666669</v>
      </c>
      <c r="T436" s="5">
        <f t="shared" si="19"/>
        <v>7.3531292397626388E-2</v>
      </c>
      <c r="U436" s="3">
        <v>2.21</v>
      </c>
      <c r="V436" s="5">
        <f t="shared" si="20"/>
        <v>3.3272078007975735E-2</v>
      </c>
      <c r="W436" s="3">
        <v>3.3272078007975735E-2</v>
      </c>
    </row>
    <row r="437" spans="1:23" x14ac:dyDescent="0.55000000000000004">
      <c r="A437" s="3">
        <v>46</v>
      </c>
      <c r="B437" s="3" t="s">
        <v>51</v>
      </c>
      <c r="C437" s="3" t="s">
        <v>49</v>
      </c>
      <c r="D437" s="3" t="s">
        <v>39</v>
      </c>
      <c r="E437" s="2" t="s">
        <v>15</v>
      </c>
      <c r="F437" s="3">
        <v>12</v>
      </c>
      <c r="G437" s="4">
        <v>22.5</v>
      </c>
      <c r="H437" s="4">
        <v>104.7</v>
      </c>
      <c r="I437" s="6">
        <v>8.6389808397710937</v>
      </c>
      <c r="J437" s="5">
        <v>2.1999999999999999E-2</v>
      </c>
      <c r="K437" s="4">
        <v>19.600000000000001</v>
      </c>
      <c r="L437" s="4">
        <v>85.5</v>
      </c>
      <c r="M437" s="6">
        <v>7.4695028594036543</v>
      </c>
      <c r="N437" s="5">
        <v>2.1000000000000001E-2</v>
      </c>
      <c r="O437" s="5">
        <v>1.1694779803674393</v>
      </c>
      <c r="P437" s="5">
        <v>1.1694779803674393</v>
      </c>
      <c r="Q437" s="8">
        <v>0.21319444444444444</v>
      </c>
      <c r="R437" s="8">
        <v>0.875</v>
      </c>
      <c r="S437" s="6">
        <f t="shared" si="18"/>
        <v>15.883333333333333</v>
      </c>
      <c r="T437" s="5">
        <f t="shared" si="19"/>
        <v>7.3629253748212345E-2</v>
      </c>
      <c r="U437" s="3">
        <v>2.21</v>
      </c>
      <c r="V437" s="5">
        <f t="shared" si="20"/>
        <v>3.3316404410955812E-2</v>
      </c>
      <c r="W437" s="3">
        <v>3.3316404410955812E-2</v>
      </c>
    </row>
    <row r="438" spans="1:23" x14ac:dyDescent="0.55000000000000004">
      <c r="A438" s="3">
        <v>43</v>
      </c>
      <c r="B438" s="3" t="s">
        <v>51</v>
      </c>
      <c r="C438" s="3" t="s">
        <v>50</v>
      </c>
      <c r="D438" s="3" t="s">
        <v>9</v>
      </c>
      <c r="E438" s="2" t="s">
        <v>13</v>
      </c>
      <c r="F438" s="3">
        <v>8</v>
      </c>
      <c r="G438" s="4">
        <v>21.9</v>
      </c>
      <c r="H438" s="4">
        <v>108.3</v>
      </c>
      <c r="I438" s="6">
        <v>9.0404825315062194</v>
      </c>
      <c r="J438" s="5">
        <v>0.03</v>
      </c>
      <c r="K438" s="4">
        <v>19.2</v>
      </c>
      <c r="L438" s="4">
        <v>89.5</v>
      </c>
      <c r="M438" s="6">
        <v>7.8823369158086676</v>
      </c>
      <c r="N438" s="5">
        <v>0.03</v>
      </c>
      <c r="O438" s="5">
        <v>1.1581456156975518</v>
      </c>
      <c r="P438" s="5">
        <v>1.1581456156975518</v>
      </c>
      <c r="Q438" s="8">
        <v>0.20833333333333334</v>
      </c>
      <c r="R438" s="8">
        <v>0.86319444444444438</v>
      </c>
      <c r="S438" s="6">
        <f t="shared" si="18"/>
        <v>15.716666666666665</v>
      </c>
      <c r="T438" s="5">
        <f t="shared" si="19"/>
        <v>7.3689010542792283E-2</v>
      </c>
      <c r="U438" s="3">
        <v>2.21</v>
      </c>
      <c r="V438" s="5">
        <f t="shared" si="20"/>
        <v>3.3343443684521391E-2</v>
      </c>
      <c r="W438" s="3">
        <v>3.3343443684521391E-2</v>
      </c>
    </row>
    <row r="439" spans="1:23" x14ac:dyDescent="0.55000000000000004">
      <c r="A439" s="3">
        <v>41</v>
      </c>
      <c r="B439" s="3" t="s">
        <v>51</v>
      </c>
      <c r="C439" s="3" t="s">
        <v>50</v>
      </c>
      <c r="D439" s="3" t="s">
        <v>9</v>
      </c>
      <c r="E439" s="2" t="s">
        <v>14</v>
      </c>
      <c r="F439" s="3">
        <v>10</v>
      </c>
      <c r="G439" s="4">
        <v>22.1</v>
      </c>
      <c r="H439" s="4">
        <v>103.6</v>
      </c>
      <c r="I439" s="6">
        <v>8.6146101008407605</v>
      </c>
      <c r="J439" s="5">
        <v>3.6999999999999998E-2</v>
      </c>
      <c r="K439" s="4">
        <v>19.899999999999999</v>
      </c>
      <c r="L439" s="4">
        <v>85.7</v>
      </c>
      <c r="M439" s="6">
        <v>7.4420127118141988</v>
      </c>
      <c r="N439" s="5">
        <v>3.5000000000000003E-2</v>
      </c>
      <c r="O439" s="5">
        <v>1.1725973890265617</v>
      </c>
      <c r="P439" s="5">
        <v>1.1725973890265617</v>
      </c>
      <c r="Q439" s="8">
        <v>0.20555555555555557</v>
      </c>
      <c r="R439" s="8">
        <v>0.86805555555555547</v>
      </c>
      <c r="S439" s="6">
        <f t="shared" si="18"/>
        <v>15.899999999999997</v>
      </c>
      <c r="T439" s="5">
        <f t="shared" si="19"/>
        <v>7.3748263460790067E-2</v>
      </c>
      <c r="U439" s="3">
        <v>2.21</v>
      </c>
      <c r="V439" s="5">
        <f t="shared" si="20"/>
        <v>3.3370254959633514E-2</v>
      </c>
      <c r="W439" s="3">
        <v>3.3370254959633514E-2</v>
      </c>
    </row>
    <row r="440" spans="1:23" x14ac:dyDescent="0.55000000000000004">
      <c r="A440" s="3">
        <v>12</v>
      </c>
      <c r="B440" s="3" t="s">
        <v>53</v>
      </c>
      <c r="C440" s="3" t="s">
        <v>50</v>
      </c>
      <c r="D440" s="3" t="s">
        <v>11</v>
      </c>
      <c r="E440" s="2" t="s">
        <v>8</v>
      </c>
      <c r="F440" s="3">
        <v>5</v>
      </c>
      <c r="G440" s="4">
        <v>21.1</v>
      </c>
      <c r="H440" s="4">
        <v>132.30000000000001</v>
      </c>
      <c r="I440" s="6">
        <v>11.218150463342901</v>
      </c>
      <c r="J440" s="5">
        <v>4.2999999999999997E-2</v>
      </c>
      <c r="K440" s="4">
        <v>15.6</v>
      </c>
      <c r="L440" s="4">
        <v>105.8</v>
      </c>
      <c r="M440" s="6">
        <v>10.043036272296384</v>
      </c>
      <c r="N440" s="5">
        <v>3.6999999999999998E-2</v>
      </c>
      <c r="O440" s="5">
        <v>1.1751141910465179</v>
      </c>
      <c r="P440" s="5">
        <v>1.1751141910465179</v>
      </c>
      <c r="Q440" s="8">
        <v>0.20833333333333334</v>
      </c>
      <c r="R440" s="8">
        <v>0.87083333333333324</v>
      </c>
      <c r="S440" s="6">
        <f t="shared" si="18"/>
        <v>15.899999999999997</v>
      </c>
      <c r="T440" s="5">
        <f t="shared" si="19"/>
        <v>7.3906552896007435E-2</v>
      </c>
      <c r="U440" s="3">
        <v>2.21</v>
      </c>
      <c r="V440" s="5">
        <f t="shared" si="20"/>
        <v>3.34418791384649E-2</v>
      </c>
      <c r="W440" s="3">
        <v>3.34418791384649E-2</v>
      </c>
    </row>
    <row r="441" spans="1:23" x14ac:dyDescent="0.55000000000000004">
      <c r="A441" s="3">
        <v>29</v>
      </c>
      <c r="B441" s="3" t="s">
        <v>52</v>
      </c>
      <c r="C441" s="3" t="s">
        <v>50</v>
      </c>
      <c r="D441" s="3" t="s">
        <v>12</v>
      </c>
      <c r="E441" s="2" t="s">
        <v>20</v>
      </c>
      <c r="F441" s="3">
        <v>30</v>
      </c>
      <c r="G441" s="4">
        <v>27.1</v>
      </c>
      <c r="H441" s="4">
        <v>94.9</v>
      </c>
      <c r="I441" s="6">
        <v>7.185601878353082</v>
      </c>
      <c r="J441" s="5">
        <v>5.8999999999999997E-2</v>
      </c>
      <c r="K441" s="4">
        <v>23.7</v>
      </c>
      <c r="L441" s="4">
        <v>74.2</v>
      </c>
      <c r="M441" s="6">
        <v>5.9834782463306899</v>
      </c>
      <c r="N441" s="5">
        <v>5.7000000000000002E-2</v>
      </c>
      <c r="O441" s="5">
        <v>1.202123632022392</v>
      </c>
      <c r="P441" s="5">
        <v>1.202123632022392</v>
      </c>
      <c r="Q441" s="8">
        <v>0.20833333333333334</v>
      </c>
      <c r="R441" s="8">
        <v>0.88541666666666663</v>
      </c>
      <c r="S441" s="6">
        <f t="shared" si="18"/>
        <v>16.25</v>
      </c>
      <c r="T441" s="5">
        <f t="shared" si="19"/>
        <v>7.397683889368567E-2</v>
      </c>
      <c r="U441" s="3">
        <v>2.21</v>
      </c>
      <c r="V441" s="5">
        <f t="shared" si="20"/>
        <v>3.3473682757323826E-2</v>
      </c>
      <c r="W441" s="3">
        <v>3.3473682757323826E-2</v>
      </c>
    </row>
    <row r="442" spans="1:23" x14ac:dyDescent="0.55000000000000004">
      <c r="A442" s="3">
        <v>7</v>
      </c>
      <c r="B442" s="3" t="s">
        <v>53</v>
      </c>
      <c r="C442" s="3" t="s">
        <v>49</v>
      </c>
      <c r="D442" s="3" t="s">
        <v>41</v>
      </c>
      <c r="E442" s="2" t="s">
        <v>22</v>
      </c>
      <c r="F442" s="3">
        <v>37</v>
      </c>
      <c r="G442" s="4">
        <v>28.6</v>
      </c>
      <c r="H442" s="4">
        <v>77.3</v>
      </c>
      <c r="I442" s="6">
        <v>5.6977070487496109</v>
      </c>
      <c r="J442" s="5">
        <v>6.6000000000000003E-2</v>
      </c>
      <c r="K442" s="4">
        <v>23.8</v>
      </c>
      <c r="L442" s="4">
        <v>55.7</v>
      </c>
      <c r="M442" s="6">
        <v>4.4831379069617592</v>
      </c>
      <c r="N442" s="5">
        <v>6.0999999999999999E-2</v>
      </c>
      <c r="O442" s="5">
        <v>1.2145691417878517</v>
      </c>
      <c r="P442" s="5">
        <v>1.2145691417878517</v>
      </c>
      <c r="Q442" s="8">
        <v>0.20138888888888887</v>
      </c>
      <c r="R442" s="8">
        <v>0.88541666666666663</v>
      </c>
      <c r="S442" s="6">
        <f t="shared" si="18"/>
        <v>16.416666666666668</v>
      </c>
      <c r="T442" s="5">
        <f t="shared" si="19"/>
        <v>7.3983907113980812E-2</v>
      </c>
      <c r="U442" s="3">
        <v>2.21</v>
      </c>
      <c r="V442" s="5">
        <f t="shared" si="20"/>
        <v>3.3476881047050142E-2</v>
      </c>
      <c r="W442" s="3">
        <v>3.3476881047050142E-2</v>
      </c>
    </row>
    <row r="443" spans="1:23" x14ac:dyDescent="0.55000000000000004">
      <c r="A443" s="3">
        <v>31</v>
      </c>
      <c r="B443" s="3" t="s">
        <v>52</v>
      </c>
      <c r="C443" s="3" t="s">
        <v>49</v>
      </c>
      <c r="D443" s="3" t="s">
        <v>40</v>
      </c>
      <c r="E443" s="2" t="s">
        <v>21</v>
      </c>
      <c r="F443" s="3">
        <v>33</v>
      </c>
      <c r="G443" s="4">
        <v>29.3</v>
      </c>
      <c r="H443" s="4">
        <v>62.5</v>
      </c>
      <c r="I443" s="6">
        <v>4.5501869683164484</v>
      </c>
      <c r="J443" s="5">
        <v>6.0999999999999999E-2</v>
      </c>
      <c r="K443" s="4">
        <v>25.9</v>
      </c>
      <c r="L443" s="4">
        <v>43.3</v>
      </c>
      <c r="M443" s="6">
        <v>3.351155278594216</v>
      </c>
      <c r="N443" s="5">
        <v>5.6000000000000001E-2</v>
      </c>
      <c r="O443" s="5">
        <v>1.1990316897222324</v>
      </c>
      <c r="P443" s="5">
        <v>1.1990316897222324</v>
      </c>
      <c r="Q443" s="8">
        <v>0.20833333333333334</v>
      </c>
      <c r="R443" s="8">
        <v>0.88194444444444453</v>
      </c>
      <c r="S443" s="6">
        <f t="shared" si="18"/>
        <v>16.166666666666668</v>
      </c>
      <c r="T443" s="5">
        <f t="shared" si="19"/>
        <v>7.4166908642612314E-2</v>
      </c>
      <c r="U443" s="3">
        <v>2.21</v>
      </c>
      <c r="V443" s="5">
        <f t="shared" si="20"/>
        <v>3.3559687168602852E-2</v>
      </c>
      <c r="W443" s="3">
        <v>3.3559687168602852E-2</v>
      </c>
    </row>
    <row r="444" spans="1:23" x14ac:dyDescent="0.55000000000000004">
      <c r="A444" s="3">
        <v>21</v>
      </c>
      <c r="B444" s="3" t="s">
        <v>48</v>
      </c>
      <c r="C444" s="3" t="s">
        <v>49</v>
      </c>
      <c r="D444" s="3" t="s">
        <v>38</v>
      </c>
      <c r="E444" s="2" t="s">
        <v>16</v>
      </c>
      <c r="F444" s="3">
        <v>16</v>
      </c>
      <c r="G444" s="4">
        <v>20.9</v>
      </c>
      <c r="H444" s="4">
        <v>81.5</v>
      </c>
      <c r="I444" s="6">
        <v>6.937947751273791</v>
      </c>
      <c r="J444" s="5">
        <v>3.2000000000000001E-2</v>
      </c>
      <c r="K444" s="4">
        <v>19.7</v>
      </c>
      <c r="L444" s="4">
        <v>66.099999999999994</v>
      </c>
      <c r="M444" s="6">
        <v>5.7630679150394881</v>
      </c>
      <c r="N444" s="5">
        <v>3.2000000000000001E-2</v>
      </c>
      <c r="O444" s="5">
        <v>1.1748798362343029</v>
      </c>
      <c r="P444" s="5">
        <v>1.1748798362343029</v>
      </c>
      <c r="Q444" s="8">
        <v>0.20833333333333334</v>
      </c>
      <c r="R444" s="8">
        <v>0.86805555555555547</v>
      </c>
      <c r="S444" s="6">
        <f t="shared" si="18"/>
        <v>15.83333333333333</v>
      </c>
      <c r="T444" s="5">
        <f t="shared" si="19"/>
        <v>7.4202937025324406E-2</v>
      </c>
      <c r="U444" s="3">
        <v>2.21</v>
      </c>
      <c r="V444" s="5">
        <f t="shared" si="20"/>
        <v>3.3575989604219196E-2</v>
      </c>
      <c r="W444" s="3">
        <v>3.3575989604219196E-2</v>
      </c>
    </row>
    <row r="445" spans="1:23" x14ac:dyDescent="0.55000000000000004">
      <c r="A445" s="3">
        <v>48</v>
      </c>
      <c r="B445" s="3" t="s">
        <v>52</v>
      </c>
      <c r="C445" s="3" t="s">
        <v>49</v>
      </c>
      <c r="D445" s="3" t="s">
        <v>40</v>
      </c>
      <c r="E445" s="2" t="s">
        <v>19</v>
      </c>
      <c r="F445" s="3">
        <v>26</v>
      </c>
      <c r="G445" s="4">
        <v>25.9</v>
      </c>
      <c r="H445" s="4">
        <v>89.3</v>
      </c>
      <c r="I445" s="6">
        <v>6.9112740503109356</v>
      </c>
      <c r="J445" s="5">
        <v>4.7E-2</v>
      </c>
      <c r="K445" s="4">
        <v>22.2</v>
      </c>
      <c r="L445" s="4">
        <v>68.7</v>
      </c>
      <c r="M445" s="6">
        <v>5.7015217706277204</v>
      </c>
      <c r="N445" s="5">
        <v>4.3999999999999997E-2</v>
      </c>
      <c r="O445" s="5">
        <v>1.2097522796832152</v>
      </c>
      <c r="P445" s="5">
        <v>1.2097522796832152</v>
      </c>
      <c r="Q445" s="8">
        <v>0.20833333333333334</v>
      </c>
      <c r="R445" s="8">
        <v>0.88541666666666663</v>
      </c>
      <c r="S445" s="6">
        <f t="shared" si="18"/>
        <v>16.25</v>
      </c>
      <c r="T445" s="5">
        <f t="shared" si="19"/>
        <v>7.4446294134351707E-2</v>
      </c>
      <c r="U445" s="3">
        <v>2.21</v>
      </c>
      <c r="V445" s="5">
        <f t="shared" si="20"/>
        <v>3.3686105943145569E-2</v>
      </c>
      <c r="W445" s="3">
        <v>3.3686105943145569E-2</v>
      </c>
    </row>
    <row r="446" spans="1:23" x14ac:dyDescent="0.55000000000000004">
      <c r="A446" s="3">
        <v>46</v>
      </c>
      <c r="B446" s="3" t="s">
        <v>51</v>
      </c>
      <c r="C446" s="3" t="s">
        <v>49</v>
      </c>
      <c r="D446" s="3" t="s">
        <v>39</v>
      </c>
      <c r="E446" s="2" t="s">
        <v>24</v>
      </c>
      <c r="F446" s="3">
        <v>44</v>
      </c>
      <c r="G446" s="4">
        <v>25.2</v>
      </c>
      <c r="H446" s="4">
        <v>89.7</v>
      </c>
      <c r="I446" s="6">
        <v>7.0326339751397855</v>
      </c>
      <c r="J446" s="5">
        <v>5.3999999999999999E-2</v>
      </c>
      <c r="K446" s="4">
        <v>20.9</v>
      </c>
      <c r="L446" s="4">
        <v>67.900000000000006</v>
      </c>
      <c r="M446" s="6">
        <v>5.7802043228403734</v>
      </c>
      <c r="N446" s="5">
        <v>0.05</v>
      </c>
      <c r="O446" s="5">
        <v>1.2524296522994121</v>
      </c>
      <c r="P446" s="5">
        <v>1.2524296522994121</v>
      </c>
      <c r="Q446" s="8">
        <v>0.20277777777777781</v>
      </c>
      <c r="R446" s="8">
        <v>0.90277777777777779</v>
      </c>
      <c r="S446" s="6">
        <f t="shared" si="18"/>
        <v>16.799999999999997</v>
      </c>
      <c r="T446" s="5">
        <f t="shared" si="19"/>
        <v>7.4549384065441204E-2</v>
      </c>
      <c r="U446" s="3">
        <v>2.21</v>
      </c>
      <c r="V446" s="5">
        <f t="shared" si="20"/>
        <v>3.3732752970787878E-2</v>
      </c>
      <c r="W446" s="3">
        <v>3.3732752970787878E-2</v>
      </c>
    </row>
    <row r="447" spans="1:23" x14ac:dyDescent="0.55000000000000004">
      <c r="A447" s="3">
        <v>45</v>
      </c>
      <c r="B447" s="3" t="s">
        <v>48</v>
      </c>
      <c r="C447" s="3" t="s">
        <v>50</v>
      </c>
      <c r="D447" s="3" t="s">
        <v>10</v>
      </c>
      <c r="E447" s="2" t="s">
        <v>16</v>
      </c>
      <c r="F447" s="3">
        <v>16</v>
      </c>
      <c r="G447" s="4">
        <v>20.9</v>
      </c>
      <c r="H447" s="4">
        <v>82.5</v>
      </c>
      <c r="I447" s="6">
        <v>7.0230759445409534</v>
      </c>
      <c r="J447" s="5">
        <v>3.7999999999999999E-2</v>
      </c>
      <c r="K447" s="4">
        <v>19.7</v>
      </c>
      <c r="L447" s="4">
        <v>67</v>
      </c>
      <c r="M447" s="6">
        <v>5.8415363132775466</v>
      </c>
      <c r="N447" s="5">
        <v>3.6999999999999998E-2</v>
      </c>
      <c r="O447" s="5">
        <v>1.1815396312634068</v>
      </c>
      <c r="P447" s="5">
        <v>1.1815396312634068</v>
      </c>
      <c r="Q447" s="8">
        <v>0.20833333333333334</v>
      </c>
      <c r="R447" s="8">
        <v>0.86805555555555547</v>
      </c>
      <c r="S447" s="6">
        <f t="shared" si="18"/>
        <v>15.83333333333333</v>
      </c>
      <c r="T447" s="5">
        <f t="shared" si="19"/>
        <v>7.46235556587415E-2</v>
      </c>
      <c r="U447" s="3">
        <v>2.21</v>
      </c>
      <c r="V447" s="5">
        <f t="shared" si="20"/>
        <v>3.3766314777711082E-2</v>
      </c>
      <c r="W447" s="3">
        <v>3.3766314777711082E-2</v>
      </c>
    </row>
    <row r="448" spans="1:23" x14ac:dyDescent="0.55000000000000004">
      <c r="A448" s="3">
        <v>7</v>
      </c>
      <c r="B448" s="3" t="s">
        <v>53</v>
      </c>
      <c r="C448" s="3" t="s">
        <v>49</v>
      </c>
      <c r="D448" s="3" t="s">
        <v>41</v>
      </c>
      <c r="E448" s="2" t="s">
        <v>14</v>
      </c>
      <c r="F448" s="3">
        <v>10</v>
      </c>
      <c r="G448" s="4">
        <v>22.4</v>
      </c>
      <c r="H448" s="4">
        <v>95.2</v>
      </c>
      <c r="I448" s="6">
        <v>7.8702944576248433</v>
      </c>
      <c r="J448" s="5">
        <v>2.5999999999999999E-2</v>
      </c>
      <c r="K448" s="4">
        <v>20</v>
      </c>
      <c r="L448" s="4">
        <v>77.099999999999994</v>
      </c>
      <c r="M448" s="6">
        <v>6.6818168592540026</v>
      </c>
      <c r="N448" s="5">
        <v>2.5000000000000001E-2</v>
      </c>
      <c r="O448" s="5">
        <v>1.1884775983708407</v>
      </c>
      <c r="P448" s="5">
        <v>1.1884775983708407</v>
      </c>
      <c r="Q448" s="8">
        <v>0.20555555555555557</v>
      </c>
      <c r="R448" s="8">
        <v>0.86805555555555547</v>
      </c>
      <c r="S448" s="6">
        <f t="shared" si="18"/>
        <v>15.899999999999997</v>
      </c>
      <c r="T448" s="5">
        <f t="shared" si="19"/>
        <v>7.4747018765461692E-2</v>
      </c>
      <c r="U448" s="3">
        <v>2.21</v>
      </c>
      <c r="V448" s="5">
        <f t="shared" si="20"/>
        <v>3.3822180436860493E-2</v>
      </c>
      <c r="W448" s="3">
        <v>3.3822180436860493E-2</v>
      </c>
    </row>
    <row r="449" spans="1:23" x14ac:dyDescent="0.55000000000000004">
      <c r="A449" s="3">
        <v>61</v>
      </c>
      <c r="B449" s="3" t="s">
        <v>53</v>
      </c>
      <c r="C449" s="3" t="s">
        <v>50</v>
      </c>
      <c r="D449" s="3" t="s">
        <v>11</v>
      </c>
      <c r="E449" s="2" t="s">
        <v>16</v>
      </c>
      <c r="F449" s="3">
        <v>16</v>
      </c>
      <c r="G449" s="4">
        <v>21</v>
      </c>
      <c r="H449" s="4">
        <v>114</v>
      </c>
      <c r="I449" s="6">
        <v>9.6854909609492381</v>
      </c>
      <c r="J449" s="5">
        <v>4.5999999999999999E-2</v>
      </c>
      <c r="K449" s="4">
        <v>19.899999999999999</v>
      </c>
      <c r="L449" s="4">
        <v>97.9</v>
      </c>
      <c r="M449" s="6">
        <v>8.5014357583035007</v>
      </c>
      <c r="N449" s="5">
        <v>4.4999999999999998E-2</v>
      </c>
      <c r="O449" s="5">
        <v>1.1840552026457374</v>
      </c>
      <c r="P449" s="5">
        <v>1.1840552026457374</v>
      </c>
      <c r="Q449" s="8">
        <v>0.20833333333333334</v>
      </c>
      <c r="R449" s="8">
        <v>0.86805555555555547</v>
      </c>
      <c r="S449" s="6">
        <f t="shared" si="18"/>
        <v>15.83333333333333</v>
      </c>
      <c r="T449" s="5">
        <f t="shared" si="19"/>
        <v>7.478243385130974E-2</v>
      </c>
      <c r="U449" s="3">
        <v>2.21</v>
      </c>
      <c r="V449" s="5">
        <f t="shared" si="20"/>
        <v>3.3838205362583598E-2</v>
      </c>
      <c r="W449" s="3">
        <v>3.3838205362583598E-2</v>
      </c>
    </row>
    <row r="450" spans="1:23" x14ac:dyDescent="0.55000000000000004">
      <c r="A450" s="3">
        <v>46</v>
      </c>
      <c r="B450" s="3" t="s">
        <v>51</v>
      </c>
      <c r="C450" s="3" t="s">
        <v>49</v>
      </c>
      <c r="D450" s="3" t="s">
        <v>39</v>
      </c>
      <c r="E450" s="3" t="s">
        <v>35</v>
      </c>
      <c r="F450" s="3">
        <v>82</v>
      </c>
      <c r="G450" s="4">
        <v>31.7</v>
      </c>
      <c r="H450" s="4">
        <v>69.900000000000006</v>
      </c>
      <c r="I450" s="6">
        <v>4.8816720278805725</v>
      </c>
      <c r="J450" s="5">
        <v>5.1999999999999998E-2</v>
      </c>
      <c r="K450" s="4">
        <v>27.9</v>
      </c>
      <c r="L450" s="4">
        <v>49.1</v>
      </c>
      <c r="M450" s="6">
        <v>3.6645654024223973</v>
      </c>
      <c r="N450" s="5">
        <v>5.0999999999999997E-2</v>
      </c>
      <c r="O450" s="5">
        <v>1.2171066254581753</v>
      </c>
      <c r="P450" s="5">
        <v>1.2171066254581753</v>
      </c>
      <c r="Q450" s="8">
        <v>0.20833333333333334</v>
      </c>
      <c r="R450" s="8">
        <v>0.88541666666666663</v>
      </c>
      <c r="S450" s="6">
        <f t="shared" ref="S450:S513" si="21">(R450-Q450)*24</f>
        <v>16.25</v>
      </c>
      <c r="T450" s="5">
        <f t="shared" ref="T450:T513" si="22">P450/S450</f>
        <v>7.4898869258964634E-2</v>
      </c>
      <c r="U450" s="3">
        <v>2.21</v>
      </c>
      <c r="V450" s="5">
        <f t="shared" ref="V450:V513" si="23">(I450-M450)/U450/S450</f>
        <v>3.389089106740481E-2</v>
      </c>
      <c r="W450" s="3">
        <v>3.389089106740481E-2</v>
      </c>
    </row>
    <row r="451" spans="1:23" x14ac:dyDescent="0.55000000000000004">
      <c r="A451" s="3">
        <v>20</v>
      </c>
      <c r="B451" s="3" t="s">
        <v>52</v>
      </c>
      <c r="C451" s="3" t="s">
        <v>50</v>
      </c>
      <c r="D451" s="3" t="s">
        <v>12</v>
      </c>
      <c r="E451" s="2" t="s">
        <v>18</v>
      </c>
      <c r="F451" s="3">
        <v>24</v>
      </c>
      <c r="G451" s="4">
        <v>22.4</v>
      </c>
      <c r="H451" s="4">
        <v>107.9</v>
      </c>
      <c r="I451" s="6">
        <v>8.9202181930432847</v>
      </c>
      <c r="J451" s="5">
        <v>3.7999999999999999E-2</v>
      </c>
      <c r="K451" s="4">
        <v>20.100000000000001</v>
      </c>
      <c r="L451" s="4">
        <v>89.2</v>
      </c>
      <c r="M451" s="6">
        <v>7.715017997953046</v>
      </c>
      <c r="N451" s="5">
        <v>3.5999999999999997E-2</v>
      </c>
      <c r="O451" s="5">
        <v>1.2052001950902387</v>
      </c>
      <c r="P451" s="5">
        <v>1.2052001950902387</v>
      </c>
      <c r="Q451" s="8">
        <v>0.21180555555555555</v>
      </c>
      <c r="R451" s="8">
        <v>0.88194444444444453</v>
      </c>
      <c r="S451" s="6">
        <f t="shared" si="21"/>
        <v>16.083333333333336</v>
      </c>
      <c r="T451" s="5">
        <f t="shared" si="22"/>
        <v>7.4934727155869754E-2</v>
      </c>
      <c r="U451" s="3">
        <v>2.21</v>
      </c>
      <c r="V451" s="5">
        <f t="shared" si="23"/>
        <v>3.3907116360122058E-2</v>
      </c>
      <c r="W451" s="3">
        <v>3.3907116360122058E-2</v>
      </c>
    </row>
    <row r="452" spans="1:23" x14ac:dyDescent="0.55000000000000004">
      <c r="A452" s="3">
        <v>38</v>
      </c>
      <c r="B452" s="3" t="s">
        <v>51</v>
      </c>
      <c r="C452" s="3" t="s">
        <v>49</v>
      </c>
      <c r="D452" s="3" t="s">
        <v>39</v>
      </c>
      <c r="E452" s="3" t="s">
        <v>28</v>
      </c>
      <c r="F452" s="3">
        <v>58</v>
      </c>
      <c r="G452" s="4">
        <v>29</v>
      </c>
      <c r="H452" s="4">
        <v>107.1</v>
      </c>
      <c r="I452" s="6">
        <v>7.8385329983631609</v>
      </c>
      <c r="J452" s="5">
        <v>6.3E-2</v>
      </c>
      <c r="K452" s="4">
        <v>24.4</v>
      </c>
      <c r="L452" s="4">
        <v>83.1</v>
      </c>
      <c r="M452" s="6">
        <v>6.6132440063755027</v>
      </c>
      <c r="N452" s="5">
        <v>5.1999999999999998E-2</v>
      </c>
      <c r="O452" s="5">
        <v>1.2252889919876582</v>
      </c>
      <c r="P452" s="5">
        <v>1.2252889919876582</v>
      </c>
      <c r="Q452" s="8">
        <v>0.20833333333333334</v>
      </c>
      <c r="R452" s="8">
        <v>0.88888888888888884</v>
      </c>
      <c r="S452" s="6">
        <f t="shared" si="21"/>
        <v>16.333333333333332</v>
      </c>
      <c r="T452" s="5">
        <f t="shared" si="22"/>
        <v>7.5017693386999484E-2</v>
      </c>
      <c r="U452" s="3">
        <v>2.21</v>
      </c>
      <c r="V452" s="5">
        <f t="shared" si="23"/>
        <v>3.3944657641176233E-2</v>
      </c>
      <c r="W452" s="3">
        <v>3.3944657641176233E-2</v>
      </c>
    </row>
    <row r="453" spans="1:23" x14ac:dyDescent="0.55000000000000004">
      <c r="A453" s="3">
        <v>45</v>
      </c>
      <c r="B453" s="3" t="s">
        <v>48</v>
      </c>
      <c r="C453" s="3" t="s">
        <v>50</v>
      </c>
      <c r="D453" s="3" t="s">
        <v>10</v>
      </c>
      <c r="E453" s="2" t="s">
        <v>14</v>
      </c>
      <c r="F453" s="3">
        <v>10</v>
      </c>
      <c r="G453" s="4">
        <v>22.1</v>
      </c>
      <c r="H453" s="4">
        <v>97.4</v>
      </c>
      <c r="I453" s="6">
        <v>8.0990639365047326</v>
      </c>
      <c r="J453" s="5">
        <v>3.4000000000000002E-2</v>
      </c>
      <c r="K453" s="4">
        <v>19.899999999999999</v>
      </c>
      <c r="L453" s="4">
        <v>79.5</v>
      </c>
      <c r="M453" s="6">
        <v>6.9036173931065195</v>
      </c>
      <c r="N453" s="5">
        <v>3.3000000000000002E-2</v>
      </c>
      <c r="O453" s="5">
        <v>1.1954465433982131</v>
      </c>
      <c r="P453" s="5">
        <v>1.1954465433982131</v>
      </c>
      <c r="Q453" s="8">
        <v>0.20555555555555557</v>
      </c>
      <c r="R453" s="8">
        <v>0.86805555555555547</v>
      </c>
      <c r="S453" s="6">
        <f t="shared" si="21"/>
        <v>15.899999999999997</v>
      </c>
      <c r="T453" s="5">
        <f t="shared" si="22"/>
        <v>7.5185317194856188E-2</v>
      </c>
      <c r="U453" s="3">
        <v>2.21</v>
      </c>
      <c r="V453" s="5">
        <f t="shared" si="23"/>
        <v>3.4020505518034469E-2</v>
      </c>
      <c r="W453" s="3">
        <v>3.4020505518034469E-2</v>
      </c>
    </row>
    <row r="454" spans="1:23" x14ac:dyDescent="0.55000000000000004">
      <c r="A454" s="3">
        <v>45</v>
      </c>
      <c r="B454" s="3" t="s">
        <v>48</v>
      </c>
      <c r="C454" s="3" t="s">
        <v>50</v>
      </c>
      <c r="D454" s="3" t="s">
        <v>10</v>
      </c>
      <c r="E454" s="2" t="s">
        <v>21</v>
      </c>
      <c r="F454" s="3">
        <v>33</v>
      </c>
      <c r="G454" s="4">
        <v>30.2</v>
      </c>
      <c r="H454" s="4">
        <v>74</v>
      </c>
      <c r="I454" s="6">
        <v>5.3032882317438474</v>
      </c>
      <c r="J454" s="5">
        <v>0.06</v>
      </c>
      <c r="K454" s="4">
        <v>26.2</v>
      </c>
      <c r="L454" s="4">
        <v>53.1</v>
      </c>
      <c r="M454" s="6">
        <v>4.0870444304541413</v>
      </c>
      <c r="N454" s="5">
        <v>5.6000000000000001E-2</v>
      </c>
      <c r="O454" s="5">
        <v>1.2162438012897061</v>
      </c>
      <c r="P454" s="5">
        <v>1.2162438012897061</v>
      </c>
      <c r="Q454" s="8">
        <v>0.20833333333333334</v>
      </c>
      <c r="R454" s="8">
        <v>0.88194444444444453</v>
      </c>
      <c r="S454" s="6">
        <f t="shared" si="21"/>
        <v>16.166666666666668</v>
      </c>
      <c r="T454" s="5">
        <f t="shared" si="22"/>
        <v>7.5231575337507586E-2</v>
      </c>
      <c r="U454" s="3">
        <v>2.21</v>
      </c>
      <c r="V454" s="5">
        <f t="shared" si="23"/>
        <v>3.4041436804302078E-2</v>
      </c>
      <c r="W454" s="3">
        <v>3.4041436804302078E-2</v>
      </c>
    </row>
    <row r="455" spans="1:23" x14ac:dyDescent="0.55000000000000004">
      <c r="A455" s="3">
        <v>21</v>
      </c>
      <c r="B455" s="3" t="s">
        <v>48</v>
      </c>
      <c r="C455" s="3" t="s">
        <v>49</v>
      </c>
      <c r="D455" s="3" t="s">
        <v>38</v>
      </c>
      <c r="E455" s="3" t="s">
        <v>26</v>
      </c>
      <c r="F455" s="3">
        <v>51</v>
      </c>
      <c r="G455" s="4">
        <v>26.8</v>
      </c>
      <c r="H455" s="4">
        <v>68.900000000000006</v>
      </c>
      <c r="I455" s="6">
        <v>5.2454081439064728</v>
      </c>
      <c r="J455" s="5">
        <v>0.09</v>
      </c>
      <c r="K455" s="4">
        <v>24.1</v>
      </c>
      <c r="L455" s="4">
        <v>50.5</v>
      </c>
      <c r="M455" s="6">
        <v>4.041629091746155</v>
      </c>
      <c r="N455" s="5">
        <v>8.6999999999999994E-2</v>
      </c>
      <c r="O455" s="5">
        <v>1.2037790521603178</v>
      </c>
      <c r="P455" s="5">
        <v>1.2037790521603178</v>
      </c>
      <c r="Q455" s="8">
        <v>0.20833333333333334</v>
      </c>
      <c r="R455" s="8">
        <v>0.875</v>
      </c>
      <c r="S455" s="6">
        <f t="shared" si="21"/>
        <v>16</v>
      </c>
      <c r="T455" s="5">
        <f t="shared" si="22"/>
        <v>7.5236190760019861E-2</v>
      </c>
      <c r="U455" s="3">
        <v>2.21</v>
      </c>
      <c r="V455" s="5">
        <f t="shared" si="23"/>
        <v>3.4043525230778221E-2</v>
      </c>
      <c r="W455" s="3">
        <v>3.4043525230778221E-2</v>
      </c>
    </row>
    <row r="456" spans="1:23" x14ac:dyDescent="0.55000000000000004">
      <c r="A456" s="3">
        <v>41</v>
      </c>
      <c r="B456" s="3" t="s">
        <v>51</v>
      </c>
      <c r="C456" s="3" t="s">
        <v>50</v>
      </c>
      <c r="D456" s="3" t="s">
        <v>9</v>
      </c>
      <c r="E456" s="2" t="s">
        <v>8</v>
      </c>
      <c r="F456" s="3">
        <v>5</v>
      </c>
      <c r="G456" s="4">
        <v>20.399999999999999</v>
      </c>
      <c r="H456" s="4">
        <v>126.9</v>
      </c>
      <c r="I456" s="6">
        <v>10.910311191245148</v>
      </c>
      <c r="J456" s="5">
        <v>3.5999999999999997E-2</v>
      </c>
      <c r="K456" s="4">
        <v>15.5</v>
      </c>
      <c r="L456" s="4">
        <v>102.1</v>
      </c>
      <c r="M456" s="6">
        <v>9.7126064696222993</v>
      </c>
      <c r="N456" s="5">
        <v>3.1E-2</v>
      </c>
      <c r="O456" s="5">
        <v>1.1977047216228485</v>
      </c>
      <c r="P456" s="5">
        <v>1.1977047216228485</v>
      </c>
      <c r="Q456" s="8">
        <v>0.20833333333333334</v>
      </c>
      <c r="R456" s="8">
        <v>0.87083333333333324</v>
      </c>
      <c r="S456" s="6">
        <f t="shared" si="21"/>
        <v>15.899999999999997</v>
      </c>
      <c r="T456" s="5">
        <f t="shared" si="22"/>
        <v>7.5327340982569102E-2</v>
      </c>
      <c r="U456" s="3">
        <v>2.21</v>
      </c>
      <c r="V456" s="5">
        <f t="shared" si="23"/>
        <v>3.4084769675370635E-2</v>
      </c>
      <c r="W456" s="3">
        <v>3.4084769675370635E-2</v>
      </c>
    </row>
    <row r="457" spans="1:23" x14ac:dyDescent="0.55000000000000004">
      <c r="A457" s="3">
        <v>2</v>
      </c>
      <c r="B457" s="3" t="s">
        <v>48</v>
      </c>
      <c r="C457" s="3" t="s">
        <v>49</v>
      </c>
      <c r="D457" s="3" t="s">
        <v>38</v>
      </c>
      <c r="E457" s="3" t="s">
        <v>35</v>
      </c>
      <c r="F457" s="3">
        <v>82</v>
      </c>
      <c r="G457" s="4">
        <v>30.9</v>
      </c>
      <c r="H457" s="4">
        <v>74.7</v>
      </c>
      <c r="I457" s="6">
        <v>5.2889685058233296</v>
      </c>
      <c r="J457" s="5">
        <v>8.1000000000000003E-2</v>
      </c>
      <c r="K457" s="4">
        <v>26.5</v>
      </c>
      <c r="L457" s="4">
        <v>53.1</v>
      </c>
      <c r="M457" s="6">
        <v>4.0646877658407776</v>
      </c>
      <c r="N457" s="5">
        <v>7.3999999999999996E-2</v>
      </c>
      <c r="O457" s="5">
        <v>1.2242807399825519</v>
      </c>
      <c r="P457" s="5">
        <v>1.2242807399825519</v>
      </c>
      <c r="Q457" s="8">
        <v>0.20833333333333334</v>
      </c>
      <c r="R457" s="8">
        <v>0.88541666666666663</v>
      </c>
      <c r="S457" s="6">
        <f t="shared" si="21"/>
        <v>16.25</v>
      </c>
      <c r="T457" s="5">
        <f t="shared" si="22"/>
        <v>7.5340353229695498E-2</v>
      </c>
      <c r="U457" s="3">
        <v>2.21</v>
      </c>
      <c r="V457" s="5">
        <f t="shared" si="23"/>
        <v>3.4090657569997969E-2</v>
      </c>
      <c r="W457" s="3">
        <v>3.4090657569997969E-2</v>
      </c>
    </row>
    <row r="458" spans="1:23" x14ac:dyDescent="0.55000000000000004">
      <c r="A458" s="3">
        <v>29</v>
      </c>
      <c r="B458" s="3" t="s">
        <v>52</v>
      </c>
      <c r="C458" s="3" t="s">
        <v>50</v>
      </c>
      <c r="D458" s="3" t="s">
        <v>12</v>
      </c>
      <c r="E458" s="2" t="s">
        <v>17</v>
      </c>
      <c r="F458" s="3">
        <v>19</v>
      </c>
      <c r="G458" s="4">
        <v>22.1</v>
      </c>
      <c r="H458" s="4">
        <v>91.5</v>
      </c>
      <c r="I458" s="6">
        <v>7.6084635543139925</v>
      </c>
      <c r="J458" s="5">
        <v>5.0999999999999997E-2</v>
      </c>
      <c r="K458" s="4">
        <v>17</v>
      </c>
      <c r="L458" s="4">
        <v>69.3</v>
      </c>
      <c r="M458" s="6">
        <v>6.3861266976752482</v>
      </c>
      <c r="N458" s="5">
        <v>4.4999999999999998E-2</v>
      </c>
      <c r="O458" s="5">
        <v>1.2223368566387443</v>
      </c>
      <c r="P458" s="5">
        <v>1.2223368566387443</v>
      </c>
      <c r="Q458" s="8">
        <v>0.19930555555555554</v>
      </c>
      <c r="R458" s="8">
        <v>0.875</v>
      </c>
      <c r="S458" s="6">
        <f t="shared" si="21"/>
        <v>16.216666666666669</v>
      </c>
      <c r="T458" s="5">
        <f t="shared" si="22"/>
        <v>7.5375345733118854E-2</v>
      </c>
      <c r="U458" s="3">
        <v>2.21</v>
      </c>
      <c r="V458" s="5">
        <f t="shared" si="23"/>
        <v>3.4106491281954233E-2</v>
      </c>
      <c r="W458" s="3">
        <v>3.4106491281954233E-2</v>
      </c>
    </row>
    <row r="459" spans="1:23" x14ac:dyDescent="0.55000000000000004">
      <c r="A459" s="3">
        <v>9</v>
      </c>
      <c r="B459" s="3" t="s">
        <v>48</v>
      </c>
      <c r="C459" s="3" t="s">
        <v>50</v>
      </c>
      <c r="D459" s="3" t="s">
        <v>10</v>
      </c>
      <c r="E459" s="3" t="s">
        <v>33</v>
      </c>
      <c r="F459" s="3">
        <v>75</v>
      </c>
      <c r="G459" s="4">
        <v>28</v>
      </c>
      <c r="H459" s="4">
        <v>80.599999999999994</v>
      </c>
      <c r="I459" s="6">
        <v>6.0048014690523646</v>
      </c>
      <c r="J459" s="5">
        <v>6.8000000000000005E-2</v>
      </c>
      <c r="K459" s="4">
        <v>23.9</v>
      </c>
      <c r="L459" s="4">
        <v>59.5</v>
      </c>
      <c r="M459" s="6">
        <v>4.7799363445548755</v>
      </c>
      <c r="N459" s="5">
        <v>0.06</v>
      </c>
      <c r="O459" s="5">
        <v>1.2248651244974891</v>
      </c>
      <c r="P459" s="5">
        <v>1.2248651244974891</v>
      </c>
      <c r="Q459" s="8">
        <v>0.20833333333333334</v>
      </c>
      <c r="R459" s="8">
        <v>0.88541666666666663</v>
      </c>
      <c r="S459" s="6">
        <f t="shared" si="21"/>
        <v>16.25</v>
      </c>
      <c r="T459" s="5">
        <f t="shared" si="22"/>
        <v>7.5376315353691631E-2</v>
      </c>
      <c r="U459" s="3">
        <v>2.21</v>
      </c>
      <c r="V459" s="5">
        <f t="shared" si="23"/>
        <v>3.4106930024294858E-2</v>
      </c>
      <c r="W459" s="3">
        <v>3.4106930024294858E-2</v>
      </c>
    </row>
    <row r="460" spans="1:23" x14ac:dyDescent="0.55000000000000004">
      <c r="A460" s="3">
        <v>36</v>
      </c>
      <c r="B460" s="3" t="s">
        <v>52</v>
      </c>
      <c r="C460" s="3" t="s">
        <v>50</v>
      </c>
      <c r="D460" s="3" t="s">
        <v>12</v>
      </c>
      <c r="E460" s="2" t="s">
        <v>14</v>
      </c>
      <c r="F460" s="3">
        <v>10</v>
      </c>
      <c r="G460" s="4">
        <v>21.9</v>
      </c>
      <c r="H460" s="4">
        <v>94.1</v>
      </c>
      <c r="I460" s="6">
        <v>7.8551191709578507</v>
      </c>
      <c r="J460" s="5">
        <v>3.9E-2</v>
      </c>
      <c r="K460" s="4">
        <v>19.8</v>
      </c>
      <c r="L460" s="4">
        <v>76.5</v>
      </c>
      <c r="M460" s="6">
        <v>6.6564353057264976</v>
      </c>
      <c r="N460" s="5">
        <v>3.7999999999999999E-2</v>
      </c>
      <c r="O460" s="5">
        <v>1.1986838652313532</v>
      </c>
      <c r="P460" s="5">
        <v>1.1986838652313532</v>
      </c>
      <c r="Q460" s="8">
        <v>0.20555555555555557</v>
      </c>
      <c r="R460" s="8">
        <v>0.86805555555555547</v>
      </c>
      <c r="S460" s="6">
        <f t="shared" si="21"/>
        <v>15.899999999999997</v>
      </c>
      <c r="T460" s="5">
        <f t="shared" si="22"/>
        <v>7.5388922341594555E-2</v>
      </c>
      <c r="U460" s="3">
        <v>2.21</v>
      </c>
      <c r="V460" s="5">
        <f t="shared" si="23"/>
        <v>3.4112634543707943E-2</v>
      </c>
      <c r="W460" s="3">
        <v>3.4112634543707943E-2</v>
      </c>
    </row>
    <row r="461" spans="1:23" x14ac:dyDescent="0.55000000000000004">
      <c r="A461" s="3">
        <v>18</v>
      </c>
      <c r="B461" s="3" t="s">
        <v>51</v>
      </c>
      <c r="C461" s="3" t="s">
        <v>50</v>
      </c>
      <c r="D461" s="3" t="s">
        <v>9</v>
      </c>
      <c r="E461" s="2" t="s">
        <v>24</v>
      </c>
      <c r="F461" s="3">
        <v>44</v>
      </c>
      <c r="G461" s="4">
        <v>26.5</v>
      </c>
      <c r="H461" s="4">
        <v>124.9</v>
      </c>
      <c r="I461" s="6">
        <v>9.5608192458288741</v>
      </c>
      <c r="J461" s="5">
        <v>7.0000000000000007E-2</v>
      </c>
      <c r="K461" s="4">
        <v>22.4</v>
      </c>
      <c r="L461" s="4">
        <v>100.3</v>
      </c>
      <c r="M461" s="6">
        <v>8.2919173749976025</v>
      </c>
      <c r="N461" s="5">
        <v>5.5E-2</v>
      </c>
      <c r="O461" s="5">
        <v>1.2689018708312716</v>
      </c>
      <c r="P461" s="5">
        <v>1.2689018708312716</v>
      </c>
      <c r="Q461" s="8">
        <v>0.20277777777777781</v>
      </c>
      <c r="R461" s="8">
        <v>0.90277777777777779</v>
      </c>
      <c r="S461" s="6">
        <f t="shared" si="21"/>
        <v>16.799999999999997</v>
      </c>
      <c r="T461" s="5">
        <f t="shared" si="22"/>
        <v>7.5529873263766173E-2</v>
      </c>
      <c r="U461" s="3">
        <v>2.21</v>
      </c>
      <c r="V461" s="5">
        <f t="shared" si="23"/>
        <v>3.4176413241523158E-2</v>
      </c>
      <c r="W461" s="3">
        <v>3.4176413241523158E-2</v>
      </c>
    </row>
    <row r="462" spans="1:23" x14ac:dyDescent="0.55000000000000004">
      <c r="A462" s="3">
        <v>22</v>
      </c>
      <c r="B462" s="3" t="s">
        <v>48</v>
      </c>
      <c r="C462" s="3" t="s">
        <v>49</v>
      </c>
      <c r="D462" s="3" t="s">
        <v>38</v>
      </c>
      <c r="E462" s="2" t="s">
        <v>16</v>
      </c>
      <c r="F462" s="3">
        <v>16</v>
      </c>
      <c r="G462" s="4">
        <v>20.9</v>
      </c>
      <c r="H462" s="4">
        <v>88.1</v>
      </c>
      <c r="I462" s="6">
        <v>7.4997938268370659</v>
      </c>
      <c r="J462" s="5">
        <v>2.9000000000000001E-2</v>
      </c>
      <c r="K462" s="4">
        <v>19.7</v>
      </c>
      <c r="L462" s="4">
        <v>72.3</v>
      </c>
      <c r="M462" s="6">
        <v>6.3036279917905462</v>
      </c>
      <c r="N462" s="5">
        <v>2.9000000000000001E-2</v>
      </c>
      <c r="O462" s="5">
        <v>1.1961658350465196</v>
      </c>
      <c r="P462" s="5">
        <v>1.1961658350465196</v>
      </c>
      <c r="Q462" s="8">
        <v>0.20833333333333334</v>
      </c>
      <c r="R462" s="8">
        <v>0.86805555555555547</v>
      </c>
      <c r="S462" s="6">
        <f t="shared" si="21"/>
        <v>15.83333333333333</v>
      </c>
      <c r="T462" s="5">
        <f t="shared" si="22"/>
        <v>7.5547315897674938E-2</v>
      </c>
      <c r="U462" s="3">
        <v>2.21</v>
      </c>
      <c r="V462" s="5">
        <f t="shared" si="23"/>
        <v>3.4184305836052011E-2</v>
      </c>
      <c r="W462" s="3">
        <v>3.4184305836052011E-2</v>
      </c>
    </row>
    <row r="463" spans="1:23" x14ac:dyDescent="0.55000000000000004">
      <c r="A463" s="3">
        <v>49</v>
      </c>
      <c r="B463" s="3" t="s">
        <v>51</v>
      </c>
      <c r="C463" s="3" t="s">
        <v>49</v>
      </c>
      <c r="D463" s="3" t="s">
        <v>39</v>
      </c>
      <c r="E463" s="2" t="s">
        <v>16</v>
      </c>
      <c r="F463" s="3">
        <v>16</v>
      </c>
      <c r="G463" s="4">
        <v>20.9</v>
      </c>
      <c r="H463" s="4">
        <v>99.5</v>
      </c>
      <c r="I463" s="6">
        <v>8.4702552300827261</v>
      </c>
      <c r="J463" s="5">
        <v>2.8000000000000001E-2</v>
      </c>
      <c r="K463" s="4">
        <v>19.600000000000001</v>
      </c>
      <c r="L463" s="4">
        <v>83.2</v>
      </c>
      <c r="M463" s="6">
        <v>7.2685688643553696</v>
      </c>
      <c r="N463" s="5">
        <v>2.8000000000000001E-2</v>
      </c>
      <c r="O463" s="5">
        <v>1.2016863657273564</v>
      </c>
      <c r="P463" s="5">
        <v>1.2016863657273564</v>
      </c>
      <c r="Q463" s="8">
        <v>0.20833333333333334</v>
      </c>
      <c r="R463" s="8">
        <v>0.86805555555555547</v>
      </c>
      <c r="S463" s="6">
        <f t="shared" si="21"/>
        <v>15.83333333333333</v>
      </c>
      <c r="T463" s="5">
        <f t="shared" si="22"/>
        <v>7.589598099330673E-2</v>
      </c>
      <c r="U463" s="3">
        <v>2.21</v>
      </c>
      <c r="V463" s="5">
        <f t="shared" si="23"/>
        <v>3.4342072847650104E-2</v>
      </c>
      <c r="W463" s="3">
        <v>3.4342072847650104E-2</v>
      </c>
    </row>
    <row r="464" spans="1:23" x14ac:dyDescent="0.55000000000000004">
      <c r="A464" s="3">
        <v>18</v>
      </c>
      <c r="B464" s="3" t="s">
        <v>51</v>
      </c>
      <c r="C464" s="3" t="s">
        <v>50</v>
      </c>
      <c r="D464" s="3" t="s">
        <v>9</v>
      </c>
      <c r="E464" s="2" t="s">
        <v>13</v>
      </c>
      <c r="F464" s="3">
        <v>8</v>
      </c>
      <c r="G464" s="4">
        <v>22</v>
      </c>
      <c r="H464" s="4">
        <v>111.7</v>
      </c>
      <c r="I464" s="6">
        <v>9.3061934777643742</v>
      </c>
      <c r="J464" s="5">
        <v>3.6999999999999998E-2</v>
      </c>
      <c r="K464" s="4">
        <v>19.3</v>
      </c>
      <c r="L464" s="4">
        <v>92.3</v>
      </c>
      <c r="M464" s="6">
        <v>8.112506993203306</v>
      </c>
      <c r="N464" s="5">
        <v>3.4000000000000002E-2</v>
      </c>
      <c r="O464" s="5">
        <v>1.1936864845610682</v>
      </c>
      <c r="P464" s="5">
        <v>1.1936864845610682</v>
      </c>
      <c r="Q464" s="8">
        <v>0.20833333333333334</v>
      </c>
      <c r="R464" s="8">
        <v>0.86319444444444438</v>
      </c>
      <c r="S464" s="6">
        <f t="shared" si="21"/>
        <v>15.716666666666665</v>
      </c>
      <c r="T464" s="5">
        <f t="shared" si="22"/>
        <v>7.5950359569102968E-2</v>
      </c>
      <c r="U464" s="3">
        <v>2.21</v>
      </c>
      <c r="V464" s="5">
        <f t="shared" si="23"/>
        <v>3.4366678538055639E-2</v>
      </c>
      <c r="W464" s="3">
        <v>3.4366678538055639E-2</v>
      </c>
    </row>
    <row r="465" spans="1:23" x14ac:dyDescent="0.55000000000000004">
      <c r="A465" s="3">
        <v>28</v>
      </c>
      <c r="B465" s="3" t="s">
        <v>53</v>
      </c>
      <c r="C465" s="3" t="s">
        <v>50</v>
      </c>
      <c r="D465" s="3" t="s">
        <v>11</v>
      </c>
      <c r="E465" s="2" t="s">
        <v>15</v>
      </c>
      <c r="F465" s="3">
        <v>12</v>
      </c>
      <c r="G465" s="4">
        <v>22.5</v>
      </c>
      <c r="H465" s="4">
        <v>105.9</v>
      </c>
      <c r="I465" s="6">
        <v>8.7379949468171816</v>
      </c>
      <c r="J465" s="5">
        <v>3.7999999999999999E-2</v>
      </c>
      <c r="K465" s="4">
        <v>19.600000000000001</v>
      </c>
      <c r="L465" s="4">
        <v>86.2</v>
      </c>
      <c r="M465" s="6">
        <v>7.530656683983568</v>
      </c>
      <c r="N465" s="5">
        <v>3.5999999999999997E-2</v>
      </c>
      <c r="O465" s="5">
        <v>1.2073382628336136</v>
      </c>
      <c r="P465" s="5">
        <v>1.2073382628336136</v>
      </c>
      <c r="Q465" s="8">
        <v>0.21319444444444444</v>
      </c>
      <c r="R465" s="8">
        <v>0.875</v>
      </c>
      <c r="S465" s="6">
        <f t="shared" si="21"/>
        <v>15.883333333333333</v>
      </c>
      <c r="T465" s="5">
        <f t="shared" si="22"/>
        <v>7.6012902172105781E-2</v>
      </c>
      <c r="U465" s="3">
        <v>2.21</v>
      </c>
      <c r="V465" s="5">
        <f t="shared" si="23"/>
        <v>3.4394978358418912E-2</v>
      </c>
      <c r="W465" s="3">
        <v>3.4394978358418912E-2</v>
      </c>
    </row>
    <row r="466" spans="1:23" x14ac:dyDescent="0.55000000000000004">
      <c r="A466" s="3">
        <v>59</v>
      </c>
      <c r="B466" s="3" t="s">
        <v>52</v>
      </c>
      <c r="C466" s="3" t="s">
        <v>49</v>
      </c>
      <c r="D466" s="3" t="s">
        <v>40</v>
      </c>
      <c r="E466" s="3" t="s">
        <v>33</v>
      </c>
      <c r="F466" s="3">
        <v>75</v>
      </c>
      <c r="G466" s="4">
        <v>28.3</v>
      </c>
      <c r="H466" s="4">
        <v>77.2</v>
      </c>
      <c r="I466" s="6">
        <v>5.720775182150251</v>
      </c>
      <c r="J466" s="5">
        <v>5.6000000000000001E-2</v>
      </c>
      <c r="K466" s="4">
        <v>24.2</v>
      </c>
      <c r="L466" s="4">
        <v>56.1</v>
      </c>
      <c r="M466" s="6">
        <v>4.4813577640275515</v>
      </c>
      <c r="N466" s="5">
        <v>5.0999999999999997E-2</v>
      </c>
      <c r="O466" s="5">
        <v>1.2394174181226996</v>
      </c>
      <c r="P466" s="5">
        <v>1.2394174181226996</v>
      </c>
      <c r="Q466" s="8">
        <v>0.20833333333333334</v>
      </c>
      <c r="R466" s="8">
        <v>0.88541666666666663</v>
      </c>
      <c r="S466" s="6">
        <f t="shared" si="21"/>
        <v>16.25</v>
      </c>
      <c r="T466" s="5">
        <f t="shared" si="22"/>
        <v>7.6271841115243044E-2</v>
      </c>
      <c r="U466" s="3">
        <v>2.21</v>
      </c>
      <c r="V466" s="5">
        <f t="shared" si="23"/>
        <v>3.451214530101495E-2</v>
      </c>
      <c r="W466" s="3">
        <v>3.451214530101495E-2</v>
      </c>
    </row>
    <row r="467" spans="1:23" x14ac:dyDescent="0.55000000000000004">
      <c r="A467" s="3">
        <v>46</v>
      </c>
      <c r="B467" s="3" t="s">
        <v>51</v>
      </c>
      <c r="C467" s="3" t="s">
        <v>49</v>
      </c>
      <c r="D467" s="3" t="s">
        <v>39</v>
      </c>
      <c r="E467" s="2" t="s">
        <v>19</v>
      </c>
      <c r="F467" s="3">
        <v>26</v>
      </c>
      <c r="G467" s="4">
        <v>25.8</v>
      </c>
      <c r="H467" s="4">
        <v>93.8</v>
      </c>
      <c r="I467" s="6">
        <v>7.2729219218389947</v>
      </c>
      <c r="J467" s="5">
        <v>3.5000000000000003E-2</v>
      </c>
      <c r="K467" s="4">
        <v>22.7</v>
      </c>
      <c r="L467" s="4">
        <v>73.400000000000006</v>
      </c>
      <c r="M467" s="6">
        <v>6.0330798386741336</v>
      </c>
      <c r="N467" s="5">
        <v>3.2000000000000001E-2</v>
      </c>
      <c r="O467" s="5">
        <v>1.2398420831648611</v>
      </c>
      <c r="P467" s="5">
        <v>1.2398420831648611</v>
      </c>
      <c r="Q467" s="8">
        <v>0.20833333333333334</v>
      </c>
      <c r="R467" s="8">
        <v>0.88541666666666663</v>
      </c>
      <c r="S467" s="6">
        <f t="shared" si="21"/>
        <v>16.25</v>
      </c>
      <c r="T467" s="5">
        <f t="shared" si="22"/>
        <v>7.6297974348606842E-2</v>
      </c>
      <c r="U467" s="3">
        <v>2.21</v>
      </c>
      <c r="V467" s="5">
        <f t="shared" si="23"/>
        <v>3.4523970293487256E-2</v>
      </c>
      <c r="W467" s="3">
        <v>3.4523970293487256E-2</v>
      </c>
    </row>
    <row r="468" spans="1:23" x14ac:dyDescent="0.55000000000000004">
      <c r="A468" s="3">
        <v>21</v>
      </c>
      <c r="B468" s="3" t="s">
        <v>48</v>
      </c>
      <c r="C468" s="3" t="s">
        <v>49</v>
      </c>
      <c r="D468" s="3" t="s">
        <v>38</v>
      </c>
      <c r="E468" s="3" t="s">
        <v>35</v>
      </c>
      <c r="F468" s="3">
        <v>82</v>
      </c>
      <c r="G468" s="4">
        <v>30.9</v>
      </c>
      <c r="H468" s="4">
        <v>65.900000000000006</v>
      </c>
      <c r="I468" s="6">
        <v>4.6659039428883187</v>
      </c>
      <c r="J468" s="5">
        <v>0.115</v>
      </c>
      <c r="K468" s="4">
        <v>26.8</v>
      </c>
      <c r="L468" s="4">
        <v>45</v>
      </c>
      <c r="M468" s="6">
        <v>3.4258834031319481</v>
      </c>
      <c r="N468" s="5">
        <v>0.108</v>
      </c>
      <c r="O468" s="5">
        <v>1.2400205397563706</v>
      </c>
      <c r="P468" s="5">
        <v>1.2400205397563706</v>
      </c>
      <c r="Q468" s="8">
        <v>0.20833333333333334</v>
      </c>
      <c r="R468" s="8">
        <v>0.88541666666666663</v>
      </c>
      <c r="S468" s="6">
        <f t="shared" si="21"/>
        <v>16.25</v>
      </c>
      <c r="T468" s="5">
        <f t="shared" si="22"/>
        <v>7.6308956292699737E-2</v>
      </c>
      <c r="U468" s="3">
        <v>2.21</v>
      </c>
      <c r="V468" s="5">
        <f t="shared" si="23"/>
        <v>3.452893949895916E-2</v>
      </c>
      <c r="W468" s="3">
        <v>3.452893949895916E-2</v>
      </c>
    </row>
    <row r="469" spans="1:23" x14ac:dyDescent="0.55000000000000004">
      <c r="A469" s="3">
        <v>55</v>
      </c>
      <c r="B469" s="3" t="s">
        <v>52</v>
      </c>
      <c r="C469" s="3" t="s">
        <v>49</v>
      </c>
      <c r="D469" s="3" t="s">
        <v>40</v>
      </c>
      <c r="E469" s="2" t="s">
        <v>16</v>
      </c>
      <c r="F469" s="3">
        <v>16</v>
      </c>
      <c r="G469" s="4">
        <v>21.1</v>
      </c>
      <c r="H469" s="4">
        <v>98.5</v>
      </c>
      <c r="I469" s="6">
        <v>8.3521377221411619</v>
      </c>
      <c r="J469" s="5">
        <v>2.9000000000000001E-2</v>
      </c>
      <c r="K469" s="4">
        <v>19.8</v>
      </c>
      <c r="L469" s="4">
        <v>82.1</v>
      </c>
      <c r="M469" s="6">
        <v>7.1437037725509205</v>
      </c>
      <c r="N469" s="5">
        <v>0.03</v>
      </c>
      <c r="O469" s="5">
        <v>1.2084339495902414</v>
      </c>
      <c r="P469" s="5">
        <v>1.2084339495902414</v>
      </c>
      <c r="Q469" s="8">
        <v>0.20833333333333334</v>
      </c>
      <c r="R469" s="8">
        <v>0.86805555555555547</v>
      </c>
      <c r="S469" s="6">
        <f t="shared" si="21"/>
        <v>15.83333333333333</v>
      </c>
      <c r="T469" s="5">
        <f t="shared" si="22"/>
        <v>7.6322144184646834E-2</v>
      </c>
      <c r="U469" s="3">
        <v>2.21</v>
      </c>
      <c r="V469" s="5">
        <f t="shared" si="23"/>
        <v>3.453490687088092E-2</v>
      </c>
      <c r="W469" s="3">
        <v>3.453490687088092E-2</v>
      </c>
    </row>
    <row r="470" spans="1:23" x14ac:dyDescent="0.55000000000000004">
      <c r="A470" s="3">
        <v>53</v>
      </c>
      <c r="B470" s="3" t="s">
        <v>48</v>
      </c>
      <c r="C470" s="3" t="s">
        <v>49</v>
      </c>
      <c r="D470" s="3" t="s">
        <v>38</v>
      </c>
      <c r="E470" s="3" t="s">
        <v>26</v>
      </c>
      <c r="F470" s="3">
        <v>51</v>
      </c>
      <c r="G470" s="4">
        <v>27.4</v>
      </c>
      <c r="H470" s="4">
        <v>79.7</v>
      </c>
      <c r="I470" s="6">
        <v>6.0020765627356418</v>
      </c>
      <c r="J470" s="5">
        <v>7.6999999999999999E-2</v>
      </c>
      <c r="K470" s="4">
        <v>24.6</v>
      </c>
      <c r="L470" s="4">
        <v>60.3</v>
      </c>
      <c r="M470" s="6">
        <v>4.7808170849352116</v>
      </c>
      <c r="N470" s="5">
        <v>7.2999999999999995E-2</v>
      </c>
      <c r="O470" s="5">
        <v>1.2212594778004302</v>
      </c>
      <c r="P470" s="5">
        <v>1.2212594778004302</v>
      </c>
      <c r="Q470" s="8">
        <v>0.20833333333333334</v>
      </c>
      <c r="R470" s="8">
        <v>0.875</v>
      </c>
      <c r="S470" s="6">
        <f t="shared" si="21"/>
        <v>16</v>
      </c>
      <c r="T470" s="5">
        <f t="shared" si="22"/>
        <v>7.6328717362526888E-2</v>
      </c>
      <c r="U470" s="3">
        <v>2.21</v>
      </c>
      <c r="V470" s="5">
        <f t="shared" si="23"/>
        <v>3.4537881159514429E-2</v>
      </c>
      <c r="W470" s="3">
        <v>3.4537881159514429E-2</v>
      </c>
    </row>
    <row r="471" spans="1:23" x14ac:dyDescent="0.55000000000000004">
      <c r="A471" s="3">
        <v>30</v>
      </c>
      <c r="B471" s="3" t="s">
        <v>52</v>
      </c>
      <c r="C471" s="3" t="s">
        <v>49</v>
      </c>
      <c r="D471" s="3" t="s">
        <v>40</v>
      </c>
      <c r="E471" s="2" t="s">
        <v>17</v>
      </c>
      <c r="F471" s="3">
        <v>19</v>
      </c>
      <c r="G471" s="4">
        <v>22.1</v>
      </c>
      <c r="H471" s="4">
        <v>77.2</v>
      </c>
      <c r="I471" s="6">
        <v>6.4193812720550856</v>
      </c>
      <c r="J471" s="5">
        <v>3.3000000000000002E-2</v>
      </c>
      <c r="K471" s="4">
        <v>17</v>
      </c>
      <c r="L471" s="4">
        <v>56.2</v>
      </c>
      <c r="M471" s="6">
        <v>5.1789368024437081</v>
      </c>
      <c r="N471" s="5">
        <v>0.03</v>
      </c>
      <c r="O471" s="5">
        <v>1.2404444696113774</v>
      </c>
      <c r="P471" s="5">
        <v>1.2404444696113774</v>
      </c>
      <c r="Q471" s="8">
        <v>0.19930555555555554</v>
      </c>
      <c r="R471" s="8">
        <v>0.875</v>
      </c>
      <c r="S471" s="6">
        <f t="shared" si="21"/>
        <v>16.216666666666669</v>
      </c>
      <c r="T471" s="5">
        <f t="shared" si="22"/>
        <v>7.6491950849622445E-2</v>
      </c>
      <c r="U471" s="3">
        <v>2.21</v>
      </c>
      <c r="V471" s="5">
        <f t="shared" si="23"/>
        <v>3.4611742465892513E-2</v>
      </c>
      <c r="W471" s="3">
        <v>3.4611742465892513E-2</v>
      </c>
    </row>
    <row r="472" spans="1:23" x14ac:dyDescent="0.55000000000000004">
      <c r="A472" s="3">
        <v>32</v>
      </c>
      <c r="B472" s="3" t="s">
        <v>53</v>
      </c>
      <c r="C472" s="3" t="s">
        <v>50</v>
      </c>
      <c r="D472" s="3" t="s">
        <v>11</v>
      </c>
      <c r="E472" s="2" t="s">
        <v>17</v>
      </c>
      <c r="F472" s="3">
        <v>19</v>
      </c>
      <c r="G472" s="4">
        <v>21.8</v>
      </c>
      <c r="H472" s="4">
        <v>73.8</v>
      </c>
      <c r="I472" s="6">
        <v>6.1725552730523399</v>
      </c>
      <c r="J472" s="5">
        <v>4.3999999999999997E-2</v>
      </c>
      <c r="K472" s="4">
        <v>16.899999999999999</v>
      </c>
      <c r="L472" s="4">
        <v>53.4</v>
      </c>
      <c r="M472" s="6">
        <v>4.9312359096092209</v>
      </c>
      <c r="N472" s="5">
        <v>4.1000000000000002E-2</v>
      </c>
      <c r="O472" s="5">
        <v>1.241319363443119</v>
      </c>
      <c r="P472" s="5">
        <v>1.241319363443119</v>
      </c>
      <c r="Q472" s="8">
        <v>0.19930555555555554</v>
      </c>
      <c r="R472" s="8">
        <v>0.875</v>
      </c>
      <c r="S472" s="6">
        <f t="shared" si="21"/>
        <v>16.216666666666669</v>
      </c>
      <c r="T472" s="5">
        <f t="shared" si="22"/>
        <v>7.6545901137294065E-2</v>
      </c>
      <c r="U472" s="3">
        <v>2.21</v>
      </c>
      <c r="V472" s="5">
        <f t="shared" si="23"/>
        <v>3.4636154360766544E-2</v>
      </c>
      <c r="W472" s="3">
        <v>3.4636154360766544E-2</v>
      </c>
    </row>
    <row r="473" spans="1:23" x14ac:dyDescent="0.55000000000000004">
      <c r="A473" s="3">
        <v>48</v>
      </c>
      <c r="B473" s="3" t="s">
        <v>52</v>
      </c>
      <c r="C473" s="3" t="s">
        <v>49</v>
      </c>
      <c r="D473" s="3" t="s">
        <v>40</v>
      </c>
      <c r="E473" s="2" t="s">
        <v>25</v>
      </c>
      <c r="F473" s="3">
        <v>47</v>
      </c>
      <c r="G473" s="4">
        <v>28.5</v>
      </c>
      <c r="H473" s="4">
        <v>66.2</v>
      </c>
      <c r="I473" s="6">
        <v>4.8882108184630031</v>
      </c>
      <c r="J473" s="5">
        <v>7.8E-2</v>
      </c>
      <c r="K473" s="4">
        <v>25.3</v>
      </c>
      <c r="L473" s="4">
        <v>46.3</v>
      </c>
      <c r="M473" s="6">
        <v>3.6232689568059042</v>
      </c>
      <c r="N473" s="5">
        <v>7.3999999999999996E-2</v>
      </c>
      <c r="O473" s="5">
        <v>1.2649418616570989</v>
      </c>
      <c r="P473" s="5">
        <v>1.2649418616570989</v>
      </c>
      <c r="Q473" s="8">
        <v>0.20833333333333334</v>
      </c>
      <c r="R473" s="8">
        <v>0.89583333333333337</v>
      </c>
      <c r="S473" s="6">
        <f t="shared" si="21"/>
        <v>16.5</v>
      </c>
      <c r="T473" s="5">
        <f t="shared" si="22"/>
        <v>7.6663143130733261E-2</v>
      </c>
      <c r="U473" s="3">
        <v>2.21</v>
      </c>
      <c r="V473" s="5">
        <f t="shared" si="23"/>
        <v>3.468920503653089E-2</v>
      </c>
      <c r="W473" s="3">
        <v>3.468920503653089E-2</v>
      </c>
    </row>
    <row r="474" spans="1:23" x14ac:dyDescent="0.55000000000000004">
      <c r="A474" s="3">
        <v>18</v>
      </c>
      <c r="B474" s="3" t="s">
        <v>51</v>
      </c>
      <c r="C474" s="3" t="s">
        <v>50</v>
      </c>
      <c r="D474" s="3" t="s">
        <v>9</v>
      </c>
      <c r="E474" s="2" t="s">
        <v>14</v>
      </c>
      <c r="F474" s="3">
        <v>10</v>
      </c>
      <c r="G474" s="4">
        <v>22.3</v>
      </c>
      <c r="H474" s="4">
        <v>99.8</v>
      </c>
      <c r="I474" s="6">
        <v>8.266543965450472</v>
      </c>
      <c r="J474" s="5">
        <v>3.5999999999999997E-2</v>
      </c>
      <c r="K474" s="4">
        <v>20</v>
      </c>
      <c r="L474" s="4">
        <v>81.3</v>
      </c>
      <c r="M474" s="6">
        <v>7.0458068827153113</v>
      </c>
      <c r="N474" s="5">
        <v>3.5000000000000003E-2</v>
      </c>
      <c r="O474" s="5">
        <v>1.2207370827351607</v>
      </c>
      <c r="P474" s="5">
        <v>1.2207370827351607</v>
      </c>
      <c r="Q474" s="8">
        <v>0.20555555555555557</v>
      </c>
      <c r="R474" s="8">
        <v>0.86805555555555547</v>
      </c>
      <c r="S474" s="6">
        <f t="shared" si="21"/>
        <v>15.899999999999997</v>
      </c>
      <c r="T474" s="5">
        <f t="shared" si="22"/>
        <v>7.677591715315478E-2</v>
      </c>
      <c r="U474" s="3">
        <v>2.21</v>
      </c>
      <c r="V474" s="5">
        <f t="shared" si="23"/>
        <v>3.4740234005952386E-2</v>
      </c>
      <c r="W474" s="3">
        <v>3.4740234005952386E-2</v>
      </c>
    </row>
    <row r="475" spans="1:23" x14ac:dyDescent="0.55000000000000004">
      <c r="A475" s="3">
        <v>21</v>
      </c>
      <c r="B475" s="3" t="s">
        <v>48</v>
      </c>
      <c r="C475" s="3" t="s">
        <v>49</v>
      </c>
      <c r="D475" s="3" t="s">
        <v>38</v>
      </c>
      <c r="E475" s="2" t="s">
        <v>14</v>
      </c>
      <c r="F475" s="3">
        <v>10</v>
      </c>
      <c r="G475" s="4">
        <v>22.3</v>
      </c>
      <c r="H475" s="4">
        <v>93</v>
      </c>
      <c r="I475" s="6">
        <v>7.7032924728145682</v>
      </c>
      <c r="J475" s="5">
        <v>2.5000000000000001E-2</v>
      </c>
      <c r="K475" s="4">
        <v>19.8</v>
      </c>
      <c r="L475" s="4">
        <v>74.5</v>
      </c>
      <c r="M475" s="6">
        <v>6.4824108532892035</v>
      </c>
      <c r="N475" s="5">
        <v>2.5000000000000001E-2</v>
      </c>
      <c r="O475" s="5">
        <v>1.2208816195253647</v>
      </c>
      <c r="P475" s="5">
        <v>1.2208816195253647</v>
      </c>
      <c r="Q475" s="8">
        <v>0.20555555555555557</v>
      </c>
      <c r="R475" s="8">
        <v>0.86805555555555547</v>
      </c>
      <c r="S475" s="6">
        <f t="shared" si="21"/>
        <v>15.899999999999997</v>
      </c>
      <c r="T475" s="5">
        <f t="shared" si="22"/>
        <v>7.6785007517318551E-2</v>
      </c>
      <c r="U475" s="3">
        <v>2.21</v>
      </c>
      <c r="V475" s="5">
        <f t="shared" si="23"/>
        <v>3.4744347292904321E-2</v>
      </c>
      <c r="W475" s="3">
        <v>3.4744347292904321E-2</v>
      </c>
    </row>
    <row r="476" spans="1:23" x14ac:dyDescent="0.55000000000000004">
      <c r="A476" s="3">
        <v>46</v>
      </c>
      <c r="B476" s="3" t="s">
        <v>51</v>
      </c>
      <c r="C476" s="3" t="s">
        <v>49</v>
      </c>
      <c r="D476" s="3" t="s">
        <v>39</v>
      </c>
      <c r="E476" s="2" t="s">
        <v>20</v>
      </c>
      <c r="F476" s="3">
        <v>30</v>
      </c>
      <c r="G476" s="4">
        <v>27.2</v>
      </c>
      <c r="H476" s="4">
        <v>86.3</v>
      </c>
      <c r="I476" s="6">
        <v>6.5226206067743284</v>
      </c>
      <c r="J476" s="5">
        <v>0.04</v>
      </c>
      <c r="K476" s="4">
        <v>23.7</v>
      </c>
      <c r="L476" s="4">
        <v>65.400000000000006</v>
      </c>
      <c r="M476" s="6">
        <v>5.2738474031000964</v>
      </c>
      <c r="N476" s="5">
        <v>3.6999999999999998E-2</v>
      </c>
      <c r="O476" s="5">
        <v>1.2487732036742321</v>
      </c>
      <c r="P476" s="5">
        <v>1.2487732036742321</v>
      </c>
      <c r="Q476" s="8">
        <v>0.20833333333333334</v>
      </c>
      <c r="R476" s="8">
        <v>0.88541666666666663</v>
      </c>
      <c r="S476" s="6">
        <f t="shared" si="21"/>
        <v>16.25</v>
      </c>
      <c r="T476" s="5">
        <f t="shared" si="22"/>
        <v>7.6847581764568129E-2</v>
      </c>
      <c r="U476" s="3">
        <v>2.21</v>
      </c>
      <c r="V476" s="5">
        <f t="shared" si="23"/>
        <v>3.4772661431931279E-2</v>
      </c>
      <c r="W476" s="3">
        <v>3.4772661431931279E-2</v>
      </c>
    </row>
    <row r="477" spans="1:23" x14ac:dyDescent="0.55000000000000004">
      <c r="A477" s="3">
        <v>4</v>
      </c>
      <c r="B477" s="3" t="s">
        <v>48</v>
      </c>
      <c r="C477" s="3" t="s">
        <v>49</v>
      </c>
      <c r="D477" s="3" t="s">
        <v>38</v>
      </c>
      <c r="E477" s="2" t="s">
        <v>25</v>
      </c>
      <c r="F477" s="3">
        <v>47</v>
      </c>
      <c r="G477" s="4">
        <v>28.2</v>
      </c>
      <c r="H477" s="4">
        <v>69.099999999999994</v>
      </c>
      <c r="I477" s="6">
        <v>5.1296762902877662</v>
      </c>
      <c r="J477" s="5">
        <v>7.5999999999999998E-2</v>
      </c>
      <c r="K477" s="4">
        <v>24.7</v>
      </c>
      <c r="L477" s="4">
        <v>48.7</v>
      </c>
      <c r="M477" s="6">
        <v>3.8539059446566188</v>
      </c>
      <c r="N477" s="5">
        <v>7.0999999999999994E-2</v>
      </c>
      <c r="O477" s="5">
        <v>1.2757703456311473</v>
      </c>
      <c r="P477" s="5">
        <v>1.2757703456311473</v>
      </c>
      <c r="Q477" s="8">
        <v>0.20833333333333334</v>
      </c>
      <c r="R477" s="8">
        <v>0.89583333333333337</v>
      </c>
      <c r="S477" s="6">
        <f t="shared" si="21"/>
        <v>16.5</v>
      </c>
      <c r="T477" s="5">
        <f t="shared" si="22"/>
        <v>7.7319414886736201E-2</v>
      </c>
      <c r="U477" s="3">
        <v>2.21</v>
      </c>
      <c r="V477" s="5">
        <f t="shared" si="23"/>
        <v>3.4986160582233576E-2</v>
      </c>
      <c r="W477" s="3">
        <v>3.4986160582233576E-2</v>
      </c>
    </row>
    <row r="478" spans="1:23" x14ac:dyDescent="0.55000000000000004">
      <c r="A478" s="3">
        <v>40</v>
      </c>
      <c r="B478" s="3" t="s">
        <v>48</v>
      </c>
      <c r="C478" s="3" t="s">
        <v>50</v>
      </c>
      <c r="D478" s="3" t="s">
        <v>10</v>
      </c>
      <c r="E478" s="2" t="s">
        <v>13</v>
      </c>
      <c r="F478" s="3">
        <v>8</v>
      </c>
      <c r="G478" s="4">
        <v>22</v>
      </c>
      <c r="H478" s="4">
        <v>115.9</v>
      </c>
      <c r="I478" s="6">
        <v>9.6561130176624097</v>
      </c>
      <c r="J478" s="5">
        <v>3.5000000000000003E-2</v>
      </c>
      <c r="K478" s="4">
        <v>19.2</v>
      </c>
      <c r="L478" s="4">
        <v>95.8</v>
      </c>
      <c r="M478" s="6">
        <v>8.44</v>
      </c>
      <c r="N478" s="5">
        <v>3.3000000000000002E-2</v>
      </c>
      <c r="O478" s="5">
        <v>1.2161130176624102</v>
      </c>
      <c r="P478" s="5">
        <v>1.2161130176624102</v>
      </c>
      <c r="Q478" s="8">
        <v>0.20833333333333334</v>
      </c>
      <c r="R478" s="8">
        <v>0.86319444444444438</v>
      </c>
      <c r="S478" s="6">
        <f t="shared" si="21"/>
        <v>15.716666666666665</v>
      </c>
      <c r="T478" s="5">
        <f t="shared" si="22"/>
        <v>7.7377286383610411E-2</v>
      </c>
      <c r="U478" s="3">
        <v>2.21</v>
      </c>
      <c r="V478" s="5">
        <f t="shared" si="23"/>
        <v>3.5012346779914216E-2</v>
      </c>
      <c r="W478" s="3">
        <v>3.5012346779914216E-2</v>
      </c>
    </row>
    <row r="479" spans="1:23" x14ac:dyDescent="0.55000000000000004">
      <c r="A479" s="3">
        <v>34</v>
      </c>
      <c r="B479" s="3" t="s">
        <v>48</v>
      </c>
      <c r="C479" s="3" t="s">
        <v>50</v>
      </c>
      <c r="D479" s="3" t="s">
        <v>10</v>
      </c>
      <c r="E479" s="2" t="s">
        <v>17</v>
      </c>
      <c r="F479" s="3">
        <v>19</v>
      </c>
      <c r="G479" s="4">
        <v>22</v>
      </c>
      <c r="H479" s="4">
        <v>71.900000000000006</v>
      </c>
      <c r="I479" s="6">
        <v>5.9902892663496745</v>
      </c>
      <c r="J479" s="5">
        <v>4.8000000000000001E-2</v>
      </c>
      <c r="K479" s="4">
        <v>17.2</v>
      </c>
      <c r="L479" s="4">
        <v>51.6</v>
      </c>
      <c r="M479" s="6">
        <v>4.7351944344188279</v>
      </c>
      <c r="N479" s="5">
        <v>4.2999999999999997E-2</v>
      </c>
      <c r="O479" s="5">
        <v>1.2550948319308466</v>
      </c>
      <c r="P479" s="5">
        <v>1.2550948319308466</v>
      </c>
      <c r="Q479" s="8">
        <v>0.19930555555555554</v>
      </c>
      <c r="R479" s="8">
        <v>0.875</v>
      </c>
      <c r="S479" s="6">
        <f t="shared" si="21"/>
        <v>16.216666666666669</v>
      </c>
      <c r="T479" s="5">
        <f t="shared" si="22"/>
        <v>7.7395364764492075E-2</v>
      </c>
      <c r="U479" s="3">
        <v>2.21</v>
      </c>
      <c r="V479" s="5">
        <f t="shared" si="23"/>
        <v>3.5020527042756593E-2</v>
      </c>
      <c r="W479" s="3">
        <v>3.5020527042756593E-2</v>
      </c>
    </row>
    <row r="480" spans="1:23" x14ac:dyDescent="0.55000000000000004">
      <c r="A480" s="3">
        <v>6</v>
      </c>
      <c r="B480" s="3" t="s">
        <v>51</v>
      </c>
      <c r="C480" s="3" t="s">
        <v>49</v>
      </c>
      <c r="D480" s="3" t="s">
        <v>39</v>
      </c>
      <c r="E480" s="2" t="s">
        <v>16</v>
      </c>
      <c r="F480" s="3">
        <v>16</v>
      </c>
      <c r="G480" s="4">
        <v>20.7</v>
      </c>
      <c r="H480" s="4">
        <v>96.7</v>
      </c>
      <c r="I480" s="6">
        <v>8.264506502496765</v>
      </c>
      <c r="J480" s="5">
        <v>2.5999999999999999E-2</v>
      </c>
      <c r="K480" s="4">
        <v>19.5</v>
      </c>
      <c r="L480" s="4">
        <v>80.400000000000006</v>
      </c>
      <c r="M480" s="6">
        <v>7.038113209829735</v>
      </c>
      <c r="N480" s="5">
        <v>2.7E-2</v>
      </c>
      <c r="O480" s="5">
        <v>1.22639329266703</v>
      </c>
      <c r="P480" s="5">
        <v>1.22639329266703</v>
      </c>
      <c r="Q480" s="8">
        <v>0.20833333333333334</v>
      </c>
      <c r="R480" s="8">
        <v>0.86805555555555547</v>
      </c>
      <c r="S480" s="6">
        <f t="shared" si="21"/>
        <v>15.83333333333333</v>
      </c>
      <c r="T480" s="5">
        <f t="shared" si="22"/>
        <v>7.7456418484233486E-2</v>
      </c>
      <c r="U480" s="3">
        <v>2.21</v>
      </c>
      <c r="V480" s="5">
        <f t="shared" si="23"/>
        <v>3.5048153160286651E-2</v>
      </c>
      <c r="W480" s="3">
        <v>3.5048153160286651E-2</v>
      </c>
    </row>
    <row r="481" spans="1:23" x14ac:dyDescent="0.55000000000000004">
      <c r="A481" s="3">
        <v>49</v>
      </c>
      <c r="B481" s="3" t="s">
        <v>51</v>
      </c>
      <c r="C481" s="3" t="s">
        <v>49</v>
      </c>
      <c r="D481" s="3" t="s">
        <v>39</v>
      </c>
      <c r="E481" s="2" t="s">
        <v>24</v>
      </c>
      <c r="F481" s="3">
        <v>44</v>
      </c>
      <c r="G481" s="4">
        <v>25.9</v>
      </c>
      <c r="H481" s="4">
        <v>102.6</v>
      </c>
      <c r="I481" s="6">
        <v>7.9406127386551164</v>
      </c>
      <c r="J481" s="5">
        <v>5.5E-2</v>
      </c>
      <c r="K481" s="4">
        <v>21.3</v>
      </c>
      <c r="L481" s="4">
        <v>78.599999999999994</v>
      </c>
      <c r="M481" s="6">
        <v>6.6386071203092136</v>
      </c>
      <c r="N481" s="5">
        <v>4.9000000000000002E-2</v>
      </c>
      <c r="O481" s="5">
        <v>1.3020056183459028</v>
      </c>
      <c r="P481" s="5">
        <v>1.3020056183459028</v>
      </c>
      <c r="Q481" s="8">
        <v>0.20277777777777781</v>
      </c>
      <c r="R481" s="8">
        <v>0.90277777777777779</v>
      </c>
      <c r="S481" s="6">
        <f t="shared" si="21"/>
        <v>16.799999999999997</v>
      </c>
      <c r="T481" s="5">
        <f t="shared" si="22"/>
        <v>7.7500334425351369E-2</v>
      </c>
      <c r="U481" s="3">
        <v>2.21</v>
      </c>
      <c r="V481" s="5">
        <f t="shared" si="23"/>
        <v>3.506802462685582E-2</v>
      </c>
      <c r="W481" s="3">
        <v>3.506802462685582E-2</v>
      </c>
    </row>
    <row r="482" spans="1:23" x14ac:dyDescent="0.55000000000000004">
      <c r="A482" s="3">
        <v>35</v>
      </c>
      <c r="B482" s="3" t="s">
        <v>51</v>
      </c>
      <c r="C482" s="3" t="s">
        <v>50</v>
      </c>
      <c r="D482" s="3" t="s">
        <v>9</v>
      </c>
      <c r="E482" s="2" t="s">
        <v>14</v>
      </c>
      <c r="F482" s="3">
        <v>10</v>
      </c>
      <c r="G482" s="4">
        <v>22.1</v>
      </c>
      <c r="H482" s="4">
        <v>106.1</v>
      </c>
      <c r="I482" s="6">
        <v>8.8224916187181925</v>
      </c>
      <c r="J482" s="5">
        <v>3.4000000000000002E-2</v>
      </c>
      <c r="K482" s="4">
        <v>19.899999999999999</v>
      </c>
      <c r="L482" s="4">
        <v>87.4</v>
      </c>
      <c r="M482" s="6">
        <v>7.5896372346856582</v>
      </c>
      <c r="N482" s="5">
        <v>3.2000000000000001E-2</v>
      </c>
      <c r="O482" s="5">
        <v>1.2328543840325343</v>
      </c>
      <c r="P482" s="5">
        <v>1.2328543840325343</v>
      </c>
      <c r="Q482" s="8">
        <v>0.20555555555555557</v>
      </c>
      <c r="R482" s="8">
        <v>0.86805555555555547</v>
      </c>
      <c r="S482" s="6">
        <f t="shared" si="21"/>
        <v>15.899999999999997</v>
      </c>
      <c r="T482" s="5">
        <f t="shared" si="22"/>
        <v>7.7538011574373247E-2</v>
      </c>
      <c r="U482" s="3">
        <v>2.21</v>
      </c>
      <c r="V482" s="5">
        <f t="shared" si="23"/>
        <v>3.5085073110576126E-2</v>
      </c>
      <c r="W482" s="3">
        <v>3.5085073110576126E-2</v>
      </c>
    </row>
    <row r="483" spans="1:23" x14ac:dyDescent="0.55000000000000004">
      <c r="A483" s="3">
        <v>53</v>
      </c>
      <c r="B483" s="3" t="s">
        <v>48</v>
      </c>
      <c r="C483" s="3" t="s">
        <v>49</v>
      </c>
      <c r="D483" s="3" t="s">
        <v>38</v>
      </c>
      <c r="E483" s="2" t="s">
        <v>19</v>
      </c>
      <c r="F483" s="3">
        <v>26</v>
      </c>
      <c r="G483" s="4">
        <v>27.1</v>
      </c>
      <c r="H483" s="4">
        <v>93.6</v>
      </c>
      <c r="I483" s="6">
        <v>7.0871689759098873</v>
      </c>
      <c r="J483" s="5">
        <v>3.6999999999999998E-2</v>
      </c>
      <c r="K483" s="4">
        <v>23</v>
      </c>
      <c r="L483" s="4">
        <v>71.3</v>
      </c>
      <c r="M483" s="6">
        <v>5.8268285689811501</v>
      </c>
      <c r="N483" s="5">
        <v>3.5999999999999997E-2</v>
      </c>
      <c r="O483" s="5">
        <v>1.2603404069287372</v>
      </c>
      <c r="P483" s="5">
        <v>1.2603404069287372</v>
      </c>
      <c r="Q483" s="8">
        <v>0.20833333333333334</v>
      </c>
      <c r="R483" s="8">
        <v>0.88541666666666663</v>
      </c>
      <c r="S483" s="6">
        <f t="shared" si="21"/>
        <v>16.25</v>
      </c>
      <c r="T483" s="5">
        <f t="shared" si="22"/>
        <v>7.755940965715305E-2</v>
      </c>
      <c r="U483" s="3">
        <v>2.21</v>
      </c>
      <c r="V483" s="5">
        <f t="shared" si="23"/>
        <v>3.5094755500974233E-2</v>
      </c>
      <c r="W483" s="3">
        <v>3.5094755500974233E-2</v>
      </c>
    </row>
    <row r="484" spans="1:23" x14ac:dyDescent="0.55000000000000004">
      <c r="A484" s="3">
        <v>63</v>
      </c>
      <c r="B484" s="3" t="s">
        <v>51</v>
      </c>
      <c r="C484" s="3" t="s">
        <v>49</v>
      </c>
      <c r="D484" s="3" t="s">
        <v>39</v>
      </c>
      <c r="E484" s="3" t="s">
        <v>27</v>
      </c>
      <c r="F484" s="3">
        <v>54</v>
      </c>
      <c r="G484" s="4">
        <v>28.3</v>
      </c>
      <c r="H484" s="4">
        <v>93.8</v>
      </c>
      <c r="I484" s="6">
        <v>6.9508900529234907</v>
      </c>
      <c r="J484" s="5">
        <v>4.9000000000000002E-2</v>
      </c>
      <c r="K484" s="4">
        <v>25.1</v>
      </c>
      <c r="L484" s="4">
        <v>72.2</v>
      </c>
      <c r="M484" s="6">
        <v>5.6711333938132631</v>
      </c>
      <c r="N484" s="5">
        <v>0.05</v>
      </c>
      <c r="O484" s="5">
        <v>1.2797566591102276</v>
      </c>
      <c r="P484" s="5">
        <v>1.2797566591102276</v>
      </c>
      <c r="Q484" s="8">
        <v>0.20833333333333334</v>
      </c>
      <c r="R484" s="8">
        <v>0.89583333333333337</v>
      </c>
      <c r="S484" s="6">
        <f t="shared" si="21"/>
        <v>16.5</v>
      </c>
      <c r="T484" s="5">
        <f t="shared" si="22"/>
        <v>7.7561009643044104E-2</v>
      </c>
      <c r="U484" s="3">
        <v>2.21</v>
      </c>
      <c r="V484" s="5">
        <f t="shared" si="23"/>
        <v>3.509547947649054E-2</v>
      </c>
      <c r="W484" s="3">
        <v>3.509547947649054E-2</v>
      </c>
    </row>
    <row r="485" spans="1:23" x14ac:dyDescent="0.55000000000000004">
      <c r="A485" s="3">
        <v>27</v>
      </c>
      <c r="B485" s="3" t="s">
        <v>48</v>
      </c>
      <c r="C485" s="3" t="s">
        <v>50</v>
      </c>
      <c r="D485" s="3" t="s">
        <v>10</v>
      </c>
      <c r="E485" s="3" t="s">
        <v>33</v>
      </c>
      <c r="F485" s="3">
        <v>75</v>
      </c>
      <c r="G485" s="4">
        <v>27.9</v>
      </c>
      <c r="H485" s="4">
        <v>70.099999999999994</v>
      </c>
      <c r="I485" s="6">
        <v>5.2318948006071286</v>
      </c>
      <c r="J485" s="5">
        <v>7.0999999999999994E-2</v>
      </c>
      <c r="K485" s="4">
        <v>23.9</v>
      </c>
      <c r="L485" s="4">
        <v>49.4</v>
      </c>
      <c r="M485" s="6">
        <v>3.9685521919497622</v>
      </c>
      <c r="N485" s="5">
        <v>6.8000000000000005E-2</v>
      </c>
      <c r="O485" s="5">
        <v>1.2633426086573665</v>
      </c>
      <c r="P485" s="5">
        <v>1.2633426086573665</v>
      </c>
      <c r="Q485" s="8">
        <v>0.20833333333333334</v>
      </c>
      <c r="R485" s="8">
        <v>0.88541666666666663</v>
      </c>
      <c r="S485" s="6">
        <f t="shared" si="21"/>
        <v>16.25</v>
      </c>
      <c r="T485" s="5">
        <f t="shared" si="22"/>
        <v>7.7744160532761009E-2</v>
      </c>
      <c r="U485" s="3">
        <v>2.21</v>
      </c>
      <c r="V485" s="5">
        <f t="shared" si="23"/>
        <v>3.5178353182244798E-2</v>
      </c>
      <c r="W485" s="3">
        <v>3.5178353182244798E-2</v>
      </c>
    </row>
    <row r="486" spans="1:23" x14ac:dyDescent="0.55000000000000004">
      <c r="A486" s="3">
        <v>17</v>
      </c>
      <c r="B486" s="3" t="s">
        <v>52</v>
      </c>
      <c r="C486" s="3" t="s">
        <v>50</v>
      </c>
      <c r="D486" s="3" t="s">
        <v>12</v>
      </c>
      <c r="E486" s="2" t="s">
        <v>25</v>
      </c>
      <c r="F486" s="3">
        <v>47</v>
      </c>
      <c r="G486" s="4">
        <v>28.4</v>
      </c>
      <c r="H486" s="4">
        <v>66.599999999999994</v>
      </c>
      <c r="I486" s="6">
        <v>4.9264999890514432</v>
      </c>
      <c r="J486" s="5">
        <v>7.9000000000000001E-2</v>
      </c>
      <c r="K486" s="4">
        <v>25</v>
      </c>
      <c r="L486" s="4">
        <v>46.3</v>
      </c>
      <c r="M486" s="6">
        <v>3.6435258706034284</v>
      </c>
      <c r="N486" s="5">
        <v>7.2999999999999995E-2</v>
      </c>
      <c r="O486" s="5">
        <v>1.2829741184480148</v>
      </c>
      <c r="P486" s="5">
        <v>1.2829741184480148</v>
      </c>
      <c r="Q486" s="8">
        <v>0.20833333333333334</v>
      </c>
      <c r="R486" s="8">
        <v>0.89583333333333337</v>
      </c>
      <c r="S486" s="6">
        <f t="shared" si="21"/>
        <v>16.5</v>
      </c>
      <c r="T486" s="5">
        <f t="shared" si="22"/>
        <v>7.7756007178667569E-2</v>
      </c>
      <c r="U486" s="3">
        <v>2.21</v>
      </c>
      <c r="V486" s="5">
        <f t="shared" si="23"/>
        <v>3.5183713655505683E-2</v>
      </c>
      <c r="W486" s="3">
        <v>3.5183713655505683E-2</v>
      </c>
    </row>
    <row r="487" spans="1:23" x14ac:dyDescent="0.55000000000000004">
      <c r="A487" s="3">
        <v>38</v>
      </c>
      <c r="B487" s="3" t="s">
        <v>51</v>
      </c>
      <c r="C487" s="3" t="s">
        <v>49</v>
      </c>
      <c r="D487" s="3" t="s">
        <v>39</v>
      </c>
      <c r="E487" s="2" t="s">
        <v>16</v>
      </c>
      <c r="F487" s="3">
        <v>16</v>
      </c>
      <c r="G487" s="4">
        <v>20.9</v>
      </c>
      <c r="H487" s="4">
        <v>96.3</v>
      </c>
      <c r="I487" s="6">
        <v>8.1978450116278037</v>
      </c>
      <c r="J487" s="5">
        <v>2.5000000000000001E-2</v>
      </c>
      <c r="K487" s="4">
        <v>19.7</v>
      </c>
      <c r="L487" s="4">
        <v>79.900000000000006</v>
      </c>
      <c r="M487" s="6">
        <v>6.9662500213563581</v>
      </c>
      <c r="N487" s="5">
        <v>2.7E-2</v>
      </c>
      <c r="O487" s="5">
        <v>1.2315949902714456</v>
      </c>
      <c r="P487" s="5">
        <v>1.2315949902714456</v>
      </c>
      <c r="Q487" s="8">
        <v>0.20833333333333334</v>
      </c>
      <c r="R487" s="8">
        <v>0.86805555555555547</v>
      </c>
      <c r="S487" s="6">
        <f t="shared" si="21"/>
        <v>15.83333333333333</v>
      </c>
      <c r="T487" s="5">
        <f t="shared" si="22"/>
        <v>7.7784946753986048E-2</v>
      </c>
      <c r="U487" s="3">
        <v>2.21</v>
      </c>
      <c r="V487" s="5">
        <f t="shared" si="23"/>
        <v>3.5196808485966541E-2</v>
      </c>
      <c r="W487" s="3">
        <v>3.5196808485966541E-2</v>
      </c>
    </row>
    <row r="488" spans="1:23" x14ac:dyDescent="0.55000000000000004">
      <c r="A488" s="3">
        <v>8</v>
      </c>
      <c r="B488" s="3" t="s">
        <v>51</v>
      </c>
      <c r="C488" s="3" t="s">
        <v>50</v>
      </c>
      <c r="D488" s="3" t="s">
        <v>9</v>
      </c>
      <c r="E488" s="2" t="s">
        <v>17</v>
      </c>
      <c r="F488" s="3">
        <v>19</v>
      </c>
      <c r="G488" s="4">
        <v>22.1</v>
      </c>
      <c r="H488" s="4">
        <v>85.4</v>
      </c>
      <c r="I488" s="6">
        <v>7.1012326506930608</v>
      </c>
      <c r="J488" s="5">
        <v>3.5000000000000003E-2</v>
      </c>
      <c r="K488" s="4">
        <v>17</v>
      </c>
      <c r="L488" s="4">
        <v>63.37</v>
      </c>
      <c r="M488" s="6">
        <v>5.8396659283070775</v>
      </c>
      <c r="N488" s="5">
        <v>3.2000000000000001E-2</v>
      </c>
      <c r="O488" s="5">
        <v>1.2615667223859832</v>
      </c>
      <c r="P488" s="5">
        <v>1.2615667223859832</v>
      </c>
      <c r="Q488" s="8">
        <v>0.19930555555555554</v>
      </c>
      <c r="R488" s="8">
        <v>0.875</v>
      </c>
      <c r="S488" s="6">
        <f t="shared" si="21"/>
        <v>16.216666666666669</v>
      </c>
      <c r="T488" s="5">
        <f t="shared" si="22"/>
        <v>7.7794453590091447E-2</v>
      </c>
      <c r="U488" s="3">
        <v>2.21</v>
      </c>
      <c r="V488" s="5">
        <f t="shared" si="23"/>
        <v>3.520111022176084E-2</v>
      </c>
      <c r="W488" s="3">
        <v>3.520111022176084E-2</v>
      </c>
    </row>
    <row r="489" spans="1:23" x14ac:dyDescent="0.55000000000000004">
      <c r="A489" s="3">
        <v>3</v>
      </c>
      <c r="B489" s="3" t="s">
        <v>51</v>
      </c>
      <c r="C489" s="3" t="s">
        <v>50</v>
      </c>
      <c r="D489" s="3" t="s">
        <v>9</v>
      </c>
      <c r="E489" s="2" t="s">
        <v>17</v>
      </c>
      <c r="F489" s="3">
        <v>19</v>
      </c>
      <c r="G489" s="4">
        <v>22.1</v>
      </c>
      <c r="H489" s="4">
        <v>93.7</v>
      </c>
      <c r="I489" s="6">
        <v>7.7913992900461322</v>
      </c>
      <c r="J489" s="5">
        <v>4.4999999999999998E-2</v>
      </c>
      <c r="K489" s="4">
        <v>17.100000000000001</v>
      </c>
      <c r="L489" s="4">
        <v>71</v>
      </c>
      <c r="M489" s="6">
        <v>6.5291078663240372</v>
      </c>
      <c r="N489" s="5">
        <v>4.2000000000000003E-2</v>
      </c>
      <c r="O489" s="5">
        <v>1.262291423722095</v>
      </c>
      <c r="P489" s="5">
        <v>1.262291423722095</v>
      </c>
      <c r="Q489" s="8">
        <v>0.19930555555555554</v>
      </c>
      <c r="R489" s="8">
        <v>0.875</v>
      </c>
      <c r="S489" s="6">
        <f t="shared" si="21"/>
        <v>16.216666666666669</v>
      </c>
      <c r="T489" s="5">
        <f t="shared" si="22"/>
        <v>7.7839142264466282E-2</v>
      </c>
      <c r="U489" s="3">
        <v>2.21</v>
      </c>
      <c r="V489" s="5">
        <f t="shared" si="23"/>
        <v>3.5221331341387462E-2</v>
      </c>
      <c r="W489" s="3">
        <v>3.5221331341387462E-2</v>
      </c>
    </row>
    <row r="490" spans="1:23" x14ac:dyDescent="0.55000000000000004">
      <c r="A490" s="3">
        <v>7</v>
      </c>
      <c r="B490" s="3" t="s">
        <v>53</v>
      </c>
      <c r="C490" s="3" t="s">
        <v>49</v>
      </c>
      <c r="D490" s="3" t="s">
        <v>41</v>
      </c>
      <c r="E490" s="2" t="s">
        <v>16</v>
      </c>
      <c r="F490" s="3">
        <v>16</v>
      </c>
      <c r="G490" s="4">
        <v>20.7</v>
      </c>
      <c r="H490" s="4">
        <v>89.2</v>
      </c>
      <c r="I490" s="6">
        <v>7.6235158223651647</v>
      </c>
      <c r="J490" s="5">
        <v>3.3000000000000002E-2</v>
      </c>
      <c r="K490" s="4">
        <v>19.5</v>
      </c>
      <c r="L490" s="4">
        <v>73</v>
      </c>
      <c r="M490" s="6">
        <v>6.3903266706165507</v>
      </c>
      <c r="N490" s="5">
        <v>3.3000000000000002E-2</v>
      </c>
      <c r="O490" s="5">
        <v>1.233189151748614</v>
      </c>
      <c r="P490" s="5">
        <v>1.233189151748614</v>
      </c>
      <c r="Q490" s="8">
        <v>0.20833333333333334</v>
      </c>
      <c r="R490" s="8">
        <v>0.86805555555555547</v>
      </c>
      <c r="S490" s="6">
        <f t="shared" si="21"/>
        <v>15.83333333333333</v>
      </c>
      <c r="T490" s="5">
        <f t="shared" si="22"/>
        <v>7.7885630636754577E-2</v>
      </c>
      <c r="U490" s="3">
        <v>2.21</v>
      </c>
      <c r="V490" s="5">
        <f t="shared" si="23"/>
        <v>3.5242366803961346E-2</v>
      </c>
      <c r="W490" s="3">
        <v>3.5242366803961346E-2</v>
      </c>
    </row>
    <row r="491" spans="1:23" x14ac:dyDescent="0.55000000000000004">
      <c r="A491" s="3">
        <v>25</v>
      </c>
      <c r="B491" s="3" t="s">
        <v>53</v>
      </c>
      <c r="C491" s="3" t="s">
        <v>49</v>
      </c>
      <c r="D491" s="3" t="s">
        <v>41</v>
      </c>
      <c r="E491" s="2" t="s">
        <v>16</v>
      </c>
      <c r="F491" s="3">
        <v>16</v>
      </c>
      <c r="G491" s="4">
        <v>20.9</v>
      </c>
      <c r="H491" s="4">
        <v>87</v>
      </c>
      <c r="I491" s="6">
        <v>7.4061528142431881</v>
      </c>
      <c r="J491" s="5">
        <v>3.5000000000000003E-2</v>
      </c>
      <c r="K491" s="4">
        <v>19.5</v>
      </c>
      <c r="L491" s="4">
        <v>70.5</v>
      </c>
      <c r="M491" s="6">
        <v>6.171479866828312</v>
      </c>
      <c r="N491" s="5">
        <v>3.5000000000000003E-2</v>
      </c>
      <c r="O491" s="5">
        <v>1.2346729474148761</v>
      </c>
      <c r="P491" s="5">
        <v>1.2346729474148761</v>
      </c>
      <c r="Q491" s="8">
        <v>0.20833333333333334</v>
      </c>
      <c r="R491" s="8">
        <v>0.86805555555555547</v>
      </c>
      <c r="S491" s="6">
        <f t="shared" si="21"/>
        <v>15.83333333333333</v>
      </c>
      <c r="T491" s="5">
        <f t="shared" si="22"/>
        <v>7.7979344047255345E-2</v>
      </c>
      <c r="U491" s="3">
        <v>2.21</v>
      </c>
      <c r="V491" s="5">
        <f t="shared" si="23"/>
        <v>3.5284771062106493E-2</v>
      </c>
      <c r="W491" s="3">
        <v>3.5284771062106493E-2</v>
      </c>
    </row>
    <row r="492" spans="1:23" x14ac:dyDescent="0.55000000000000004">
      <c r="A492" s="3">
        <v>6</v>
      </c>
      <c r="B492" s="3" t="s">
        <v>51</v>
      </c>
      <c r="C492" s="3" t="s">
        <v>49</v>
      </c>
      <c r="D492" s="3" t="s">
        <v>39</v>
      </c>
      <c r="E492" s="2" t="s">
        <v>17</v>
      </c>
      <c r="F492" s="3">
        <v>19</v>
      </c>
      <c r="G492" s="4">
        <v>22.1</v>
      </c>
      <c r="H492" s="4">
        <v>78.599999999999994</v>
      </c>
      <c r="I492" s="6">
        <v>6.5357949220664455</v>
      </c>
      <c r="J492" s="5">
        <v>2.9000000000000001E-2</v>
      </c>
      <c r="K492" s="4">
        <v>17.7</v>
      </c>
      <c r="L492" s="4">
        <v>58</v>
      </c>
      <c r="M492" s="6">
        <v>5.2674492865510976</v>
      </c>
      <c r="N492" s="5">
        <v>2.7E-2</v>
      </c>
      <c r="O492" s="5">
        <v>1.268345635515348</v>
      </c>
      <c r="P492" s="5">
        <v>1.268345635515348</v>
      </c>
      <c r="Q492" s="8">
        <v>0.19930555555555554</v>
      </c>
      <c r="R492" s="8">
        <v>0.875</v>
      </c>
      <c r="S492" s="6">
        <f t="shared" si="21"/>
        <v>16.216666666666669</v>
      </c>
      <c r="T492" s="5">
        <f t="shared" si="22"/>
        <v>7.82124749546977E-2</v>
      </c>
      <c r="U492" s="3">
        <v>2.21</v>
      </c>
      <c r="V492" s="5">
        <f t="shared" si="23"/>
        <v>3.5390260160496699E-2</v>
      </c>
      <c r="W492" s="3">
        <v>3.5390260160496699E-2</v>
      </c>
    </row>
    <row r="493" spans="1:23" x14ac:dyDescent="0.55000000000000004">
      <c r="A493" s="3">
        <v>36</v>
      </c>
      <c r="B493" s="3" t="s">
        <v>52</v>
      </c>
      <c r="C493" s="3" t="s">
        <v>50</v>
      </c>
      <c r="D493" s="3" t="s">
        <v>12</v>
      </c>
      <c r="E493" s="2" t="s">
        <v>16</v>
      </c>
      <c r="F493" s="3">
        <v>16</v>
      </c>
      <c r="G493" s="4">
        <v>20.9</v>
      </c>
      <c r="H493" s="4">
        <v>84.1</v>
      </c>
      <c r="I493" s="6">
        <v>7.1592810537684146</v>
      </c>
      <c r="J493" s="5">
        <v>4.5999999999999999E-2</v>
      </c>
      <c r="K493" s="4">
        <v>19.7</v>
      </c>
      <c r="L493" s="4">
        <v>67.900000000000006</v>
      </c>
      <c r="M493" s="6">
        <v>5.9200047115156034</v>
      </c>
      <c r="N493" s="5">
        <v>4.5999999999999999E-2</v>
      </c>
      <c r="O493" s="5">
        <v>1.2392763422528112</v>
      </c>
      <c r="P493" s="5">
        <v>1.2392763422528112</v>
      </c>
      <c r="Q493" s="8">
        <v>0.20833333333333334</v>
      </c>
      <c r="R493" s="8">
        <v>0.86805555555555547</v>
      </c>
      <c r="S493" s="6">
        <f t="shared" si="21"/>
        <v>15.83333333333333</v>
      </c>
      <c r="T493" s="5">
        <f t="shared" si="22"/>
        <v>7.8270084773861784E-2</v>
      </c>
      <c r="U493" s="3">
        <v>2.21</v>
      </c>
      <c r="V493" s="5">
        <f t="shared" si="23"/>
        <v>3.5416327951973657E-2</v>
      </c>
      <c r="W493" s="3">
        <v>3.5416327951973657E-2</v>
      </c>
    </row>
    <row r="494" spans="1:23" x14ac:dyDescent="0.55000000000000004">
      <c r="A494" s="3">
        <v>51</v>
      </c>
      <c r="B494" s="3" t="s">
        <v>48</v>
      </c>
      <c r="C494" s="3" t="s">
        <v>50</v>
      </c>
      <c r="D494" s="3" t="s">
        <v>10</v>
      </c>
      <c r="E494" s="2" t="s">
        <v>15</v>
      </c>
      <c r="F494" s="3">
        <v>12</v>
      </c>
      <c r="G494" s="4">
        <v>22.7</v>
      </c>
      <c r="H494" s="4">
        <v>104.2</v>
      </c>
      <c r="I494" s="6">
        <v>8.5646719235673672</v>
      </c>
      <c r="J494" s="5">
        <v>3.9E-2</v>
      </c>
      <c r="K494" s="4">
        <v>19.8</v>
      </c>
      <c r="L494" s="4">
        <v>84.1</v>
      </c>
      <c r="M494" s="6">
        <v>7.3177282249882145</v>
      </c>
      <c r="N494" s="5">
        <v>3.6999999999999998E-2</v>
      </c>
      <c r="O494" s="5">
        <v>1.2469436985791527</v>
      </c>
      <c r="P494" s="5">
        <v>1.2469436985791527</v>
      </c>
      <c r="Q494" s="8">
        <v>0.21319444444444444</v>
      </c>
      <c r="R494" s="8">
        <v>0.875</v>
      </c>
      <c r="S494" s="6">
        <f t="shared" si="21"/>
        <v>15.883333333333333</v>
      </c>
      <c r="T494" s="5">
        <f t="shared" si="22"/>
        <v>7.8506423834993871E-2</v>
      </c>
      <c r="U494" s="3">
        <v>2.21</v>
      </c>
      <c r="V494" s="5">
        <f t="shared" si="23"/>
        <v>3.552326870361714E-2</v>
      </c>
      <c r="W494" s="3">
        <v>3.552326870361714E-2</v>
      </c>
    </row>
    <row r="495" spans="1:23" x14ac:dyDescent="0.55000000000000004">
      <c r="A495" s="3">
        <v>10</v>
      </c>
      <c r="B495" s="3" t="s">
        <v>51</v>
      </c>
      <c r="C495" s="3" t="s">
        <v>49</v>
      </c>
      <c r="D495" s="3" t="s">
        <v>39</v>
      </c>
      <c r="E495" s="2" t="s">
        <v>17</v>
      </c>
      <c r="F495" s="3">
        <v>19</v>
      </c>
      <c r="G495" s="4">
        <v>22.2</v>
      </c>
      <c r="H495" s="4">
        <v>83.9</v>
      </c>
      <c r="I495" s="6">
        <v>6.9629938363270121</v>
      </c>
      <c r="J495" s="5">
        <v>3.5000000000000003E-2</v>
      </c>
      <c r="K495" s="4">
        <v>17.2</v>
      </c>
      <c r="L495" s="4">
        <v>62</v>
      </c>
      <c r="M495" s="6">
        <v>5.6895747080226222</v>
      </c>
      <c r="N495" s="5">
        <v>3.2000000000000001E-2</v>
      </c>
      <c r="O495" s="5">
        <v>1.2734191283043899</v>
      </c>
      <c r="P495" s="5">
        <v>1.2734191283043899</v>
      </c>
      <c r="Q495" s="8">
        <v>0.19930555555555554</v>
      </c>
      <c r="R495" s="8">
        <v>0.875</v>
      </c>
      <c r="S495" s="6">
        <f t="shared" si="21"/>
        <v>16.216666666666669</v>
      </c>
      <c r="T495" s="5">
        <f t="shared" si="22"/>
        <v>7.8525331652891453E-2</v>
      </c>
      <c r="U495" s="3">
        <v>2.21</v>
      </c>
      <c r="V495" s="5">
        <f t="shared" si="23"/>
        <v>3.553182427732645E-2</v>
      </c>
      <c r="W495" s="3">
        <v>3.553182427732645E-2</v>
      </c>
    </row>
    <row r="496" spans="1:23" x14ac:dyDescent="0.55000000000000004">
      <c r="A496" s="3">
        <v>1</v>
      </c>
      <c r="B496" s="3" t="s">
        <v>51</v>
      </c>
      <c r="C496" s="3" t="s">
        <v>49</v>
      </c>
      <c r="D496" s="3" t="s">
        <v>39</v>
      </c>
      <c r="E496" s="2" t="s">
        <v>18</v>
      </c>
      <c r="F496" s="3">
        <v>24</v>
      </c>
      <c r="G496" s="4">
        <v>22.4</v>
      </c>
      <c r="H496" s="4">
        <v>95.1</v>
      </c>
      <c r="I496" s="6">
        <v>7.8620273415979263</v>
      </c>
      <c r="J496" s="5">
        <v>2.9000000000000001E-2</v>
      </c>
      <c r="K496" s="4">
        <v>20.2</v>
      </c>
      <c r="L496" s="4">
        <v>76.400000000000006</v>
      </c>
      <c r="M496" s="6">
        <v>6.5947545753399526</v>
      </c>
      <c r="N496" s="5">
        <v>2.9000000000000001E-2</v>
      </c>
      <c r="O496" s="5">
        <v>1.2672727662579737</v>
      </c>
      <c r="P496" s="5">
        <v>1.2672727662579737</v>
      </c>
      <c r="Q496" s="8">
        <v>0.21180555555555555</v>
      </c>
      <c r="R496" s="8">
        <v>0.88194444444444453</v>
      </c>
      <c r="S496" s="6">
        <f t="shared" si="21"/>
        <v>16.083333333333336</v>
      </c>
      <c r="T496" s="5">
        <f t="shared" si="22"/>
        <v>7.8794161632620111E-2</v>
      </c>
      <c r="U496" s="3">
        <v>2.21</v>
      </c>
      <c r="V496" s="5">
        <f t="shared" si="23"/>
        <v>3.5653466802090555E-2</v>
      </c>
      <c r="W496" s="3">
        <v>3.5653466802090555E-2</v>
      </c>
    </row>
    <row r="497" spans="1:23" x14ac:dyDescent="0.55000000000000004">
      <c r="A497" s="3">
        <v>52</v>
      </c>
      <c r="B497" s="3" t="s">
        <v>48</v>
      </c>
      <c r="C497" s="3" t="s">
        <v>49</v>
      </c>
      <c r="D497" s="3" t="s">
        <v>38</v>
      </c>
      <c r="E497" s="3" t="s">
        <v>34</v>
      </c>
      <c r="F497" s="3">
        <v>79</v>
      </c>
      <c r="G497" s="4">
        <v>28.3</v>
      </c>
      <c r="H497" s="4">
        <v>61.2</v>
      </c>
      <c r="I497" s="6">
        <v>4.5351222946579703</v>
      </c>
      <c r="J497" s="5">
        <v>8.4000000000000005E-2</v>
      </c>
      <c r="K497" s="4">
        <v>24.8</v>
      </c>
      <c r="L497" s="4">
        <v>41.2</v>
      </c>
      <c r="M497" s="6">
        <v>3.2543017652242905</v>
      </c>
      <c r="N497" s="5">
        <v>0.08</v>
      </c>
      <c r="O497" s="5">
        <v>1.2808205294336799</v>
      </c>
      <c r="P497" s="5">
        <v>1.2808205294336799</v>
      </c>
      <c r="Q497" s="8">
        <v>0.20833333333333334</v>
      </c>
      <c r="R497" s="8">
        <v>0.88541666666666663</v>
      </c>
      <c r="S497" s="6">
        <f t="shared" si="21"/>
        <v>16.25</v>
      </c>
      <c r="T497" s="5">
        <f t="shared" si="22"/>
        <v>7.8819724888226458E-2</v>
      </c>
      <c r="U497" s="3">
        <v>2.21</v>
      </c>
      <c r="V497" s="5">
        <f t="shared" si="23"/>
        <v>3.5665033886075323E-2</v>
      </c>
      <c r="W497" s="3">
        <v>3.5665033886075323E-2</v>
      </c>
    </row>
    <row r="498" spans="1:23" x14ac:dyDescent="0.55000000000000004">
      <c r="A498" s="3">
        <v>23</v>
      </c>
      <c r="B498" s="3" t="s">
        <v>52</v>
      </c>
      <c r="C498" s="3" t="s">
        <v>49</v>
      </c>
      <c r="D498" s="3" t="s">
        <v>40</v>
      </c>
      <c r="E498" s="2" t="s">
        <v>21</v>
      </c>
      <c r="F498" s="3">
        <v>33</v>
      </c>
      <c r="G498" s="4">
        <v>29.4</v>
      </c>
      <c r="H498" s="4">
        <v>72.2</v>
      </c>
      <c r="I498" s="6">
        <v>5.2471444432057126</v>
      </c>
      <c r="J498" s="5">
        <v>6.3E-2</v>
      </c>
      <c r="K498" s="4">
        <v>25.8</v>
      </c>
      <c r="L498" s="4">
        <v>51.2</v>
      </c>
      <c r="M498" s="6">
        <v>3.9698678294046545</v>
      </c>
      <c r="N498" s="5">
        <v>5.8000000000000003E-2</v>
      </c>
      <c r="O498" s="5">
        <v>1.2772766138010581</v>
      </c>
      <c r="P498" s="5">
        <v>1.2772766138010581</v>
      </c>
      <c r="Q498" s="8">
        <v>0.20833333333333334</v>
      </c>
      <c r="R498" s="8">
        <v>0.88194444444444453</v>
      </c>
      <c r="S498" s="6">
        <f t="shared" si="21"/>
        <v>16.166666666666668</v>
      </c>
      <c r="T498" s="5">
        <f t="shared" si="22"/>
        <v>7.9006800853673689E-2</v>
      </c>
      <c r="U498" s="3">
        <v>2.21</v>
      </c>
      <c r="V498" s="5">
        <f t="shared" si="23"/>
        <v>3.5749683644196242E-2</v>
      </c>
      <c r="W498" s="3">
        <v>3.5749683644196242E-2</v>
      </c>
    </row>
    <row r="499" spans="1:23" x14ac:dyDescent="0.55000000000000004">
      <c r="A499" s="3">
        <v>5</v>
      </c>
      <c r="B499" s="3" t="s">
        <v>48</v>
      </c>
      <c r="C499" s="3" t="s">
        <v>49</v>
      </c>
      <c r="D499" s="3" t="s">
        <v>38</v>
      </c>
      <c r="E499" s="2" t="s">
        <v>16</v>
      </c>
      <c r="F499" s="3">
        <v>16</v>
      </c>
      <c r="G499" s="4">
        <v>20.7</v>
      </c>
      <c r="H499" s="4">
        <v>88.5</v>
      </c>
      <c r="I499" s="6">
        <v>7.5636900255528827</v>
      </c>
      <c r="J499" s="5">
        <v>2.7E-2</v>
      </c>
      <c r="K499" s="4">
        <v>19.5</v>
      </c>
      <c r="L499" s="4">
        <v>72.099999999999994</v>
      </c>
      <c r="M499" s="6">
        <v>6.311541821252785</v>
      </c>
      <c r="N499" s="5">
        <v>2.5999999999999999E-2</v>
      </c>
      <c r="O499" s="5">
        <v>1.2521482043000978</v>
      </c>
      <c r="P499" s="5">
        <v>1.2521482043000978</v>
      </c>
      <c r="Q499" s="8">
        <v>0.20833333333333334</v>
      </c>
      <c r="R499" s="8">
        <v>0.86805555555555547</v>
      </c>
      <c r="S499" s="6">
        <f t="shared" si="21"/>
        <v>15.83333333333333</v>
      </c>
      <c r="T499" s="5">
        <f t="shared" si="22"/>
        <v>7.9083044482111453E-2</v>
      </c>
      <c r="U499" s="3">
        <v>2.21</v>
      </c>
      <c r="V499" s="5">
        <f t="shared" si="23"/>
        <v>3.5784183023579844E-2</v>
      </c>
      <c r="W499" s="3">
        <v>3.5784183023579844E-2</v>
      </c>
    </row>
    <row r="500" spans="1:23" x14ac:dyDescent="0.55000000000000004">
      <c r="A500" s="3">
        <v>39</v>
      </c>
      <c r="B500" s="3" t="s">
        <v>51</v>
      </c>
      <c r="C500" s="3" t="s">
        <v>50</v>
      </c>
      <c r="D500" s="3" t="s">
        <v>9</v>
      </c>
      <c r="E500" s="2" t="s">
        <v>17</v>
      </c>
      <c r="F500" s="3">
        <v>19</v>
      </c>
      <c r="G500" s="4">
        <v>21.7</v>
      </c>
      <c r="H500" s="4">
        <v>93</v>
      </c>
      <c r="I500" s="6">
        <v>7.7936028246877207</v>
      </c>
      <c r="J500" s="5">
        <v>3.5999999999999997E-2</v>
      </c>
      <c r="K500" s="4">
        <v>16.899999999999999</v>
      </c>
      <c r="L500" s="4">
        <v>70.5</v>
      </c>
      <c r="M500" s="6">
        <v>6.5103395435852063</v>
      </c>
      <c r="N500" s="5">
        <v>3.3000000000000002E-2</v>
      </c>
      <c r="O500" s="5">
        <v>1.2832632811025144</v>
      </c>
      <c r="P500" s="5">
        <v>1.2832632811025144</v>
      </c>
      <c r="Q500" s="8">
        <v>0.19930555555555554</v>
      </c>
      <c r="R500" s="8">
        <v>0.875</v>
      </c>
      <c r="S500" s="6">
        <f t="shared" si="21"/>
        <v>16.216666666666669</v>
      </c>
      <c r="T500" s="5">
        <f t="shared" si="22"/>
        <v>7.9132370879908376E-2</v>
      </c>
      <c r="U500" s="3">
        <v>2.21</v>
      </c>
      <c r="V500" s="5">
        <f t="shared" si="23"/>
        <v>3.5806502660592029E-2</v>
      </c>
      <c r="W500" s="3">
        <v>3.5806502660592029E-2</v>
      </c>
    </row>
    <row r="501" spans="1:23" x14ac:dyDescent="0.55000000000000004">
      <c r="A501" s="3">
        <v>7</v>
      </c>
      <c r="B501" s="3" t="s">
        <v>53</v>
      </c>
      <c r="C501" s="3" t="s">
        <v>49</v>
      </c>
      <c r="D501" s="3" t="s">
        <v>41</v>
      </c>
      <c r="E501" s="2" t="s">
        <v>19</v>
      </c>
      <c r="F501" s="3">
        <v>26</v>
      </c>
      <c r="G501" s="4">
        <v>26.2</v>
      </c>
      <c r="H501" s="4">
        <v>94.6</v>
      </c>
      <c r="I501" s="6">
        <v>7.2812505295849652</v>
      </c>
      <c r="J501" s="5">
        <v>4.7E-2</v>
      </c>
      <c r="K501" s="4">
        <v>22.1</v>
      </c>
      <c r="L501" s="4">
        <v>72.099999999999994</v>
      </c>
      <c r="M501" s="6">
        <v>5.9953029755851244</v>
      </c>
      <c r="N501" s="5">
        <v>4.2000000000000003E-2</v>
      </c>
      <c r="O501" s="5">
        <v>1.2859475539998408</v>
      </c>
      <c r="P501" s="5">
        <v>1.2859475539998408</v>
      </c>
      <c r="Q501" s="8">
        <v>0.20833333333333334</v>
      </c>
      <c r="R501" s="8">
        <v>0.88541666666666663</v>
      </c>
      <c r="S501" s="6">
        <f t="shared" si="21"/>
        <v>16.25</v>
      </c>
      <c r="T501" s="5">
        <f t="shared" si="22"/>
        <v>7.9135234092297904E-2</v>
      </c>
      <c r="U501" s="3">
        <v>2.21</v>
      </c>
      <c r="V501" s="5">
        <f t="shared" si="23"/>
        <v>3.5807798231809004E-2</v>
      </c>
      <c r="W501" s="3">
        <v>3.5807798231809004E-2</v>
      </c>
    </row>
    <row r="502" spans="1:23" x14ac:dyDescent="0.55000000000000004">
      <c r="A502" s="3">
        <v>19</v>
      </c>
      <c r="B502" s="3" t="s">
        <v>53</v>
      </c>
      <c r="C502" s="3" t="s">
        <v>49</v>
      </c>
      <c r="D502" s="3" t="s">
        <v>41</v>
      </c>
      <c r="E502" s="3" t="s">
        <v>33</v>
      </c>
      <c r="F502" s="3">
        <v>75</v>
      </c>
      <c r="G502" s="4">
        <v>28.2</v>
      </c>
      <c r="H502" s="4">
        <v>84.4</v>
      </c>
      <c r="I502" s="6">
        <v>6.2654801577465626</v>
      </c>
      <c r="J502" s="5">
        <v>5.3999999999999999E-2</v>
      </c>
      <c r="K502" s="4">
        <v>24.1</v>
      </c>
      <c r="L502" s="4">
        <v>62.2</v>
      </c>
      <c r="M502" s="6">
        <v>4.9780065248833827</v>
      </c>
      <c r="N502" s="5">
        <v>0.05</v>
      </c>
      <c r="O502" s="5">
        <v>1.28747363286318</v>
      </c>
      <c r="P502" s="5">
        <v>1.28747363286318</v>
      </c>
      <c r="Q502" s="8">
        <v>0.20833333333333334</v>
      </c>
      <c r="R502" s="8">
        <v>0.88541666666666663</v>
      </c>
      <c r="S502" s="6">
        <f t="shared" si="21"/>
        <v>16.25</v>
      </c>
      <c r="T502" s="5">
        <f t="shared" si="22"/>
        <v>7.9229146637734157E-2</v>
      </c>
      <c r="U502" s="3">
        <v>2.21</v>
      </c>
      <c r="V502" s="5">
        <f t="shared" si="23"/>
        <v>3.5850292596259797E-2</v>
      </c>
      <c r="W502" s="3">
        <v>3.5850292596259797E-2</v>
      </c>
    </row>
    <row r="503" spans="1:23" x14ac:dyDescent="0.55000000000000004">
      <c r="A503" s="3">
        <v>23</v>
      </c>
      <c r="B503" s="3" t="s">
        <v>52</v>
      </c>
      <c r="C503" s="3" t="s">
        <v>49</v>
      </c>
      <c r="D503" s="3" t="s">
        <v>40</v>
      </c>
      <c r="E503" s="2" t="s">
        <v>24</v>
      </c>
      <c r="F503" s="3">
        <v>44</v>
      </c>
      <c r="G503" s="4">
        <v>24.7</v>
      </c>
      <c r="H503" s="4">
        <v>71.5</v>
      </c>
      <c r="I503" s="6">
        <v>5.6581986661796346</v>
      </c>
      <c r="J503" s="5">
        <v>6.8000000000000005E-2</v>
      </c>
      <c r="K503" s="4">
        <v>20.6</v>
      </c>
      <c r="L503" s="4">
        <v>50.5</v>
      </c>
      <c r="M503" s="6">
        <v>4.324563173843746</v>
      </c>
      <c r="N503" s="5">
        <v>6.0999999999999999E-2</v>
      </c>
      <c r="O503" s="5">
        <v>1.3336354923358886</v>
      </c>
      <c r="P503" s="5">
        <v>1.3336354923358886</v>
      </c>
      <c r="Q503" s="8">
        <v>0.20277777777777781</v>
      </c>
      <c r="R503" s="8">
        <v>0.90277777777777779</v>
      </c>
      <c r="S503" s="6">
        <f t="shared" si="21"/>
        <v>16.799999999999997</v>
      </c>
      <c r="T503" s="5">
        <f t="shared" si="22"/>
        <v>7.9383065019993385E-2</v>
      </c>
      <c r="U503" s="3">
        <v>2.21</v>
      </c>
      <c r="V503" s="5">
        <f t="shared" si="23"/>
        <v>3.5919938923073928E-2</v>
      </c>
      <c r="W503" s="3">
        <v>3.5919938923073928E-2</v>
      </c>
    </row>
    <row r="504" spans="1:23" x14ac:dyDescent="0.55000000000000004">
      <c r="A504" s="3">
        <v>33</v>
      </c>
      <c r="B504" s="3" t="s">
        <v>51</v>
      </c>
      <c r="C504" s="3" t="s">
        <v>50</v>
      </c>
      <c r="D504" s="3" t="s">
        <v>9</v>
      </c>
      <c r="E504" s="2" t="s">
        <v>14</v>
      </c>
      <c r="F504" s="3">
        <v>10</v>
      </c>
      <c r="G504" s="4">
        <v>22.1</v>
      </c>
      <c r="H504" s="4">
        <v>101</v>
      </c>
      <c r="I504" s="6">
        <v>8.3984133222482331</v>
      </c>
      <c r="J504" s="5">
        <v>0.04</v>
      </c>
      <c r="K504" s="4">
        <v>19.8</v>
      </c>
      <c r="L504" s="4">
        <v>82</v>
      </c>
      <c r="M504" s="6">
        <v>7.1350025499290561</v>
      </c>
      <c r="N504" s="5">
        <v>3.9E-2</v>
      </c>
      <c r="O504" s="5">
        <v>1.263410772319177</v>
      </c>
      <c r="P504" s="5">
        <v>1.263410772319177</v>
      </c>
      <c r="Q504" s="8">
        <v>0.20555555555555557</v>
      </c>
      <c r="R504" s="8">
        <v>0.86805555555555547</v>
      </c>
      <c r="S504" s="6">
        <f t="shared" si="21"/>
        <v>15.899999999999997</v>
      </c>
      <c r="T504" s="5">
        <f t="shared" si="22"/>
        <v>7.9459797001206117E-2</v>
      </c>
      <c r="U504" s="3">
        <v>2.21</v>
      </c>
      <c r="V504" s="5">
        <f t="shared" si="23"/>
        <v>3.5954659276563855E-2</v>
      </c>
      <c r="W504" s="3">
        <v>3.5954659276563855E-2</v>
      </c>
    </row>
    <row r="505" spans="1:23" x14ac:dyDescent="0.55000000000000004">
      <c r="A505" s="3">
        <v>14</v>
      </c>
      <c r="B505" s="3" t="s">
        <v>48</v>
      </c>
      <c r="C505" s="3" t="s">
        <v>50</v>
      </c>
      <c r="D505" s="3" t="s">
        <v>10</v>
      </c>
      <c r="E505" s="2" t="s">
        <v>15</v>
      </c>
      <c r="F505" s="3">
        <v>12</v>
      </c>
      <c r="G505" s="4">
        <v>22.3</v>
      </c>
      <c r="H505" s="4">
        <v>106</v>
      </c>
      <c r="I505" s="6">
        <v>8.7800967969714421</v>
      </c>
      <c r="J505" s="5">
        <v>3.6999999999999998E-2</v>
      </c>
      <c r="K505" s="4">
        <v>19.399999999999999</v>
      </c>
      <c r="L505" s="4">
        <v>85.7</v>
      </c>
      <c r="M505" s="6">
        <v>7.5172146837807672</v>
      </c>
      <c r="N505" s="5">
        <v>3.5000000000000003E-2</v>
      </c>
      <c r="O505" s="5">
        <v>1.2628821131906749</v>
      </c>
      <c r="P505" s="5">
        <v>1.2628821131906749</v>
      </c>
      <c r="Q505" s="8">
        <v>0.21319444444444444</v>
      </c>
      <c r="R505" s="8">
        <v>0.875</v>
      </c>
      <c r="S505" s="6">
        <f t="shared" si="21"/>
        <v>15.883333333333333</v>
      </c>
      <c r="T505" s="5">
        <f t="shared" si="22"/>
        <v>7.9509891701406613E-2</v>
      </c>
      <c r="U505" s="3">
        <v>2.21</v>
      </c>
      <c r="V505" s="5">
        <f t="shared" si="23"/>
        <v>3.5977326561722443E-2</v>
      </c>
      <c r="W505" s="3">
        <v>3.5977326561722443E-2</v>
      </c>
    </row>
    <row r="506" spans="1:23" x14ac:dyDescent="0.55000000000000004">
      <c r="A506" s="3">
        <v>18</v>
      </c>
      <c r="B506" s="3" t="s">
        <v>51</v>
      </c>
      <c r="C506" s="3" t="s">
        <v>50</v>
      </c>
      <c r="D506" s="3" t="s">
        <v>9</v>
      </c>
      <c r="E506" s="3" t="s">
        <v>33</v>
      </c>
      <c r="F506" s="3">
        <v>75</v>
      </c>
      <c r="G506" s="4">
        <v>28.5</v>
      </c>
      <c r="H506" s="4">
        <v>92.8</v>
      </c>
      <c r="I506" s="6">
        <v>6.8523559509572003</v>
      </c>
      <c r="J506" s="5">
        <v>7.0999999999999994E-2</v>
      </c>
      <c r="K506" s="4">
        <v>24.5</v>
      </c>
      <c r="L506" s="4">
        <v>70</v>
      </c>
      <c r="M506" s="6">
        <v>5.5602797899711183</v>
      </c>
      <c r="N506" s="5">
        <v>6.3E-2</v>
      </c>
      <c r="O506" s="5">
        <v>1.292076160986082</v>
      </c>
      <c r="P506" s="5">
        <v>1.292076160986082</v>
      </c>
      <c r="Q506" s="8">
        <v>0.20833333333333334</v>
      </c>
      <c r="R506" s="8">
        <v>0.88541666666666663</v>
      </c>
      <c r="S506" s="6">
        <f t="shared" si="21"/>
        <v>16.25</v>
      </c>
      <c r="T506" s="5">
        <f t="shared" si="22"/>
        <v>7.9512379137605046E-2</v>
      </c>
      <c r="U506" s="3">
        <v>2.21</v>
      </c>
      <c r="V506" s="5">
        <f t="shared" si="23"/>
        <v>3.5978452098463828E-2</v>
      </c>
      <c r="W506" s="3">
        <v>3.5978452098463828E-2</v>
      </c>
    </row>
    <row r="507" spans="1:23" x14ac:dyDescent="0.55000000000000004">
      <c r="A507" s="3">
        <v>1</v>
      </c>
      <c r="B507" s="3" t="s">
        <v>51</v>
      </c>
      <c r="C507" s="3" t="s">
        <v>49</v>
      </c>
      <c r="D507" s="3" t="s">
        <v>39</v>
      </c>
      <c r="E507" s="3" t="s">
        <v>28</v>
      </c>
      <c r="F507" s="3">
        <v>58</v>
      </c>
      <c r="G507" s="4">
        <v>28.5</v>
      </c>
      <c r="H507" s="4">
        <v>86.2</v>
      </c>
      <c r="I507" s="6">
        <v>6.3650116699623993</v>
      </c>
      <c r="J507" s="5">
        <v>4.9000000000000002E-2</v>
      </c>
      <c r="K507" s="4">
        <v>24.2</v>
      </c>
      <c r="L507" s="4">
        <v>63.4</v>
      </c>
      <c r="M507" s="6">
        <v>5.0644934445516352</v>
      </c>
      <c r="N507" s="5">
        <v>4.5999999999999999E-2</v>
      </c>
      <c r="O507" s="5">
        <v>1.3005182254107641</v>
      </c>
      <c r="P507" s="5">
        <v>1.3005182254107641</v>
      </c>
      <c r="Q507" s="8">
        <v>0.20833333333333334</v>
      </c>
      <c r="R507" s="8">
        <v>0.88888888888888884</v>
      </c>
      <c r="S507" s="6">
        <f t="shared" si="21"/>
        <v>16.333333333333332</v>
      </c>
      <c r="T507" s="5">
        <f t="shared" si="22"/>
        <v>7.9623564821067194E-2</v>
      </c>
      <c r="U507" s="3">
        <v>2.21</v>
      </c>
      <c r="V507" s="5">
        <f t="shared" si="23"/>
        <v>3.6028762362473842E-2</v>
      </c>
      <c r="W507" s="3">
        <v>3.6028762362473842E-2</v>
      </c>
    </row>
    <row r="508" spans="1:23" x14ac:dyDescent="0.55000000000000004">
      <c r="A508" s="3">
        <v>12</v>
      </c>
      <c r="B508" s="3" t="s">
        <v>53</v>
      </c>
      <c r="C508" s="3" t="s">
        <v>50</v>
      </c>
      <c r="D508" s="3" t="s">
        <v>11</v>
      </c>
      <c r="E508" s="2" t="s">
        <v>14</v>
      </c>
      <c r="F508" s="3">
        <v>10</v>
      </c>
      <c r="G508" s="4">
        <v>22.2</v>
      </c>
      <c r="H508" s="4">
        <v>104</v>
      </c>
      <c r="I508" s="6">
        <v>8.6311246600477851</v>
      </c>
      <c r="J508" s="5">
        <v>4.5999999999999999E-2</v>
      </c>
      <c r="K508" s="4">
        <v>19.899999999999999</v>
      </c>
      <c r="L508" s="4">
        <v>84.8</v>
      </c>
      <c r="M508" s="6">
        <v>7.3638585526469544</v>
      </c>
      <c r="N508" s="5">
        <v>4.3999999999999997E-2</v>
      </c>
      <c r="O508" s="5">
        <v>1.2672661074008307</v>
      </c>
      <c r="P508" s="5">
        <v>1.2672661074008307</v>
      </c>
      <c r="Q508" s="8">
        <v>0.20555555555555557</v>
      </c>
      <c r="R508" s="8">
        <v>0.86805555555555547</v>
      </c>
      <c r="S508" s="6">
        <f t="shared" si="21"/>
        <v>15.899999999999997</v>
      </c>
      <c r="T508" s="5">
        <f t="shared" si="22"/>
        <v>7.9702270905712636E-2</v>
      </c>
      <c r="U508" s="3">
        <v>2.21</v>
      </c>
      <c r="V508" s="5">
        <f t="shared" si="23"/>
        <v>3.6064375975435582E-2</v>
      </c>
      <c r="W508" s="3">
        <v>3.6064375975435582E-2</v>
      </c>
    </row>
    <row r="509" spans="1:23" x14ac:dyDescent="0.55000000000000004">
      <c r="A509" s="3">
        <v>31</v>
      </c>
      <c r="B509" s="3" t="s">
        <v>52</v>
      </c>
      <c r="C509" s="3" t="s">
        <v>49</v>
      </c>
      <c r="D509" s="3" t="s">
        <v>40</v>
      </c>
      <c r="E509" s="2" t="s">
        <v>13</v>
      </c>
      <c r="F509" s="3">
        <v>8</v>
      </c>
      <c r="G509" s="4">
        <v>22</v>
      </c>
      <c r="H509" s="4">
        <v>110.3</v>
      </c>
      <c r="I509" s="6">
        <v>9.1895536311316963</v>
      </c>
      <c r="J509" s="5">
        <v>2.3E-2</v>
      </c>
      <c r="K509" s="4">
        <v>19.3</v>
      </c>
      <c r="L509" s="4">
        <v>90.3</v>
      </c>
      <c r="M509" s="6">
        <v>7.9367213595477617</v>
      </c>
      <c r="N509" s="5">
        <v>2.1999999999999999E-2</v>
      </c>
      <c r="O509" s="5">
        <v>1.2528322715839346</v>
      </c>
      <c r="P509" s="5">
        <v>1.2528322715839346</v>
      </c>
      <c r="Q509" s="8">
        <v>0.20833333333333334</v>
      </c>
      <c r="R509" s="8">
        <v>0.86319444444444438</v>
      </c>
      <c r="S509" s="6">
        <f t="shared" si="21"/>
        <v>15.716666666666665</v>
      </c>
      <c r="T509" s="5">
        <f t="shared" si="22"/>
        <v>7.9713612189857994E-2</v>
      </c>
      <c r="U509" s="3">
        <v>2.21</v>
      </c>
      <c r="V509" s="5">
        <f t="shared" si="23"/>
        <v>3.6069507778216291E-2</v>
      </c>
      <c r="W509" s="3">
        <v>3.6069507778216291E-2</v>
      </c>
    </row>
    <row r="510" spans="1:23" x14ac:dyDescent="0.55000000000000004">
      <c r="A510" s="3">
        <v>10</v>
      </c>
      <c r="B510" s="3" t="s">
        <v>51</v>
      </c>
      <c r="C510" s="3" t="s">
        <v>49</v>
      </c>
      <c r="D510" s="3" t="s">
        <v>39</v>
      </c>
      <c r="E510" s="2" t="s">
        <v>16</v>
      </c>
      <c r="F510" s="3">
        <v>16</v>
      </c>
      <c r="G510" s="4">
        <v>20.7</v>
      </c>
      <c r="H510" s="4">
        <v>96.3</v>
      </c>
      <c r="I510" s="6">
        <v>8.2303203328897467</v>
      </c>
      <c r="J510" s="5">
        <v>0.03</v>
      </c>
      <c r="K510" s="4">
        <v>19.5</v>
      </c>
      <c r="L510" s="4">
        <v>79.599999999999994</v>
      </c>
      <c r="M510" s="6">
        <v>6.9680822326174985</v>
      </c>
      <c r="N510" s="5">
        <v>0.03</v>
      </c>
      <c r="O510" s="5">
        <v>1.2622381002722483</v>
      </c>
      <c r="P510" s="5">
        <v>1.2622381002722483</v>
      </c>
      <c r="Q510" s="8">
        <v>0.20833333333333334</v>
      </c>
      <c r="R510" s="8">
        <v>0.86805555555555547</v>
      </c>
      <c r="S510" s="6">
        <f t="shared" si="21"/>
        <v>15.83333333333333</v>
      </c>
      <c r="T510" s="5">
        <f t="shared" si="22"/>
        <v>7.9720301069826222E-2</v>
      </c>
      <c r="U510" s="3">
        <v>2.21</v>
      </c>
      <c r="V510" s="5">
        <f t="shared" si="23"/>
        <v>3.6072534420735845E-2</v>
      </c>
      <c r="W510" s="3">
        <v>3.6072534420735845E-2</v>
      </c>
    </row>
    <row r="511" spans="1:23" x14ac:dyDescent="0.55000000000000004">
      <c r="A511" s="3">
        <v>45</v>
      </c>
      <c r="B511" s="3" t="s">
        <v>48</v>
      </c>
      <c r="C511" s="3" t="s">
        <v>50</v>
      </c>
      <c r="D511" s="3" t="s">
        <v>10</v>
      </c>
      <c r="E511" s="2" t="s">
        <v>24</v>
      </c>
      <c r="F511" s="3">
        <v>44</v>
      </c>
      <c r="G511" s="4">
        <v>25.5</v>
      </c>
      <c r="H511" s="4">
        <v>85</v>
      </c>
      <c r="I511" s="6">
        <v>6.6271962157148119</v>
      </c>
      <c r="J511" s="5">
        <v>5.5E-2</v>
      </c>
      <c r="K511" s="4">
        <v>20.9</v>
      </c>
      <c r="L511" s="4">
        <v>62.1</v>
      </c>
      <c r="M511" s="6">
        <v>5.2864608018908266</v>
      </c>
      <c r="N511" s="5">
        <v>0.05</v>
      </c>
      <c r="O511" s="5">
        <v>1.3407354138239853</v>
      </c>
      <c r="P511" s="5">
        <v>1.3407354138239853</v>
      </c>
      <c r="Q511" s="8">
        <v>0.20277777777777781</v>
      </c>
      <c r="R511" s="8">
        <v>0.90277777777777779</v>
      </c>
      <c r="S511" s="6">
        <f t="shared" si="21"/>
        <v>16.799999999999997</v>
      </c>
      <c r="T511" s="5">
        <f t="shared" si="22"/>
        <v>7.9805679394284859E-2</v>
      </c>
      <c r="U511" s="3">
        <v>2.21</v>
      </c>
      <c r="V511" s="5">
        <f t="shared" si="23"/>
        <v>3.6111167146735228E-2</v>
      </c>
      <c r="W511" s="3">
        <v>3.6111167146735228E-2</v>
      </c>
    </row>
    <row r="512" spans="1:23" x14ac:dyDescent="0.55000000000000004">
      <c r="A512" s="3">
        <v>1</v>
      </c>
      <c r="B512" s="3" t="s">
        <v>51</v>
      </c>
      <c r="C512" s="3" t="s">
        <v>49</v>
      </c>
      <c r="D512" s="3" t="s">
        <v>39</v>
      </c>
      <c r="E512" s="2" t="s">
        <v>14</v>
      </c>
      <c r="F512" s="3">
        <v>10</v>
      </c>
      <c r="G512" s="4">
        <v>22.5</v>
      </c>
      <c r="H512" s="4">
        <v>100.5</v>
      </c>
      <c r="I512" s="6">
        <v>8.2924314651097895</v>
      </c>
      <c r="J512" s="5">
        <v>2.3E-2</v>
      </c>
      <c r="K512" s="4">
        <v>20.100000000000001</v>
      </c>
      <c r="L512" s="4">
        <v>81.2</v>
      </c>
      <c r="M512" s="6">
        <v>7.0230881326657766</v>
      </c>
      <c r="N512" s="5">
        <v>2.1999999999999999E-2</v>
      </c>
      <c r="O512" s="5">
        <v>1.2693433324440129</v>
      </c>
      <c r="P512" s="5">
        <v>1.2693433324440129</v>
      </c>
      <c r="Q512" s="8">
        <v>0.20555555555555557</v>
      </c>
      <c r="R512" s="8">
        <v>0.86805555555555547</v>
      </c>
      <c r="S512" s="6">
        <f t="shared" si="21"/>
        <v>15.899999999999997</v>
      </c>
      <c r="T512" s="5">
        <f t="shared" si="22"/>
        <v>7.9832913990189505E-2</v>
      </c>
      <c r="U512" s="3">
        <v>2.21</v>
      </c>
      <c r="V512" s="5">
        <f t="shared" si="23"/>
        <v>3.6123490493298417E-2</v>
      </c>
      <c r="W512" s="3">
        <v>3.6123490493298417E-2</v>
      </c>
    </row>
    <row r="513" spans="1:23" x14ac:dyDescent="0.55000000000000004">
      <c r="A513" s="3">
        <v>3</v>
      </c>
      <c r="B513" s="3" t="s">
        <v>51</v>
      </c>
      <c r="C513" s="3" t="s">
        <v>50</v>
      </c>
      <c r="D513" s="3" t="s">
        <v>9</v>
      </c>
      <c r="E513" s="2" t="s">
        <v>19</v>
      </c>
      <c r="F513" s="3">
        <v>26</v>
      </c>
      <c r="G513" s="4">
        <v>24.4</v>
      </c>
      <c r="H513" s="4">
        <v>113.5</v>
      </c>
      <c r="I513" s="6">
        <v>9.0325294190567949</v>
      </c>
      <c r="J513" s="5">
        <v>4.9000000000000002E-2</v>
      </c>
      <c r="K513" s="4">
        <v>22.7</v>
      </c>
      <c r="L513" s="4">
        <v>94.1</v>
      </c>
      <c r="M513" s="6">
        <v>7.7345069866380918</v>
      </c>
      <c r="N513" s="5">
        <v>4.4999999999999998E-2</v>
      </c>
      <c r="O513" s="5">
        <v>1.2980224324187031</v>
      </c>
      <c r="P513" s="5">
        <v>1.2980224324187031</v>
      </c>
      <c r="Q513" s="8">
        <v>0.20833333333333334</v>
      </c>
      <c r="R513" s="8">
        <v>0.88541666666666663</v>
      </c>
      <c r="S513" s="6">
        <f t="shared" si="21"/>
        <v>16.25</v>
      </c>
      <c r="T513" s="5">
        <f t="shared" si="22"/>
        <v>7.987830353345865E-2</v>
      </c>
      <c r="U513" s="3">
        <v>2.21</v>
      </c>
      <c r="V513" s="5">
        <f t="shared" si="23"/>
        <v>3.6144028748171339E-2</v>
      </c>
      <c r="W513" s="3">
        <v>3.6144028748171339E-2</v>
      </c>
    </row>
    <row r="514" spans="1:23" x14ac:dyDescent="0.55000000000000004">
      <c r="A514" s="3">
        <v>15</v>
      </c>
      <c r="B514" s="3" t="s">
        <v>48</v>
      </c>
      <c r="C514" s="3" t="s">
        <v>49</v>
      </c>
      <c r="D514" s="3" t="s">
        <v>38</v>
      </c>
      <c r="E514" s="2" t="s">
        <v>21</v>
      </c>
      <c r="F514" s="3">
        <v>33</v>
      </c>
      <c r="G514" s="4">
        <v>29.6</v>
      </c>
      <c r="H514" s="4">
        <v>71.2</v>
      </c>
      <c r="I514" s="6">
        <v>5.1563446285590748</v>
      </c>
      <c r="J514" s="5">
        <v>5.6000000000000001E-2</v>
      </c>
      <c r="K514" s="4">
        <v>26</v>
      </c>
      <c r="L514" s="4">
        <v>50</v>
      </c>
      <c r="M514" s="6">
        <v>3.8625873141684401</v>
      </c>
      <c r="N514" s="5">
        <v>5.0999999999999997E-2</v>
      </c>
      <c r="O514" s="5">
        <v>1.2937573143906347</v>
      </c>
      <c r="P514" s="5">
        <v>1.2937573143906347</v>
      </c>
      <c r="Q514" s="8">
        <v>0.20833333333333334</v>
      </c>
      <c r="R514" s="8">
        <v>0.88194444444444453</v>
      </c>
      <c r="S514" s="6">
        <f t="shared" ref="S514:S577" si="24">(R514-Q514)*24</f>
        <v>16.166666666666668</v>
      </c>
      <c r="T514" s="5">
        <f t="shared" ref="T514:T577" si="25">P514/S514</f>
        <v>8.002622563241038E-2</v>
      </c>
      <c r="U514" s="3">
        <v>2.21</v>
      </c>
      <c r="V514" s="5">
        <f t="shared" ref="V514:V577" si="26">(I514-M514)/U514/S514</f>
        <v>3.6210961824620087E-2</v>
      </c>
      <c r="W514" s="3">
        <v>3.6210961824620087E-2</v>
      </c>
    </row>
    <row r="515" spans="1:23" x14ac:dyDescent="0.55000000000000004">
      <c r="A515" s="3">
        <v>11</v>
      </c>
      <c r="B515" s="3" t="s">
        <v>53</v>
      </c>
      <c r="C515" s="3" t="s">
        <v>49</v>
      </c>
      <c r="D515" s="3" t="s">
        <v>41</v>
      </c>
      <c r="E515" s="3" t="s">
        <v>30</v>
      </c>
      <c r="F515" s="3">
        <v>65</v>
      </c>
      <c r="G515" s="4">
        <v>26.9</v>
      </c>
      <c r="H515" s="4">
        <v>75</v>
      </c>
      <c r="I515" s="6">
        <v>5.6994450392745755</v>
      </c>
      <c r="J515" s="5">
        <v>6.0999999999999999E-2</v>
      </c>
      <c r="K515" s="4">
        <v>22.2</v>
      </c>
      <c r="L515" s="4">
        <v>53</v>
      </c>
      <c r="M515" s="6">
        <v>4.3985539132935836</v>
      </c>
      <c r="N515" s="5">
        <v>5.6000000000000001E-2</v>
      </c>
      <c r="O515" s="5">
        <v>1.3008911259809919</v>
      </c>
      <c r="P515" s="5">
        <v>1.3008911259809919</v>
      </c>
      <c r="Q515" s="8">
        <v>0.20833333333333334</v>
      </c>
      <c r="R515" s="8">
        <v>0.88541666666666663</v>
      </c>
      <c r="S515" s="6">
        <f t="shared" si="24"/>
        <v>16.25</v>
      </c>
      <c r="T515" s="5">
        <f t="shared" si="25"/>
        <v>8.0054838521907187E-2</v>
      </c>
      <c r="U515" s="3">
        <v>2.21</v>
      </c>
      <c r="V515" s="5">
        <f t="shared" si="26"/>
        <v>3.6223908833442175E-2</v>
      </c>
      <c r="W515" s="3">
        <v>3.6223908833442175E-2</v>
      </c>
    </row>
    <row r="516" spans="1:23" x14ac:dyDescent="0.55000000000000004">
      <c r="A516" s="3">
        <v>11</v>
      </c>
      <c r="B516" s="3" t="s">
        <v>53</v>
      </c>
      <c r="C516" s="3" t="s">
        <v>49</v>
      </c>
      <c r="D516" s="3" t="s">
        <v>41</v>
      </c>
      <c r="E516" s="2" t="s">
        <v>18</v>
      </c>
      <c r="F516" s="3">
        <v>24</v>
      </c>
      <c r="G516" s="4">
        <v>22.3</v>
      </c>
      <c r="H516" s="4">
        <v>101.2</v>
      </c>
      <c r="I516" s="6">
        <v>8.3825075080519813</v>
      </c>
      <c r="J516" s="5">
        <v>3.5000000000000003E-2</v>
      </c>
      <c r="K516" s="4">
        <v>19.899999999999999</v>
      </c>
      <c r="L516" s="4">
        <v>81.7</v>
      </c>
      <c r="M516" s="6">
        <v>7.0946608932931152</v>
      </c>
      <c r="N516" s="5">
        <v>3.4000000000000002E-2</v>
      </c>
      <c r="O516" s="5">
        <v>1.2878466147588661</v>
      </c>
      <c r="P516" s="5">
        <v>1.2878466147588661</v>
      </c>
      <c r="Q516" s="8">
        <v>0.21180555555555555</v>
      </c>
      <c r="R516" s="8">
        <v>0.88194444444444453</v>
      </c>
      <c r="S516" s="6">
        <f t="shared" si="24"/>
        <v>16.083333333333336</v>
      </c>
      <c r="T516" s="5">
        <f t="shared" si="25"/>
        <v>8.0073364648219639E-2</v>
      </c>
      <c r="U516" s="3">
        <v>2.21</v>
      </c>
      <c r="V516" s="5">
        <f t="shared" si="26"/>
        <v>3.6232291696026986E-2</v>
      </c>
      <c r="W516" s="3">
        <v>3.6232291696026986E-2</v>
      </c>
    </row>
    <row r="517" spans="1:23" x14ac:dyDescent="0.55000000000000004">
      <c r="A517" s="3">
        <v>37</v>
      </c>
      <c r="B517" s="3" t="s">
        <v>53</v>
      </c>
      <c r="C517" s="3" t="s">
        <v>50</v>
      </c>
      <c r="D517" s="3" t="s">
        <v>11</v>
      </c>
      <c r="E517" s="2" t="s">
        <v>14</v>
      </c>
      <c r="F517" s="3">
        <v>10</v>
      </c>
      <c r="G517" s="4">
        <v>22.1</v>
      </c>
      <c r="H517" s="4">
        <v>99.7</v>
      </c>
      <c r="I517" s="6">
        <v>8.2903149329519685</v>
      </c>
      <c r="J517" s="5">
        <v>3.4000000000000002E-2</v>
      </c>
      <c r="K517" s="4">
        <v>19.899999999999999</v>
      </c>
      <c r="L517" s="4">
        <v>80.8</v>
      </c>
      <c r="M517" s="6">
        <v>7.0165067341258718</v>
      </c>
      <c r="N517" s="5">
        <v>0.03</v>
      </c>
      <c r="O517" s="5">
        <v>1.2738081988260967</v>
      </c>
      <c r="P517" s="5">
        <v>1.2738081988260967</v>
      </c>
      <c r="Q517" s="8">
        <v>0.20555555555555557</v>
      </c>
      <c r="R517" s="8">
        <v>0.86805555555555547</v>
      </c>
      <c r="S517" s="6">
        <f t="shared" si="24"/>
        <v>15.899999999999997</v>
      </c>
      <c r="T517" s="5">
        <f t="shared" si="25"/>
        <v>8.0113723196609879E-2</v>
      </c>
      <c r="U517" s="3">
        <v>2.21</v>
      </c>
      <c r="V517" s="5">
        <f t="shared" si="26"/>
        <v>3.62505534826289E-2</v>
      </c>
      <c r="W517" s="3">
        <v>3.62505534826289E-2</v>
      </c>
    </row>
    <row r="518" spans="1:23" x14ac:dyDescent="0.55000000000000004">
      <c r="A518" s="3">
        <v>25</v>
      </c>
      <c r="B518" s="3" t="s">
        <v>53</v>
      </c>
      <c r="C518" s="3" t="s">
        <v>49</v>
      </c>
      <c r="D518" s="3" t="s">
        <v>41</v>
      </c>
      <c r="E518" s="2" t="s">
        <v>13</v>
      </c>
      <c r="F518" s="3">
        <v>8</v>
      </c>
      <c r="G518" s="4">
        <v>22.1</v>
      </c>
      <c r="H518" s="4">
        <v>109.1</v>
      </c>
      <c r="I518" s="6">
        <v>9.0719494401711103</v>
      </c>
      <c r="J518" s="5">
        <v>2.5999999999999999E-2</v>
      </c>
      <c r="K518" s="4">
        <v>19.2</v>
      </c>
      <c r="L518" s="4">
        <v>88.7</v>
      </c>
      <c r="M518" s="6">
        <v>7.8118802729857979</v>
      </c>
      <c r="N518" s="5">
        <v>2.5999999999999999E-2</v>
      </c>
      <c r="O518" s="5">
        <v>1.2600691671853124</v>
      </c>
      <c r="P518" s="5">
        <v>1.2600691671853124</v>
      </c>
      <c r="Q518" s="8">
        <v>0.20833333333333334</v>
      </c>
      <c r="R518" s="8">
        <v>0.86319444444444438</v>
      </c>
      <c r="S518" s="6">
        <f t="shared" si="24"/>
        <v>15.716666666666665</v>
      </c>
      <c r="T518" s="5">
        <f t="shared" si="25"/>
        <v>8.0174072143286049E-2</v>
      </c>
      <c r="U518" s="3">
        <v>2.21</v>
      </c>
      <c r="V518" s="5">
        <f t="shared" si="26"/>
        <v>3.6277860698319488E-2</v>
      </c>
      <c r="W518" s="3">
        <v>3.6277860698319488E-2</v>
      </c>
    </row>
    <row r="519" spans="1:23" x14ac:dyDescent="0.55000000000000004">
      <c r="A519" s="3">
        <v>42</v>
      </c>
      <c r="B519" s="3" t="s">
        <v>53</v>
      </c>
      <c r="C519" s="3" t="s">
        <v>49</v>
      </c>
      <c r="D519" s="3" t="s">
        <v>41</v>
      </c>
      <c r="E519" s="2" t="s">
        <v>21</v>
      </c>
      <c r="F519" s="3">
        <v>33</v>
      </c>
      <c r="G519" s="4">
        <v>29.4</v>
      </c>
      <c r="H519" s="4">
        <v>72.2</v>
      </c>
      <c r="I519" s="6">
        <v>5.2471444432057126</v>
      </c>
      <c r="J519" s="5">
        <v>6.5000000000000002E-2</v>
      </c>
      <c r="K519" s="4">
        <v>25.8</v>
      </c>
      <c r="L519" s="4">
        <v>50.9</v>
      </c>
      <c r="M519" s="6">
        <v>3.946606885091736</v>
      </c>
      <c r="N519" s="5">
        <v>6.2E-2</v>
      </c>
      <c r="O519" s="5">
        <v>1.3005375581139766</v>
      </c>
      <c r="P519" s="5">
        <v>1.3005375581139766</v>
      </c>
      <c r="Q519" s="8">
        <v>0.20833333333333334</v>
      </c>
      <c r="R519" s="8">
        <v>0.88194444444444453</v>
      </c>
      <c r="S519" s="6">
        <f t="shared" si="24"/>
        <v>16.166666666666668</v>
      </c>
      <c r="T519" s="5">
        <f t="shared" si="25"/>
        <v>8.0445622151379986E-2</v>
      </c>
      <c r="U519" s="3">
        <v>2.21</v>
      </c>
      <c r="V519" s="5">
        <f t="shared" si="26"/>
        <v>3.6400734005149323E-2</v>
      </c>
      <c r="W519" s="3">
        <v>3.6400734005149323E-2</v>
      </c>
    </row>
    <row r="520" spans="1:23" x14ac:dyDescent="0.55000000000000004">
      <c r="A520" s="3">
        <v>50</v>
      </c>
      <c r="B520" s="3" t="s">
        <v>53</v>
      </c>
      <c r="C520" s="3" t="s">
        <v>50</v>
      </c>
      <c r="D520" s="3" t="s">
        <v>11</v>
      </c>
      <c r="E520" s="2" t="s">
        <v>17</v>
      </c>
      <c r="F520" s="3">
        <v>19</v>
      </c>
      <c r="G520" s="4">
        <v>22</v>
      </c>
      <c r="H520" s="4">
        <v>91</v>
      </c>
      <c r="I520" s="6">
        <v>7.5815900311240663</v>
      </c>
      <c r="J520" s="5">
        <v>4.1000000000000002E-2</v>
      </c>
      <c r="K520" s="4">
        <v>17</v>
      </c>
      <c r="L520" s="4">
        <v>68.099999999999994</v>
      </c>
      <c r="M520" s="6">
        <v>6.2755444171960235</v>
      </c>
      <c r="N520" s="5">
        <v>3.6999999999999998E-2</v>
      </c>
      <c r="O520" s="5">
        <v>1.3060456139280427</v>
      </c>
      <c r="P520" s="5">
        <v>1.3060456139280427</v>
      </c>
      <c r="Q520" s="8">
        <v>0.19930555555555554</v>
      </c>
      <c r="R520" s="8">
        <v>0.875</v>
      </c>
      <c r="S520" s="6">
        <f t="shared" si="24"/>
        <v>16.216666666666669</v>
      </c>
      <c r="T520" s="5">
        <f t="shared" si="25"/>
        <v>8.0537242379940963E-2</v>
      </c>
      <c r="U520" s="3">
        <v>2.21</v>
      </c>
      <c r="V520" s="5">
        <f t="shared" si="26"/>
        <v>3.6442191122145237E-2</v>
      </c>
      <c r="W520" s="3">
        <v>3.6442191122145237E-2</v>
      </c>
    </row>
    <row r="521" spans="1:23" x14ac:dyDescent="0.55000000000000004">
      <c r="A521" s="3">
        <v>3</v>
      </c>
      <c r="B521" s="3" t="s">
        <v>51</v>
      </c>
      <c r="C521" s="3" t="s">
        <v>50</v>
      </c>
      <c r="D521" s="3" t="s">
        <v>9</v>
      </c>
      <c r="E521" s="2" t="s">
        <v>16</v>
      </c>
      <c r="F521" s="3">
        <v>16</v>
      </c>
      <c r="G521" s="4">
        <v>20.7</v>
      </c>
      <c r="H521" s="4">
        <v>101.4</v>
      </c>
      <c r="I521" s="6">
        <v>8.6661939953792348</v>
      </c>
      <c r="J521" s="5">
        <v>4.3999999999999997E-2</v>
      </c>
      <c r="K521" s="4">
        <v>19.600000000000001</v>
      </c>
      <c r="L521" s="4">
        <v>84.6</v>
      </c>
      <c r="M521" s="6">
        <v>7.3908765135151953</v>
      </c>
      <c r="N521" s="5">
        <v>4.5999999999999999E-2</v>
      </c>
      <c r="O521" s="5">
        <v>1.2753174818640396</v>
      </c>
      <c r="P521" s="5">
        <v>1.2753174818640396</v>
      </c>
      <c r="Q521" s="8">
        <v>0.20833333333333334</v>
      </c>
      <c r="R521" s="8">
        <v>0.86805555555555547</v>
      </c>
      <c r="S521" s="6">
        <f t="shared" si="24"/>
        <v>15.83333333333333</v>
      </c>
      <c r="T521" s="5">
        <f t="shared" si="25"/>
        <v>8.0546367275623573E-2</v>
      </c>
      <c r="U521" s="3">
        <v>2.21</v>
      </c>
      <c r="V521" s="5">
        <f t="shared" si="26"/>
        <v>3.6446320034218813E-2</v>
      </c>
      <c r="W521" s="3">
        <v>3.6446320034218813E-2</v>
      </c>
    </row>
    <row r="522" spans="1:23" x14ac:dyDescent="0.55000000000000004">
      <c r="A522" s="3">
        <v>44</v>
      </c>
      <c r="B522" s="3" t="s">
        <v>53</v>
      </c>
      <c r="C522" s="3" t="s">
        <v>49</v>
      </c>
      <c r="D522" s="3" t="s">
        <v>41</v>
      </c>
      <c r="E522" s="2" t="s">
        <v>22</v>
      </c>
      <c r="F522" s="3">
        <v>37</v>
      </c>
      <c r="G522" s="4">
        <v>30</v>
      </c>
      <c r="H522" s="4">
        <v>84.3</v>
      </c>
      <c r="I522" s="6">
        <v>6.0625227903638743</v>
      </c>
      <c r="J522" s="5">
        <v>5.8999999999999997E-2</v>
      </c>
      <c r="K522" s="4">
        <v>24.8</v>
      </c>
      <c r="L522" s="4">
        <v>60</v>
      </c>
      <c r="M522" s="6">
        <v>4.7392744153751805</v>
      </c>
      <c r="N522" s="5">
        <v>5.6000000000000001E-2</v>
      </c>
      <c r="O522" s="5">
        <v>1.3232483749886939</v>
      </c>
      <c r="P522" s="5">
        <v>1.3232483749886939</v>
      </c>
      <c r="Q522" s="8">
        <v>0.20138888888888887</v>
      </c>
      <c r="R522" s="8">
        <v>0.88541666666666663</v>
      </c>
      <c r="S522" s="6">
        <f t="shared" si="24"/>
        <v>16.416666666666668</v>
      </c>
      <c r="T522" s="5">
        <f t="shared" si="25"/>
        <v>8.0603961928245302E-2</v>
      </c>
      <c r="U522" s="3">
        <v>2.21</v>
      </c>
      <c r="V522" s="5">
        <f t="shared" si="26"/>
        <v>3.647238096300693E-2</v>
      </c>
      <c r="W522" s="3">
        <v>3.647238096300693E-2</v>
      </c>
    </row>
    <row r="523" spans="1:23" x14ac:dyDescent="0.55000000000000004">
      <c r="A523" s="3">
        <v>49</v>
      </c>
      <c r="B523" s="3" t="s">
        <v>51</v>
      </c>
      <c r="C523" s="3" t="s">
        <v>49</v>
      </c>
      <c r="D523" s="3" t="s">
        <v>39</v>
      </c>
      <c r="E523" s="2" t="s">
        <v>14</v>
      </c>
      <c r="F523" s="3">
        <v>10</v>
      </c>
      <c r="G523" s="4">
        <v>22.2</v>
      </c>
      <c r="H523" s="4">
        <v>94.4</v>
      </c>
      <c r="I523" s="6">
        <v>7.8344054606587603</v>
      </c>
      <c r="J523" s="5">
        <v>2.3E-2</v>
      </c>
      <c r="K523" s="4">
        <v>20</v>
      </c>
      <c r="L523" s="4">
        <v>75.599999999999994</v>
      </c>
      <c r="M523" s="6">
        <v>6.5518204223035363</v>
      </c>
      <c r="N523" s="5">
        <v>2.3E-2</v>
      </c>
      <c r="O523" s="5">
        <v>1.282585038355224</v>
      </c>
      <c r="P523" s="5">
        <v>1.282585038355224</v>
      </c>
      <c r="Q523" s="8">
        <v>0.20555555555555557</v>
      </c>
      <c r="R523" s="8">
        <v>0.86805555555555547</v>
      </c>
      <c r="S523" s="6">
        <f t="shared" si="24"/>
        <v>15.899999999999997</v>
      </c>
      <c r="T523" s="5">
        <f t="shared" si="25"/>
        <v>8.06657256827185E-2</v>
      </c>
      <c r="U523" s="3">
        <v>2.21</v>
      </c>
      <c r="V523" s="5">
        <f t="shared" si="26"/>
        <v>3.6500328363221049E-2</v>
      </c>
      <c r="W523" s="3">
        <v>3.6500328363221049E-2</v>
      </c>
    </row>
    <row r="524" spans="1:23" x14ac:dyDescent="0.55000000000000004">
      <c r="A524" s="3">
        <v>8</v>
      </c>
      <c r="B524" s="3" t="s">
        <v>51</v>
      </c>
      <c r="C524" s="3" t="s">
        <v>50</v>
      </c>
      <c r="D524" s="3" t="s">
        <v>9</v>
      </c>
      <c r="E524" s="2" t="s">
        <v>14</v>
      </c>
      <c r="F524" s="3">
        <v>10</v>
      </c>
      <c r="G524" s="4">
        <v>22.2</v>
      </c>
      <c r="H524" s="4">
        <v>103.9</v>
      </c>
      <c r="I524" s="6">
        <v>8.6228255017208166</v>
      </c>
      <c r="J524" s="5">
        <v>3.3000000000000002E-2</v>
      </c>
      <c r="K524" s="4">
        <v>19.899999999999999</v>
      </c>
      <c r="L524" s="4">
        <v>84.5</v>
      </c>
      <c r="M524" s="6">
        <v>7.3378071662578739</v>
      </c>
      <c r="N524" s="5">
        <v>3.1E-2</v>
      </c>
      <c r="O524" s="5">
        <v>1.2850183354629428</v>
      </c>
      <c r="P524" s="5">
        <v>1.2850183354629428</v>
      </c>
      <c r="Q524" s="8">
        <v>0.20555555555555557</v>
      </c>
      <c r="R524" s="8">
        <v>0.86805555555555547</v>
      </c>
      <c r="S524" s="6">
        <f t="shared" si="24"/>
        <v>15.899999999999997</v>
      </c>
      <c r="T524" s="5">
        <f t="shared" si="25"/>
        <v>8.081876323666308E-2</v>
      </c>
      <c r="U524" s="3">
        <v>2.21</v>
      </c>
      <c r="V524" s="5">
        <f t="shared" si="26"/>
        <v>3.6569576125186916E-2</v>
      </c>
      <c r="W524" s="3">
        <v>3.6569576125186916E-2</v>
      </c>
    </row>
    <row r="525" spans="1:23" x14ac:dyDescent="0.55000000000000004">
      <c r="A525" s="3">
        <v>15</v>
      </c>
      <c r="B525" s="3" t="s">
        <v>48</v>
      </c>
      <c r="C525" s="3" t="s">
        <v>49</v>
      </c>
      <c r="D525" s="3" t="s">
        <v>38</v>
      </c>
      <c r="E525" s="2" t="s">
        <v>14</v>
      </c>
      <c r="F525" s="3">
        <v>10</v>
      </c>
      <c r="G525" s="4">
        <v>22.4</v>
      </c>
      <c r="H525" s="4">
        <v>91.2</v>
      </c>
      <c r="I525" s="6">
        <v>7.5396098165481691</v>
      </c>
      <c r="J525" s="5">
        <v>2.1999999999999999E-2</v>
      </c>
      <c r="K525" s="4">
        <v>20.100000000000001</v>
      </c>
      <c r="L525" s="4">
        <v>72.3</v>
      </c>
      <c r="M525" s="6">
        <v>6.25331615753369</v>
      </c>
      <c r="N525" s="5">
        <v>2.1999999999999999E-2</v>
      </c>
      <c r="O525" s="5">
        <v>1.2862936590144791</v>
      </c>
      <c r="P525" s="5">
        <v>1.2862936590144791</v>
      </c>
      <c r="Q525" s="8">
        <v>0.20555555555555557</v>
      </c>
      <c r="R525" s="8">
        <v>0.86805555555555547</v>
      </c>
      <c r="S525" s="6">
        <f t="shared" si="24"/>
        <v>15.899999999999997</v>
      </c>
      <c r="T525" s="5">
        <f t="shared" si="25"/>
        <v>8.0898972265061597E-2</v>
      </c>
      <c r="U525" s="3">
        <v>2.21</v>
      </c>
      <c r="V525" s="5">
        <f t="shared" si="26"/>
        <v>3.6605869803195294E-2</v>
      </c>
      <c r="W525" s="3">
        <v>3.6605869803195294E-2</v>
      </c>
    </row>
    <row r="526" spans="1:23" x14ac:dyDescent="0.55000000000000004">
      <c r="A526" s="3">
        <v>7</v>
      </c>
      <c r="B526" s="3" t="s">
        <v>53</v>
      </c>
      <c r="C526" s="3" t="s">
        <v>49</v>
      </c>
      <c r="D526" s="3" t="s">
        <v>41</v>
      </c>
      <c r="E526" s="2" t="s">
        <v>21</v>
      </c>
      <c r="F526" s="3">
        <v>33</v>
      </c>
      <c r="G526" s="4">
        <v>29.5</v>
      </c>
      <c r="H526" s="4">
        <v>75</v>
      </c>
      <c r="I526" s="6">
        <v>5.441074330811067</v>
      </c>
      <c r="J526" s="5">
        <v>6.5000000000000002E-2</v>
      </c>
      <c r="K526" s="4">
        <v>25.8</v>
      </c>
      <c r="L526" s="4">
        <v>53.3</v>
      </c>
      <c r="M526" s="6">
        <v>4.1326944395950793</v>
      </c>
      <c r="N526" s="5">
        <v>5.6000000000000001E-2</v>
      </c>
      <c r="O526" s="5">
        <v>1.3083798912159876</v>
      </c>
      <c r="P526" s="5">
        <v>1.3083798912159876</v>
      </c>
      <c r="Q526" s="8">
        <v>0.20833333333333334</v>
      </c>
      <c r="R526" s="8">
        <v>0.88194444444444453</v>
      </c>
      <c r="S526" s="6">
        <f t="shared" si="24"/>
        <v>16.166666666666668</v>
      </c>
      <c r="T526" s="5">
        <f t="shared" si="25"/>
        <v>8.0930714920576546E-2</v>
      </c>
      <c r="U526" s="3">
        <v>2.21</v>
      </c>
      <c r="V526" s="5">
        <f t="shared" si="26"/>
        <v>3.6620232995735996E-2</v>
      </c>
      <c r="W526" s="3">
        <v>3.6620232995735996E-2</v>
      </c>
    </row>
    <row r="527" spans="1:23" x14ac:dyDescent="0.55000000000000004">
      <c r="A527" s="3">
        <v>4</v>
      </c>
      <c r="B527" s="3" t="s">
        <v>48</v>
      </c>
      <c r="C527" s="3" t="s">
        <v>49</v>
      </c>
      <c r="D527" s="3" t="s">
        <v>38</v>
      </c>
      <c r="E527" s="2" t="s">
        <v>16</v>
      </c>
      <c r="F527" s="3">
        <v>16</v>
      </c>
      <c r="G527" s="4">
        <v>20.7</v>
      </c>
      <c r="H527" s="4">
        <v>89.2</v>
      </c>
      <c r="I527" s="6">
        <v>7.6235158223651647</v>
      </c>
      <c r="J527" s="5">
        <v>2.7E-2</v>
      </c>
      <c r="K527" s="4">
        <v>19.399999999999999</v>
      </c>
      <c r="L527" s="4">
        <v>72.3</v>
      </c>
      <c r="M527" s="6">
        <v>6.3418275570285809</v>
      </c>
      <c r="N527" s="5">
        <v>2.9000000000000001E-2</v>
      </c>
      <c r="O527" s="5">
        <v>1.2816882653365838</v>
      </c>
      <c r="P527" s="5">
        <v>1.2816882653365838</v>
      </c>
      <c r="Q527" s="8">
        <v>0.20833333333333334</v>
      </c>
      <c r="R527" s="8">
        <v>0.86805555555555547</v>
      </c>
      <c r="S527" s="6">
        <f t="shared" si="24"/>
        <v>15.83333333333333</v>
      </c>
      <c r="T527" s="5">
        <f t="shared" si="25"/>
        <v>8.0948732547573732E-2</v>
      </c>
      <c r="U527" s="3">
        <v>2.21</v>
      </c>
      <c r="V527" s="5">
        <f t="shared" si="26"/>
        <v>3.6628385768132904E-2</v>
      </c>
      <c r="W527" s="3">
        <v>3.6628385768132904E-2</v>
      </c>
    </row>
    <row r="528" spans="1:23" x14ac:dyDescent="0.55000000000000004">
      <c r="A528" s="3">
        <v>17</v>
      </c>
      <c r="B528" s="3" t="s">
        <v>52</v>
      </c>
      <c r="C528" s="3" t="s">
        <v>50</v>
      </c>
      <c r="D528" s="3" t="s">
        <v>12</v>
      </c>
      <c r="E528" s="2" t="s">
        <v>20</v>
      </c>
      <c r="F528" s="3">
        <v>30</v>
      </c>
      <c r="G528" s="4">
        <v>26.9</v>
      </c>
      <c r="H528" s="4">
        <v>85.4</v>
      </c>
      <c r="I528" s="6">
        <v>6.4897680847206489</v>
      </c>
      <c r="J528" s="5">
        <v>7.3999999999999996E-2</v>
      </c>
      <c r="K528" s="4">
        <v>23.4</v>
      </c>
      <c r="L528" s="4">
        <v>63.8</v>
      </c>
      <c r="M528" s="6">
        <v>5.174235116270431</v>
      </c>
      <c r="N528" s="5">
        <v>7.0000000000000007E-2</v>
      </c>
      <c r="O528" s="5">
        <v>1.3155329684502179</v>
      </c>
      <c r="P528" s="5">
        <v>1.3155329684502179</v>
      </c>
      <c r="Q528" s="8">
        <v>0.20833333333333334</v>
      </c>
      <c r="R528" s="8">
        <v>0.88541666666666663</v>
      </c>
      <c r="S528" s="6">
        <f t="shared" si="24"/>
        <v>16.25</v>
      </c>
      <c r="T528" s="5">
        <f t="shared" si="25"/>
        <v>8.0955874981551879E-2</v>
      </c>
      <c r="U528" s="3">
        <v>2.21</v>
      </c>
      <c r="V528" s="5">
        <f t="shared" si="26"/>
        <v>3.6631617638711256E-2</v>
      </c>
      <c r="W528" s="3">
        <v>3.6631617638711256E-2</v>
      </c>
    </row>
    <row r="529" spans="1:23" x14ac:dyDescent="0.55000000000000004">
      <c r="A529" s="3">
        <v>42</v>
      </c>
      <c r="B529" s="3" t="s">
        <v>53</v>
      </c>
      <c r="C529" s="3" t="s">
        <v>49</v>
      </c>
      <c r="D529" s="3" t="s">
        <v>41</v>
      </c>
      <c r="E529" s="2" t="s">
        <v>19</v>
      </c>
      <c r="F529" s="3">
        <v>26</v>
      </c>
      <c r="G529" s="4">
        <v>24.7</v>
      </c>
      <c r="H529" s="4">
        <v>93.8</v>
      </c>
      <c r="I529" s="6">
        <v>7.4229235648622351</v>
      </c>
      <c r="J529" s="5">
        <v>4.5999999999999999E-2</v>
      </c>
      <c r="K529" s="4">
        <v>22</v>
      </c>
      <c r="L529" s="4">
        <v>73.3</v>
      </c>
      <c r="M529" s="6">
        <v>6.1069291129823515</v>
      </c>
      <c r="N529" s="5">
        <v>4.2000000000000003E-2</v>
      </c>
      <c r="O529" s="5">
        <v>1.3159944518798836</v>
      </c>
      <c r="P529" s="5">
        <v>1.3159944518798836</v>
      </c>
      <c r="Q529" s="8">
        <v>0.20833333333333334</v>
      </c>
      <c r="R529" s="8">
        <v>0.88541666666666663</v>
      </c>
      <c r="S529" s="6">
        <f t="shared" si="24"/>
        <v>16.25</v>
      </c>
      <c r="T529" s="5">
        <f t="shared" si="25"/>
        <v>8.0984273961838993E-2</v>
      </c>
      <c r="U529" s="3">
        <v>2.21</v>
      </c>
      <c r="V529" s="5">
        <f t="shared" si="26"/>
        <v>3.6644467856035749E-2</v>
      </c>
      <c r="W529" s="3">
        <v>3.6644467856035749E-2</v>
      </c>
    </row>
    <row r="530" spans="1:23" x14ac:dyDescent="0.55000000000000004">
      <c r="A530" s="3">
        <v>14</v>
      </c>
      <c r="B530" s="3" t="s">
        <v>48</v>
      </c>
      <c r="C530" s="3" t="s">
        <v>50</v>
      </c>
      <c r="D530" s="3" t="s">
        <v>10</v>
      </c>
      <c r="E530" s="2" t="s">
        <v>18</v>
      </c>
      <c r="F530" s="3">
        <v>24</v>
      </c>
      <c r="G530" s="4">
        <v>22.3</v>
      </c>
      <c r="H530" s="4">
        <v>90.1</v>
      </c>
      <c r="I530" s="6">
        <v>7.4630822774257259</v>
      </c>
      <c r="J530" s="5">
        <v>3.9E-2</v>
      </c>
      <c r="K530" s="4">
        <v>20.100000000000001</v>
      </c>
      <c r="L530" s="4">
        <v>71.2</v>
      </c>
      <c r="M530" s="6">
        <v>6.1581758010566912</v>
      </c>
      <c r="N530" s="5">
        <v>3.7999999999999999E-2</v>
      </c>
      <c r="O530" s="5">
        <v>1.3049064763690348</v>
      </c>
      <c r="P530" s="5">
        <v>1.3049064763690348</v>
      </c>
      <c r="Q530" s="8">
        <v>0.21180555555555555</v>
      </c>
      <c r="R530" s="8">
        <v>0.88194444444444453</v>
      </c>
      <c r="S530" s="6">
        <f t="shared" si="24"/>
        <v>16.083333333333336</v>
      </c>
      <c r="T530" s="5">
        <f t="shared" si="25"/>
        <v>8.1134081432271576E-2</v>
      </c>
      <c r="U530" s="3">
        <v>2.21</v>
      </c>
      <c r="V530" s="5">
        <f t="shared" si="26"/>
        <v>3.6712254041751852E-2</v>
      </c>
      <c r="W530" s="3">
        <v>3.6712254041751852E-2</v>
      </c>
    </row>
    <row r="531" spans="1:23" x14ac:dyDescent="0.55000000000000004">
      <c r="A531" s="3">
        <v>44</v>
      </c>
      <c r="B531" s="3" t="s">
        <v>53</v>
      </c>
      <c r="C531" s="3" t="s">
        <v>49</v>
      </c>
      <c r="D531" s="3" t="s">
        <v>41</v>
      </c>
      <c r="E531" s="2" t="s">
        <v>24</v>
      </c>
      <c r="F531" s="3">
        <v>44</v>
      </c>
      <c r="G531" s="4">
        <v>25.3</v>
      </c>
      <c r="H531" s="4">
        <v>91</v>
      </c>
      <c r="I531" s="6">
        <v>7.1213277552772638</v>
      </c>
      <c r="J531" s="5">
        <v>5.7000000000000002E-2</v>
      </c>
      <c r="K531" s="4">
        <v>20.8</v>
      </c>
      <c r="L531" s="4">
        <v>67.5</v>
      </c>
      <c r="M531" s="6">
        <v>5.7575149627288695</v>
      </c>
      <c r="N531" s="5">
        <v>5.3999999999999999E-2</v>
      </c>
      <c r="O531" s="5">
        <v>1.3638127925483943</v>
      </c>
      <c r="P531" s="5">
        <v>1.3638127925483943</v>
      </c>
      <c r="Q531" s="8">
        <v>0.20277777777777781</v>
      </c>
      <c r="R531" s="8">
        <v>0.90277777777777779</v>
      </c>
      <c r="S531" s="6">
        <f t="shared" si="24"/>
        <v>16.799999999999997</v>
      </c>
      <c r="T531" s="5">
        <f t="shared" si="25"/>
        <v>8.1179332889785391E-2</v>
      </c>
      <c r="U531" s="3">
        <v>2.21</v>
      </c>
      <c r="V531" s="5">
        <f t="shared" si="26"/>
        <v>3.6732729814382525E-2</v>
      </c>
      <c r="W531" s="3">
        <v>3.6732729814382525E-2</v>
      </c>
    </row>
    <row r="532" spans="1:23" x14ac:dyDescent="0.55000000000000004">
      <c r="A532" s="3">
        <v>23</v>
      </c>
      <c r="B532" s="3" t="s">
        <v>52</v>
      </c>
      <c r="C532" s="3" t="s">
        <v>49</v>
      </c>
      <c r="D532" s="3" t="s">
        <v>40</v>
      </c>
      <c r="E532" s="2" t="s">
        <v>16</v>
      </c>
      <c r="F532" s="3">
        <v>16</v>
      </c>
      <c r="G532" s="4">
        <v>20.9</v>
      </c>
      <c r="H532" s="4">
        <v>92.4</v>
      </c>
      <c r="I532" s="6">
        <v>7.8658450578858687</v>
      </c>
      <c r="J532" s="5">
        <v>0.03</v>
      </c>
      <c r="K532" s="4">
        <v>19.600000000000001</v>
      </c>
      <c r="L532" s="4">
        <v>75.3</v>
      </c>
      <c r="M532" s="6">
        <v>6.5784042726677798</v>
      </c>
      <c r="N532" s="5">
        <v>2.9000000000000001E-2</v>
      </c>
      <c r="O532" s="5">
        <v>1.2874407852180889</v>
      </c>
      <c r="P532" s="5">
        <v>1.2874407852180889</v>
      </c>
      <c r="Q532" s="8">
        <v>0.20833333333333334</v>
      </c>
      <c r="R532" s="8">
        <v>0.86805555555555547</v>
      </c>
      <c r="S532" s="6">
        <f t="shared" si="24"/>
        <v>15.83333333333333</v>
      </c>
      <c r="T532" s="5">
        <f t="shared" si="25"/>
        <v>8.1312049592721425E-2</v>
      </c>
      <c r="U532" s="3">
        <v>2.21</v>
      </c>
      <c r="V532" s="5">
        <f t="shared" si="26"/>
        <v>3.6792782621140913E-2</v>
      </c>
      <c r="W532" s="3">
        <v>3.6792782621140913E-2</v>
      </c>
    </row>
    <row r="533" spans="1:23" x14ac:dyDescent="0.55000000000000004">
      <c r="A533" s="3">
        <v>2</v>
      </c>
      <c r="B533" s="3" t="s">
        <v>48</v>
      </c>
      <c r="C533" s="3" t="s">
        <v>49</v>
      </c>
      <c r="D533" s="3" t="s">
        <v>38</v>
      </c>
      <c r="E533" s="2" t="s">
        <v>25</v>
      </c>
      <c r="F533" s="3">
        <v>47</v>
      </c>
      <c r="G533" s="4">
        <v>28.5</v>
      </c>
      <c r="H533" s="4">
        <v>72.2</v>
      </c>
      <c r="I533" s="6">
        <v>5.3312510739128216</v>
      </c>
      <c r="J533" s="5">
        <v>7.1999999999999995E-2</v>
      </c>
      <c r="K533" s="4">
        <v>24.8</v>
      </c>
      <c r="L533" s="4">
        <v>50.5</v>
      </c>
      <c r="M533" s="6">
        <v>3.9888892996074437</v>
      </c>
      <c r="N533" s="5">
        <v>7.0000000000000007E-2</v>
      </c>
      <c r="O533" s="5">
        <v>1.342361774305378</v>
      </c>
      <c r="P533" s="5">
        <v>1.342361774305378</v>
      </c>
      <c r="Q533" s="8">
        <v>0.20833333333333334</v>
      </c>
      <c r="R533" s="8">
        <v>0.89583333333333337</v>
      </c>
      <c r="S533" s="6">
        <f t="shared" si="24"/>
        <v>16.5</v>
      </c>
      <c r="T533" s="5">
        <f t="shared" si="25"/>
        <v>8.1355259048810788E-2</v>
      </c>
      <c r="U533" s="3">
        <v>2.21</v>
      </c>
      <c r="V533" s="5">
        <f t="shared" si="26"/>
        <v>3.6812334411226603E-2</v>
      </c>
      <c r="W533" s="3">
        <v>3.6812334411226603E-2</v>
      </c>
    </row>
    <row r="534" spans="1:23" x14ac:dyDescent="0.55000000000000004">
      <c r="A534" s="3">
        <v>62</v>
      </c>
      <c r="B534" s="3" t="s">
        <v>52</v>
      </c>
      <c r="C534" s="3" t="s">
        <v>49</v>
      </c>
      <c r="D534" s="3" t="s">
        <v>40</v>
      </c>
      <c r="E534" s="3" t="s">
        <v>27</v>
      </c>
      <c r="F534" s="3">
        <v>54</v>
      </c>
      <c r="G534" s="4">
        <v>28.4</v>
      </c>
      <c r="H534" s="4">
        <v>98.2</v>
      </c>
      <c r="I534" s="6">
        <v>7.2639984823551309</v>
      </c>
      <c r="J534" s="5">
        <v>6.7000000000000004E-2</v>
      </c>
      <c r="K534" s="4">
        <v>24.9</v>
      </c>
      <c r="L534" s="4">
        <v>75.099999999999994</v>
      </c>
      <c r="M534" s="6">
        <v>5.9209325806553679</v>
      </c>
      <c r="N534" s="5">
        <v>6.5000000000000002E-2</v>
      </c>
      <c r="O534" s="5">
        <v>1.343065901699763</v>
      </c>
      <c r="P534" s="5">
        <v>1.343065901699763</v>
      </c>
      <c r="Q534" s="8">
        <v>0.20833333333333334</v>
      </c>
      <c r="R534" s="8">
        <v>0.89583333333333337</v>
      </c>
      <c r="S534" s="6">
        <f t="shared" si="24"/>
        <v>16.5</v>
      </c>
      <c r="T534" s="5">
        <f t="shared" si="25"/>
        <v>8.1397933436349268E-2</v>
      </c>
      <c r="U534" s="3">
        <v>2.21</v>
      </c>
      <c r="V534" s="5">
        <f t="shared" si="26"/>
        <v>3.6831644088845823E-2</v>
      </c>
      <c r="W534" s="3">
        <v>3.6831644088845823E-2</v>
      </c>
    </row>
    <row r="535" spans="1:23" x14ac:dyDescent="0.55000000000000004">
      <c r="A535" s="3">
        <v>15</v>
      </c>
      <c r="B535" s="3" t="s">
        <v>48</v>
      </c>
      <c r="C535" s="3" t="s">
        <v>49</v>
      </c>
      <c r="D535" s="3" t="s">
        <v>38</v>
      </c>
      <c r="E535" s="3" t="s">
        <v>30</v>
      </c>
      <c r="F535" s="3">
        <v>65</v>
      </c>
      <c r="G535" s="4">
        <v>27.4</v>
      </c>
      <c r="H535" s="4">
        <v>88.8</v>
      </c>
      <c r="I535" s="6">
        <v>6.6873826696477421</v>
      </c>
      <c r="J535" s="5">
        <v>7.5999999999999998E-2</v>
      </c>
      <c r="K535" s="4">
        <v>22.5</v>
      </c>
      <c r="L535" s="4">
        <v>65</v>
      </c>
      <c r="M535" s="6">
        <v>5.3632641316630485</v>
      </c>
      <c r="N535" s="5">
        <v>7.0000000000000007E-2</v>
      </c>
      <c r="O535" s="5">
        <v>1.3241185379846936</v>
      </c>
      <c r="P535" s="5">
        <v>1.3241185379846936</v>
      </c>
      <c r="Q535" s="8">
        <v>0.20833333333333334</v>
      </c>
      <c r="R535" s="8">
        <v>0.88541666666666663</v>
      </c>
      <c r="S535" s="6">
        <f t="shared" si="24"/>
        <v>16.25</v>
      </c>
      <c r="T535" s="5">
        <f t="shared" si="25"/>
        <v>8.1484217722134988E-2</v>
      </c>
      <c r="U535" s="3">
        <v>2.21</v>
      </c>
      <c r="V535" s="5">
        <f t="shared" si="26"/>
        <v>3.687068675209728E-2</v>
      </c>
      <c r="W535" s="3">
        <v>3.687068675209728E-2</v>
      </c>
    </row>
    <row r="536" spans="1:23" x14ac:dyDescent="0.55000000000000004">
      <c r="A536" s="3">
        <v>24</v>
      </c>
      <c r="B536" s="3" t="s">
        <v>52</v>
      </c>
      <c r="C536" s="3" t="s">
        <v>49</v>
      </c>
      <c r="D536" s="3" t="s">
        <v>40</v>
      </c>
      <c r="E536" s="2" t="s">
        <v>21</v>
      </c>
      <c r="F536" s="3">
        <v>33</v>
      </c>
      <c r="G536" s="4">
        <v>29.9</v>
      </c>
      <c r="H536" s="4">
        <v>79.400000000000006</v>
      </c>
      <c r="I536" s="6">
        <v>5.7201036567899166</v>
      </c>
      <c r="J536" s="5">
        <v>5.0999999999999997E-2</v>
      </c>
      <c r="K536" s="4">
        <v>26.3</v>
      </c>
      <c r="L536" s="4">
        <v>57.3</v>
      </c>
      <c r="M536" s="6">
        <v>4.4022462864665401</v>
      </c>
      <c r="N536" s="5">
        <v>4.4999999999999998E-2</v>
      </c>
      <c r="O536" s="5">
        <v>1.3178573703233765</v>
      </c>
      <c r="P536" s="5">
        <v>1.3178573703233765</v>
      </c>
      <c r="Q536" s="8">
        <v>0.20833333333333334</v>
      </c>
      <c r="R536" s="8">
        <v>0.88194444444444453</v>
      </c>
      <c r="S536" s="6">
        <f t="shared" si="24"/>
        <v>16.166666666666668</v>
      </c>
      <c r="T536" s="5">
        <f t="shared" si="25"/>
        <v>8.1516950741652147E-2</v>
      </c>
      <c r="U536" s="3">
        <v>2.21</v>
      </c>
      <c r="V536" s="5">
        <f t="shared" si="26"/>
        <v>3.688549807314577E-2</v>
      </c>
      <c r="W536" s="3">
        <v>3.688549807314577E-2</v>
      </c>
    </row>
    <row r="537" spans="1:23" x14ac:dyDescent="0.55000000000000004">
      <c r="A537" s="3">
        <v>28</v>
      </c>
      <c r="B537" s="3" t="s">
        <v>53</v>
      </c>
      <c r="C537" s="3" t="s">
        <v>50</v>
      </c>
      <c r="D537" s="3" t="s">
        <v>11</v>
      </c>
      <c r="E537" s="2" t="s">
        <v>16</v>
      </c>
      <c r="F537" s="3">
        <v>16</v>
      </c>
      <c r="G537" s="4">
        <v>20.9</v>
      </c>
      <c r="H537" s="4">
        <v>92.6</v>
      </c>
      <c r="I537" s="6">
        <v>7.8828706965393005</v>
      </c>
      <c r="J537" s="5">
        <v>0.04</v>
      </c>
      <c r="K537" s="4">
        <v>19.7</v>
      </c>
      <c r="L537" s="4">
        <v>75.599999999999994</v>
      </c>
      <c r="M537" s="6">
        <v>6.5913454519967525</v>
      </c>
      <c r="N537" s="5">
        <v>4.1000000000000002E-2</v>
      </c>
      <c r="O537" s="5">
        <v>1.291525244542548</v>
      </c>
      <c r="P537" s="5">
        <v>1.291525244542548</v>
      </c>
      <c r="Q537" s="8">
        <v>0.20833333333333334</v>
      </c>
      <c r="R537" s="8">
        <v>0.86805555555555547</v>
      </c>
      <c r="S537" s="6">
        <f t="shared" si="24"/>
        <v>15.83333333333333</v>
      </c>
      <c r="T537" s="5">
        <f t="shared" si="25"/>
        <v>8.1570015444792518E-2</v>
      </c>
      <c r="U537" s="3">
        <v>2.21</v>
      </c>
      <c r="V537" s="5">
        <f t="shared" si="26"/>
        <v>3.6909509251037337E-2</v>
      </c>
      <c r="W537" s="3">
        <v>3.6909509251037337E-2</v>
      </c>
    </row>
    <row r="538" spans="1:23" x14ac:dyDescent="0.55000000000000004">
      <c r="A538" s="3">
        <v>35</v>
      </c>
      <c r="B538" s="3" t="s">
        <v>51</v>
      </c>
      <c r="C538" s="3" t="s">
        <v>50</v>
      </c>
      <c r="D538" s="3" t="s">
        <v>9</v>
      </c>
      <c r="E538" s="2" t="s">
        <v>15</v>
      </c>
      <c r="F538" s="3">
        <v>12</v>
      </c>
      <c r="G538" s="4">
        <v>22.4</v>
      </c>
      <c r="H538" s="4">
        <v>113.2</v>
      </c>
      <c r="I538" s="6">
        <v>9.358375342469877</v>
      </c>
      <c r="J538" s="5">
        <v>3.5000000000000003E-2</v>
      </c>
      <c r="K538" s="4">
        <v>19.5</v>
      </c>
      <c r="L538" s="4">
        <v>92.1</v>
      </c>
      <c r="M538" s="6">
        <v>8.0623162515586895</v>
      </c>
      <c r="N538" s="5">
        <v>3.1E-2</v>
      </c>
      <c r="O538" s="5">
        <v>1.2960590909111875</v>
      </c>
      <c r="P538" s="5">
        <v>1.2960590909111875</v>
      </c>
      <c r="Q538" s="8">
        <v>0.21319444444444444</v>
      </c>
      <c r="R538" s="8">
        <v>0.875</v>
      </c>
      <c r="S538" s="6">
        <f t="shared" si="24"/>
        <v>15.883333333333333</v>
      </c>
      <c r="T538" s="5">
        <f t="shared" si="25"/>
        <v>8.1598683583075815E-2</v>
      </c>
      <c r="U538" s="3">
        <v>2.21</v>
      </c>
      <c r="V538" s="5">
        <f t="shared" si="26"/>
        <v>3.6922481259310323E-2</v>
      </c>
      <c r="W538" s="3">
        <v>3.6922481259310323E-2</v>
      </c>
    </row>
    <row r="539" spans="1:23" x14ac:dyDescent="0.55000000000000004">
      <c r="A539" s="3">
        <v>46</v>
      </c>
      <c r="B539" s="3" t="s">
        <v>51</v>
      </c>
      <c r="C539" s="3" t="s">
        <v>49</v>
      </c>
      <c r="D539" s="3" t="s">
        <v>39</v>
      </c>
      <c r="E539" s="2" t="s">
        <v>13</v>
      </c>
      <c r="F539" s="3">
        <v>8</v>
      </c>
      <c r="G539" s="4">
        <v>22.3</v>
      </c>
      <c r="H539" s="4">
        <v>113</v>
      </c>
      <c r="I539" s="6">
        <v>9.3599145099789904</v>
      </c>
      <c r="J539" s="5">
        <v>0.02</v>
      </c>
      <c r="K539" s="4">
        <v>19.3</v>
      </c>
      <c r="L539" s="4">
        <v>91.9</v>
      </c>
      <c r="M539" s="6">
        <v>8.077349866472197</v>
      </c>
      <c r="N539" s="5">
        <v>0.02</v>
      </c>
      <c r="O539" s="5">
        <v>1.2825646435067934</v>
      </c>
      <c r="P539" s="5">
        <v>1.2825646435067934</v>
      </c>
      <c r="Q539" s="8">
        <v>0.20833333333333334</v>
      </c>
      <c r="R539" s="8">
        <v>0.86319444444444438</v>
      </c>
      <c r="S539" s="6">
        <f t="shared" si="24"/>
        <v>15.716666666666665</v>
      </c>
      <c r="T539" s="5">
        <f t="shared" si="25"/>
        <v>8.1605385588979437E-2</v>
      </c>
      <c r="U539" s="3">
        <v>2.21</v>
      </c>
      <c r="V539" s="5">
        <f t="shared" si="26"/>
        <v>3.6925513841167164E-2</v>
      </c>
      <c r="W539" s="3">
        <v>3.6925513841167164E-2</v>
      </c>
    </row>
    <row r="540" spans="1:23" x14ac:dyDescent="0.55000000000000004">
      <c r="A540" s="3">
        <v>51</v>
      </c>
      <c r="B540" s="3" t="s">
        <v>48</v>
      </c>
      <c r="C540" s="3" t="s">
        <v>50</v>
      </c>
      <c r="D540" s="3" t="s">
        <v>10</v>
      </c>
      <c r="E540" s="2" t="s">
        <v>16</v>
      </c>
      <c r="F540" s="3">
        <v>16</v>
      </c>
      <c r="G540" s="4">
        <v>21</v>
      </c>
      <c r="H540" s="4">
        <v>81</v>
      </c>
      <c r="I540" s="6">
        <v>6.8817962090955112</v>
      </c>
      <c r="J540" s="5">
        <v>4.2000000000000003E-2</v>
      </c>
      <c r="K540" s="4">
        <v>19.8</v>
      </c>
      <c r="L540" s="4">
        <v>64.2</v>
      </c>
      <c r="M540" s="6">
        <v>5.5861849232371403</v>
      </c>
      <c r="N540" s="5">
        <v>4.2000000000000003E-2</v>
      </c>
      <c r="O540" s="5">
        <v>1.2956112858583708</v>
      </c>
      <c r="P540" s="5">
        <v>1.2956112858583708</v>
      </c>
      <c r="Q540" s="8">
        <v>0.20833333333333334</v>
      </c>
      <c r="R540" s="8">
        <v>0.86805555555555547</v>
      </c>
      <c r="S540" s="6">
        <f t="shared" si="24"/>
        <v>15.83333333333333</v>
      </c>
      <c r="T540" s="5">
        <f t="shared" si="25"/>
        <v>8.1828081212107648E-2</v>
      </c>
      <c r="U540" s="3">
        <v>2.21</v>
      </c>
      <c r="V540" s="5">
        <f t="shared" si="26"/>
        <v>3.7026281091451424E-2</v>
      </c>
      <c r="W540" s="3">
        <v>3.7026281091451424E-2</v>
      </c>
    </row>
    <row r="541" spans="1:23" x14ac:dyDescent="0.55000000000000004">
      <c r="A541" s="3">
        <v>43</v>
      </c>
      <c r="B541" s="3" t="s">
        <v>51</v>
      </c>
      <c r="C541" s="3" t="s">
        <v>50</v>
      </c>
      <c r="D541" s="3" t="s">
        <v>9</v>
      </c>
      <c r="E541" s="2" t="s">
        <v>16</v>
      </c>
      <c r="F541" s="3">
        <v>16</v>
      </c>
      <c r="G541" s="4">
        <v>20.9</v>
      </c>
      <c r="H541" s="4">
        <v>88.2</v>
      </c>
      <c r="I541" s="6">
        <v>7.508306646163784</v>
      </c>
      <c r="J541" s="5">
        <v>3.2000000000000001E-2</v>
      </c>
      <c r="K541" s="4">
        <v>19.8</v>
      </c>
      <c r="L541" s="4">
        <v>71.400000000000006</v>
      </c>
      <c r="M541" s="6">
        <v>6.212672952011399</v>
      </c>
      <c r="N541" s="5">
        <v>3.2000000000000001E-2</v>
      </c>
      <c r="O541" s="5">
        <v>1.2956336941523849</v>
      </c>
      <c r="P541" s="5">
        <v>1.2956336941523849</v>
      </c>
      <c r="Q541" s="8">
        <v>0.20833333333333334</v>
      </c>
      <c r="R541" s="8">
        <v>0.86805555555555547</v>
      </c>
      <c r="S541" s="6">
        <f t="shared" si="24"/>
        <v>15.83333333333333</v>
      </c>
      <c r="T541" s="5">
        <f t="shared" si="25"/>
        <v>8.1829496472782218E-2</v>
      </c>
      <c r="U541" s="3">
        <v>2.21</v>
      </c>
      <c r="V541" s="5">
        <f t="shared" si="26"/>
        <v>3.7026921480896938E-2</v>
      </c>
      <c r="W541" s="3">
        <v>3.7026921480896938E-2</v>
      </c>
    </row>
    <row r="542" spans="1:23" x14ac:dyDescent="0.55000000000000004">
      <c r="A542" s="3">
        <v>1</v>
      </c>
      <c r="B542" s="3" t="s">
        <v>51</v>
      </c>
      <c r="C542" s="3" t="s">
        <v>49</v>
      </c>
      <c r="D542" s="3" t="s">
        <v>39</v>
      </c>
      <c r="E542" s="2" t="s">
        <v>20</v>
      </c>
      <c r="F542" s="3">
        <v>30</v>
      </c>
      <c r="G542" s="4">
        <v>27.3</v>
      </c>
      <c r="H542" s="4">
        <v>86.4</v>
      </c>
      <c r="I542" s="6">
        <v>6.5183922288847667</v>
      </c>
      <c r="J542" s="5">
        <v>3.7999999999999999E-2</v>
      </c>
      <c r="K542" s="4">
        <v>23.6</v>
      </c>
      <c r="L542" s="4">
        <v>64.2</v>
      </c>
      <c r="M542" s="6">
        <v>5.1869122677890696</v>
      </c>
      <c r="N542" s="5">
        <v>3.6999999999999998E-2</v>
      </c>
      <c r="O542" s="5">
        <v>1.3314799610956971</v>
      </c>
      <c r="P542" s="5">
        <v>1.3314799610956971</v>
      </c>
      <c r="Q542" s="8">
        <v>0.20833333333333334</v>
      </c>
      <c r="R542" s="8">
        <v>0.88541666666666663</v>
      </c>
      <c r="S542" s="6">
        <f t="shared" si="24"/>
        <v>16.25</v>
      </c>
      <c r="T542" s="5">
        <f t="shared" si="25"/>
        <v>8.1937228375119825E-2</v>
      </c>
      <c r="U542" s="3">
        <v>2.21</v>
      </c>
      <c r="V542" s="5">
        <f t="shared" si="26"/>
        <v>3.7075668948018017E-2</v>
      </c>
      <c r="W542" s="3">
        <v>3.7075668948018017E-2</v>
      </c>
    </row>
    <row r="543" spans="1:23" x14ac:dyDescent="0.55000000000000004">
      <c r="A543" s="3">
        <v>18</v>
      </c>
      <c r="B543" s="3" t="s">
        <v>51</v>
      </c>
      <c r="C543" s="3" t="s">
        <v>50</v>
      </c>
      <c r="D543" s="3" t="s">
        <v>9</v>
      </c>
      <c r="E543" s="2" t="s">
        <v>16</v>
      </c>
      <c r="F543" s="3">
        <v>16</v>
      </c>
      <c r="G543" s="4">
        <v>20.8</v>
      </c>
      <c r="H543" s="4">
        <v>101.1</v>
      </c>
      <c r="I543" s="6">
        <v>8.6234779663983492</v>
      </c>
      <c r="J543" s="5">
        <v>3.7999999999999999E-2</v>
      </c>
      <c r="K543" s="4">
        <v>19.7</v>
      </c>
      <c r="L543" s="4">
        <v>84</v>
      </c>
      <c r="M543" s="6">
        <v>7.3237171688852811</v>
      </c>
      <c r="N543" s="5">
        <v>3.9E-2</v>
      </c>
      <c r="O543" s="5">
        <v>1.2997607975130681</v>
      </c>
      <c r="P543" s="5">
        <v>1.2997607975130681</v>
      </c>
      <c r="Q543" s="8">
        <v>0.20833333333333334</v>
      </c>
      <c r="R543" s="8">
        <v>0.86805555555555547</v>
      </c>
      <c r="S543" s="6">
        <f t="shared" si="24"/>
        <v>15.83333333333333</v>
      </c>
      <c r="T543" s="5">
        <f t="shared" si="25"/>
        <v>8.2090155632404307E-2</v>
      </c>
      <c r="U543" s="3">
        <v>2.21</v>
      </c>
      <c r="V543" s="5">
        <f t="shared" si="26"/>
        <v>3.7144866801992901E-2</v>
      </c>
      <c r="W543" s="3">
        <v>3.7144866801992901E-2</v>
      </c>
    </row>
    <row r="544" spans="1:23" x14ac:dyDescent="0.55000000000000004">
      <c r="A544" s="3">
        <v>59</v>
      </c>
      <c r="B544" s="3" t="s">
        <v>52</v>
      </c>
      <c r="C544" s="3" t="s">
        <v>49</v>
      </c>
      <c r="D544" s="3" t="s">
        <v>40</v>
      </c>
      <c r="E544" s="2" t="s">
        <v>13</v>
      </c>
      <c r="F544" s="3">
        <v>8</v>
      </c>
      <c r="G544" s="4">
        <v>22.3</v>
      </c>
      <c r="H544" s="4">
        <v>111.4</v>
      </c>
      <c r="I544" s="6">
        <v>9.2273847470058374</v>
      </c>
      <c r="J544" s="5">
        <v>2.3E-2</v>
      </c>
      <c r="K544" s="4">
        <v>19.3</v>
      </c>
      <c r="L544" s="4">
        <v>90.3</v>
      </c>
      <c r="M544" s="6">
        <v>7.9367213595477617</v>
      </c>
      <c r="N544" s="5">
        <v>2.1999999999999999E-2</v>
      </c>
      <c r="O544" s="5">
        <v>1.2906633874580757</v>
      </c>
      <c r="P544" s="5">
        <v>1.2906633874580757</v>
      </c>
      <c r="Q544" s="8">
        <v>0.20833333333333334</v>
      </c>
      <c r="R544" s="8">
        <v>0.86319444444444438</v>
      </c>
      <c r="S544" s="6">
        <f t="shared" si="24"/>
        <v>15.716666666666665</v>
      </c>
      <c r="T544" s="5">
        <f t="shared" si="25"/>
        <v>8.2120682128827727E-2</v>
      </c>
      <c r="U544" s="3">
        <v>2.21</v>
      </c>
      <c r="V544" s="5">
        <f t="shared" si="26"/>
        <v>3.7158679696302148E-2</v>
      </c>
      <c r="W544" s="3">
        <v>3.7158679696302148E-2</v>
      </c>
    </row>
    <row r="545" spans="1:23" x14ac:dyDescent="0.55000000000000004">
      <c r="A545" s="3">
        <v>50</v>
      </c>
      <c r="B545" s="3" t="s">
        <v>53</v>
      </c>
      <c r="C545" s="3" t="s">
        <v>50</v>
      </c>
      <c r="D545" s="3" t="s">
        <v>11</v>
      </c>
      <c r="E545" s="2" t="s">
        <v>18</v>
      </c>
      <c r="F545" s="3">
        <v>24</v>
      </c>
      <c r="G545" s="4">
        <v>22.6</v>
      </c>
      <c r="H545" s="4">
        <v>108.8</v>
      </c>
      <c r="I545" s="6">
        <v>8.9599940024155895</v>
      </c>
      <c r="J545" s="5">
        <v>3.9E-2</v>
      </c>
      <c r="K545" s="4">
        <v>20.2</v>
      </c>
      <c r="L545" s="4">
        <v>88.5</v>
      </c>
      <c r="M545" s="6">
        <v>7.6392117790259917</v>
      </c>
      <c r="N545" s="5">
        <v>3.6999999999999998E-2</v>
      </c>
      <c r="O545" s="5">
        <v>1.3207822233895978</v>
      </c>
      <c r="P545" s="5">
        <v>1.3207822233895978</v>
      </c>
      <c r="Q545" s="8">
        <v>0.21180555555555555</v>
      </c>
      <c r="R545" s="8">
        <v>0.88194444444444453</v>
      </c>
      <c r="S545" s="6">
        <f t="shared" si="24"/>
        <v>16.083333333333336</v>
      </c>
      <c r="T545" s="5">
        <f t="shared" si="25"/>
        <v>8.2121174511270323E-2</v>
      </c>
      <c r="U545" s="3">
        <v>2.21</v>
      </c>
      <c r="V545" s="5">
        <f t="shared" si="26"/>
        <v>3.7158902493787477E-2</v>
      </c>
      <c r="W545" s="3">
        <v>3.7158902493787477E-2</v>
      </c>
    </row>
    <row r="546" spans="1:23" x14ac:dyDescent="0.55000000000000004">
      <c r="A546" s="3">
        <v>14</v>
      </c>
      <c r="B546" s="3" t="s">
        <v>48</v>
      </c>
      <c r="C546" s="3" t="s">
        <v>50</v>
      </c>
      <c r="D546" s="3" t="s">
        <v>10</v>
      </c>
      <c r="E546" s="2" t="s">
        <v>22</v>
      </c>
      <c r="F546" s="3">
        <v>37</v>
      </c>
      <c r="G546" s="4">
        <v>29.8</v>
      </c>
      <c r="H546" s="4">
        <v>80.2</v>
      </c>
      <c r="I546" s="6">
        <v>5.7878372963794025</v>
      </c>
      <c r="J546" s="5">
        <v>6.0999999999999999E-2</v>
      </c>
      <c r="K546" s="4">
        <v>24.8</v>
      </c>
      <c r="L546" s="4">
        <v>56.2</v>
      </c>
      <c r="M546" s="6">
        <v>4.4391203690680854</v>
      </c>
      <c r="N546" s="5">
        <v>5.6000000000000001E-2</v>
      </c>
      <c r="O546" s="5">
        <v>1.3487169273113171</v>
      </c>
      <c r="P546" s="5">
        <v>1.3487169273113171</v>
      </c>
      <c r="Q546" s="8">
        <v>0.20138888888888887</v>
      </c>
      <c r="R546" s="8">
        <v>0.88541666666666663</v>
      </c>
      <c r="S546" s="6">
        <f t="shared" si="24"/>
        <v>16.416666666666668</v>
      </c>
      <c r="T546" s="5">
        <f t="shared" si="25"/>
        <v>8.2155345826070064E-2</v>
      </c>
      <c r="U546" s="3">
        <v>2.21</v>
      </c>
      <c r="V546" s="5">
        <f t="shared" si="26"/>
        <v>3.7174364627181024E-2</v>
      </c>
      <c r="W546" s="3">
        <v>3.7174364627181024E-2</v>
      </c>
    </row>
    <row r="547" spans="1:23" x14ac:dyDescent="0.55000000000000004">
      <c r="A547" s="3">
        <v>48</v>
      </c>
      <c r="B547" s="3" t="s">
        <v>52</v>
      </c>
      <c r="C547" s="3" t="s">
        <v>49</v>
      </c>
      <c r="D547" s="3" t="s">
        <v>40</v>
      </c>
      <c r="E547" s="2" t="s">
        <v>20</v>
      </c>
      <c r="F547" s="3">
        <v>30</v>
      </c>
      <c r="G547" s="4">
        <v>27.3</v>
      </c>
      <c r="H547" s="4">
        <v>81.900000000000006</v>
      </c>
      <c r="I547" s="6">
        <v>6.178892633630352</v>
      </c>
      <c r="J547" s="5">
        <v>5.8000000000000003E-2</v>
      </c>
      <c r="K547" s="4">
        <v>23.4</v>
      </c>
      <c r="L547" s="4">
        <v>59.7</v>
      </c>
      <c r="M547" s="6">
        <v>4.8417215743157485</v>
      </c>
      <c r="N547" s="5">
        <v>5.5E-2</v>
      </c>
      <c r="O547" s="5">
        <v>1.3371710593146036</v>
      </c>
      <c r="P547" s="5">
        <v>1.3371710593146036</v>
      </c>
      <c r="Q547" s="8">
        <v>0.20833333333333334</v>
      </c>
      <c r="R547" s="8">
        <v>0.88541666666666663</v>
      </c>
      <c r="S547" s="6">
        <f t="shared" si="24"/>
        <v>16.25</v>
      </c>
      <c r="T547" s="5">
        <f t="shared" si="25"/>
        <v>8.2287449803975607E-2</v>
      </c>
      <c r="U547" s="3">
        <v>2.21</v>
      </c>
      <c r="V547" s="5">
        <f t="shared" si="26"/>
        <v>3.723414018279439E-2</v>
      </c>
      <c r="W547" s="3">
        <v>3.723414018279439E-2</v>
      </c>
    </row>
    <row r="548" spans="1:23" x14ac:dyDescent="0.55000000000000004">
      <c r="A548" s="3">
        <v>52</v>
      </c>
      <c r="B548" s="3" t="s">
        <v>48</v>
      </c>
      <c r="C548" s="3" t="s">
        <v>49</v>
      </c>
      <c r="D548" s="3" t="s">
        <v>38</v>
      </c>
      <c r="E548" s="2" t="s">
        <v>13</v>
      </c>
      <c r="F548" s="3">
        <v>8</v>
      </c>
      <c r="G548" s="4">
        <v>22.3</v>
      </c>
      <c r="H548" s="4">
        <v>109.8</v>
      </c>
      <c r="I548" s="6">
        <v>9.0948549840326827</v>
      </c>
      <c r="J548" s="5">
        <v>2.1000000000000001E-2</v>
      </c>
      <c r="K548" s="4">
        <v>19.3</v>
      </c>
      <c r="L548" s="4">
        <v>88.7</v>
      </c>
      <c r="M548" s="6">
        <v>7.7960928526233282</v>
      </c>
      <c r="N548" s="5">
        <v>2.1000000000000001E-2</v>
      </c>
      <c r="O548" s="5">
        <v>1.2987621314093545</v>
      </c>
      <c r="P548" s="5">
        <v>1.2987621314093545</v>
      </c>
      <c r="Q548" s="8">
        <v>0.20833333333333334</v>
      </c>
      <c r="R548" s="8">
        <v>0.86319444444444438</v>
      </c>
      <c r="S548" s="6">
        <f t="shared" si="24"/>
        <v>15.716666666666665</v>
      </c>
      <c r="T548" s="5">
        <f t="shared" si="25"/>
        <v>8.2635978668675794E-2</v>
      </c>
      <c r="U548" s="3">
        <v>2.21</v>
      </c>
      <c r="V548" s="5">
        <f t="shared" si="26"/>
        <v>3.7391845551437007E-2</v>
      </c>
      <c r="W548" s="3">
        <v>3.7391845551437007E-2</v>
      </c>
    </row>
    <row r="549" spans="1:23" x14ac:dyDescent="0.55000000000000004">
      <c r="A549" s="3">
        <v>5</v>
      </c>
      <c r="B549" s="3" t="s">
        <v>48</v>
      </c>
      <c r="C549" s="3" t="s">
        <v>49</v>
      </c>
      <c r="D549" s="3" t="s">
        <v>38</v>
      </c>
      <c r="E549" s="2" t="s">
        <v>17</v>
      </c>
      <c r="F549" s="3">
        <v>19</v>
      </c>
      <c r="G549" s="4">
        <v>22.1</v>
      </c>
      <c r="H549" s="4">
        <v>70.8</v>
      </c>
      <c r="I549" s="6">
        <v>5.8872045862888607</v>
      </c>
      <c r="J549" s="5">
        <v>3.1E-2</v>
      </c>
      <c r="K549" s="4">
        <v>17.100000000000001</v>
      </c>
      <c r="L549" s="4">
        <v>49.4</v>
      </c>
      <c r="M549" s="6">
        <v>4.5427877267099639</v>
      </c>
      <c r="N549" s="5">
        <v>2.9000000000000001E-2</v>
      </c>
      <c r="O549" s="5">
        <v>1.3444168595788968</v>
      </c>
      <c r="P549" s="5">
        <v>1.3444168595788968</v>
      </c>
      <c r="Q549" s="8">
        <v>0.19930555555555554</v>
      </c>
      <c r="R549" s="8">
        <v>0.875</v>
      </c>
      <c r="S549" s="6">
        <f t="shared" si="24"/>
        <v>16.216666666666669</v>
      </c>
      <c r="T549" s="5">
        <f t="shared" si="25"/>
        <v>8.2903403468380057E-2</v>
      </c>
      <c r="U549" s="3">
        <v>2.21</v>
      </c>
      <c r="V549" s="5">
        <f t="shared" si="26"/>
        <v>3.7512852248135775E-2</v>
      </c>
      <c r="W549" s="3">
        <v>3.7512852248135775E-2</v>
      </c>
    </row>
    <row r="550" spans="1:23" x14ac:dyDescent="0.55000000000000004">
      <c r="A550" s="3">
        <v>14</v>
      </c>
      <c r="B550" s="3" t="s">
        <v>48</v>
      </c>
      <c r="C550" s="3" t="s">
        <v>50</v>
      </c>
      <c r="D550" s="3" t="s">
        <v>10</v>
      </c>
      <c r="E550" s="2" t="s">
        <v>13</v>
      </c>
      <c r="F550" s="3">
        <v>8</v>
      </c>
      <c r="G550" s="4">
        <v>21.8</v>
      </c>
      <c r="H550" s="4">
        <v>111.6</v>
      </c>
      <c r="I550" s="6">
        <v>9.3341079738840254</v>
      </c>
      <c r="J550" s="5">
        <v>3.6999999999999998E-2</v>
      </c>
      <c r="K550" s="4">
        <v>19.100000000000001</v>
      </c>
      <c r="L550" s="4">
        <v>91</v>
      </c>
      <c r="M550" s="6">
        <v>8.0306972686648734</v>
      </c>
      <c r="N550" s="5">
        <v>3.5000000000000003E-2</v>
      </c>
      <c r="O550" s="5">
        <v>1.3034107052191519</v>
      </c>
      <c r="P550" s="5">
        <v>1.3034107052191519</v>
      </c>
      <c r="Q550" s="8">
        <v>0.20833333333333334</v>
      </c>
      <c r="R550" s="8">
        <v>0.86319444444444438</v>
      </c>
      <c r="S550" s="6">
        <f t="shared" si="24"/>
        <v>15.716666666666665</v>
      </c>
      <c r="T550" s="5">
        <f t="shared" si="25"/>
        <v>8.2931752187856977E-2</v>
      </c>
      <c r="U550" s="3">
        <v>2.21</v>
      </c>
      <c r="V550" s="5">
        <f t="shared" si="26"/>
        <v>3.7525679723012205E-2</v>
      </c>
      <c r="W550" s="3">
        <v>3.7525679723012205E-2</v>
      </c>
    </row>
    <row r="551" spans="1:23" x14ac:dyDescent="0.55000000000000004">
      <c r="A551" s="3">
        <v>23</v>
      </c>
      <c r="B551" s="3" t="s">
        <v>52</v>
      </c>
      <c r="C551" s="3" t="s">
        <v>49</v>
      </c>
      <c r="D551" s="3" t="s">
        <v>40</v>
      </c>
      <c r="E551" s="2" t="s">
        <v>19</v>
      </c>
      <c r="F551" s="3">
        <v>26</v>
      </c>
      <c r="G551" s="4">
        <v>25.6</v>
      </c>
      <c r="H551" s="4">
        <v>93.1</v>
      </c>
      <c r="I551" s="6">
        <v>7.2453252922273634</v>
      </c>
      <c r="J551" s="5">
        <v>4.1000000000000002E-2</v>
      </c>
      <c r="K551" s="4">
        <v>22.3</v>
      </c>
      <c r="L551" s="4">
        <v>71.2</v>
      </c>
      <c r="M551" s="6">
        <v>5.8975744523053466</v>
      </c>
      <c r="N551" s="5">
        <v>3.9E-2</v>
      </c>
      <c r="O551" s="5">
        <v>1.3477508399220168</v>
      </c>
      <c r="P551" s="5">
        <v>1.3477508399220168</v>
      </c>
      <c r="Q551" s="8">
        <v>0.20833333333333334</v>
      </c>
      <c r="R551" s="8">
        <v>0.88541666666666663</v>
      </c>
      <c r="S551" s="6">
        <f t="shared" si="24"/>
        <v>16.25</v>
      </c>
      <c r="T551" s="5">
        <f t="shared" si="25"/>
        <v>8.2938513225970262E-2</v>
      </c>
      <c r="U551" s="3">
        <v>2.21</v>
      </c>
      <c r="V551" s="5">
        <f t="shared" si="26"/>
        <v>3.7528739016276139E-2</v>
      </c>
      <c r="W551" s="3">
        <v>3.7528739016276139E-2</v>
      </c>
    </row>
    <row r="552" spans="1:23" x14ac:dyDescent="0.55000000000000004">
      <c r="A552" s="3">
        <v>29</v>
      </c>
      <c r="B552" s="3" t="s">
        <v>52</v>
      </c>
      <c r="C552" s="3" t="s">
        <v>50</v>
      </c>
      <c r="D552" s="3" t="s">
        <v>12</v>
      </c>
      <c r="E552" s="2" t="s">
        <v>19</v>
      </c>
      <c r="F552" s="3">
        <v>26</v>
      </c>
      <c r="G552" s="4">
        <v>24.5</v>
      </c>
      <c r="H552" s="4">
        <v>111.7</v>
      </c>
      <c r="I552" s="6">
        <v>8.8726178934253426</v>
      </c>
      <c r="J552" s="5">
        <v>5.3999999999999999E-2</v>
      </c>
      <c r="K552" s="4">
        <v>22.9</v>
      </c>
      <c r="L552" s="4">
        <v>91.9</v>
      </c>
      <c r="M552" s="6">
        <v>7.524722204564033</v>
      </c>
      <c r="N552" s="5">
        <v>4.8000000000000001E-2</v>
      </c>
      <c r="O552" s="5">
        <v>1.3478956888613096</v>
      </c>
      <c r="P552" s="5">
        <v>1.3478956888613096</v>
      </c>
      <c r="Q552" s="8">
        <v>0.20833333333333334</v>
      </c>
      <c r="R552" s="8">
        <v>0.88541666666666663</v>
      </c>
      <c r="S552" s="6">
        <f t="shared" si="24"/>
        <v>16.25</v>
      </c>
      <c r="T552" s="5">
        <f t="shared" si="25"/>
        <v>8.2947427006849817E-2</v>
      </c>
      <c r="U552" s="3">
        <v>2.21</v>
      </c>
      <c r="V552" s="5">
        <f t="shared" si="26"/>
        <v>3.7532772401289508E-2</v>
      </c>
      <c r="W552" s="3">
        <v>3.7532772401289508E-2</v>
      </c>
    </row>
    <row r="553" spans="1:23" x14ac:dyDescent="0.55000000000000004">
      <c r="A553" s="3">
        <v>5</v>
      </c>
      <c r="B553" s="3" t="s">
        <v>48</v>
      </c>
      <c r="C553" s="3" t="s">
        <v>49</v>
      </c>
      <c r="D553" s="3" t="s">
        <v>38</v>
      </c>
      <c r="E553" s="2" t="s">
        <v>13</v>
      </c>
      <c r="F553" s="3">
        <v>8</v>
      </c>
      <c r="G553" s="4">
        <v>21.7</v>
      </c>
      <c r="H553" s="4">
        <v>107.9</v>
      </c>
      <c r="I553" s="6">
        <v>9.0422553202559701</v>
      </c>
      <c r="J553" s="5">
        <v>2.1000000000000001E-2</v>
      </c>
      <c r="K553" s="4">
        <v>19</v>
      </c>
      <c r="L553" s="4">
        <v>87.5</v>
      </c>
      <c r="M553" s="6">
        <v>7.7375087194677485</v>
      </c>
      <c r="N553" s="5">
        <v>2.1000000000000001E-2</v>
      </c>
      <c r="O553" s="5">
        <v>1.3047466007882216</v>
      </c>
      <c r="P553" s="5">
        <v>1.3047466007882216</v>
      </c>
      <c r="Q553" s="8">
        <v>0.20833333333333334</v>
      </c>
      <c r="R553" s="8">
        <v>0.86319444444444438</v>
      </c>
      <c r="S553" s="6">
        <f t="shared" si="24"/>
        <v>15.716666666666665</v>
      </c>
      <c r="T553" s="5">
        <f t="shared" si="25"/>
        <v>8.3016750845486001E-2</v>
      </c>
      <c r="U553" s="3">
        <v>2.21</v>
      </c>
      <c r="V553" s="5">
        <f t="shared" si="26"/>
        <v>3.7564140654066068E-2</v>
      </c>
      <c r="W553" s="3">
        <v>3.7564140654066068E-2</v>
      </c>
    </row>
    <row r="554" spans="1:23" x14ac:dyDescent="0.55000000000000004">
      <c r="A554" s="3">
        <v>1</v>
      </c>
      <c r="B554" s="3" t="s">
        <v>51</v>
      </c>
      <c r="C554" s="3" t="s">
        <v>49</v>
      </c>
      <c r="D554" s="3" t="s">
        <v>39</v>
      </c>
      <c r="E554" s="3" t="s">
        <v>32</v>
      </c>
      <c r="F554" s="3">
        <v>72</v>
      </c>
      <c r="G554" s="4">
        <v>29.6</v>
      </c>
      <c r="H554" s="4">
        <v>78.2</v>
      </c>
      <c r="I554" s="6">
        <v>5.6632886229398824</v>
      </c>
      <c r="J554" s="5">
        <v>4.7E-2</v>
      </c>
      <c r="K554" s="4">
        <v>24.8</v>
      </c>
      <c r="L554" s="4">
        <v>54.6</v>
      </c>
      <c r="M554" s="6">
        <v>4.3127397179914144</v>
      </c>
      <c r="N554" s="5">
        <v>4.2999999999999997E-2</v>
      </c>
      <c r="O554" s="5">
        <v>1.350548904948468</v>
      </c>
      <c r="P554" s="5">
        <v>1.350548904948468</v>
      </c>
      <c r="Q554" s="8">
        <v>0.20833333333333334</v>
      </c>
      <c r="R554" s="8">
        <v>0.88541666666666663</v>
      </c>
      <c r="S554" s="6">
        <f t="shared" si="24"/>
        <v>16.25</v>
      </c>
      <c r="T554" s="5">
        <f t="shared" si="25"/>
        <v>8.3110701842982651E-2</v>
      </c>
      <c r="U554" s="3">
        <v>2.21</v>
      </c>
      <c r="V554" s="5">
        <f t="shared" si="26"/>
        <v>3.7606652417639205E-2</v>
      </c>
      <c r="W554" s="3">
        <v>3.7606652417639205E-2</v>
      </c>
    </row>
    <row r="555" spans="1:23" x14ac:dyDescent="0.55000000000000004">
      <c r="A555" s="3">
        <v>49</v>
      </c>
      <c r="B555" s="3" t="s">
        <v>51</v>
      </c>
      <c r="C555" s="3" t="s">
        <v>49</v>
      </c>
      <c r="D555" s="3" t="s">
        <v>39</v>
      </c>
      <c r="E555" s="2" t="s">
        <v>20</v>
      </c>
      <c r="F555" s="3">
        <v>30</v>
      </c>
      <c r="G555" s="4">
        <v>27.5</v>
      </c>
      <c r="H555" s="4">
        <v>97.2</v>
      </c>
      <c r="I555" s="6">
        <v>7.3067958245981606</v>
      </c>
      <c r="J555" s="5">
        <v>4.1000000000000002E-2</v>
      </c>
      <c r="K555" s="4">
        <v>23.8</v>
      </c>
      <c r="L555" s="4">
        <v>74</v>
      </c>
      <c r="M555" s="6">
        <v>5.9560539517983866</v>
      </c>
      <c r="N555" s="5">
        <v>0.04</v>
      </c>
      <c r="O555" s="5">
        <v>1.350741872799774</v>
      </c>
      <c r="P555" s="5">
        <v>1.350741872799774</v>
      </c>
      <c r="Q555" s="8">
        <v>0.20833333333333334</v>
      </c>
      <c r="R555" s="8">
        <v>0.88541666666666663</v>
      </c>
      <c r="S555" s="6">
        <f t="shared" si="24"/>
        <v>16.25</v>
      </c>
      <c r="T555" s="5">
        <f t="shared" si="25"/>
        <v>8.3122576787678398E-2</v>
      </c>
      <c r="U555" s="3">
        <v>2.21</v>
      </c>
      <c r="V555" s="5">
        <f t="shared" si="26"/>
        <v>3.7612025695782078E-2</v>
      </c>
      <c r="W555" s="3">
        <v>3.7612025695782078E-2</v>
      </c>
    </row>
    <row r="556" spans="1:23" x14ac:dyDescent="0.55000000000000004">
      <c r="A556" s="3">
        <v>62</v>
      </c>
      <c r="B556" s="3" t="s">
        <v>52</v>
      </c>
      <c r="C556" s="3" t="s">
        <v>49</v>
      </c>
      <c r="D556" s="3" t="s">
        <v>40</v>
      </c>
      <c r="E556" s="2" t="s">
        <v>21</v>
      </c>
      <c r="F556" s="3">
        <v>33</v>
      </c>
      <c r="G556" s="4">
        <v>29.8</v>
      </c>
      <c r="H556" s="4">
        <v>69.2</v>
      </c>
      <c r="I556" s="6">
        <v>4.9939942756789852</v>
      </c>
      <c r="J556" s="5">
        <v>6.2E-2</v>
      </c>
      <c r="K556" s="4">
        <v>26.2</v>
      </c>
      <c r="L556" s="4">
        <v>47.4</v>
      </c>
      <c r="M556" s="6">
        <v>3.6483221469590639</v>
      </c>
      <c r="N556" s="5">
        <v>5.5E-2</v>
      </c>
      <c r="O556" s="5">
        <v>1.3456721287199214</v>
      </c>
      <c r="P556" s="5">
        <v>1.3456721287199214</v>
      </c>
      <c r="Q556" s="8">
        <v>0.20833333333333334</v>
      </c>
      <c r="R556" s="8">
        <v>0.88194444444444453</v>
      </c>
      <c r="S556" s="6">
        <f t="shared" si="24"/>
        <v>16.166666666666668</v>
      </c>
      <c r="T556" s="5">
        <f t="shared" si="25"/>
        <v>8.3237451261026052E-2</v>
      </c>
      <c r="U556" s="3">
        <v>2.21</v>
      </c>
      <c r="V556" s="5">
        <f t="shared" si="26"/>
        <v>3.7664005095486904E-2</v>
      </c>
      <c r="W556" s="3">
        <v>3.7664005095486904E-2</v>
      </c>
    </row>
    <row r="557" spans="1:23" x14ac:dyDescent="0.55000000000000004">
      <c r="A557" s="3">
        <v>52</v>
      </c>
      <c r="B557" s="3" t="s">
        <v>48</v>
      </c>
      <c r="C557" s="3" t="s">
        <v>49</v>
      </c>
      <c r="D557" s="3" t="s">
        <v>38</v>
      </c>
      <c r="E557" s="3" t="s">
        <v>30</v>
      </c>
      <c r="F557" s="3">
        <v>65</v>
      </c>
      <c r="G557" s="4">
        <v>27.2</v>
      </c>
      <c r="H557" s="4">
        <v>82.2</v>
      </c>
      <c r="I557" s="6">
        <v>6.2127394423736941</v>
      </c>
      <c r="J557" s="5">
        <v>7.8E-2</v>
      </c>
      <c r="K557" s="4">
        <v>22.6</v>
      </c>
      <c r="L557" s="4">
        <v>59</v>
      </c>
      <c r="M557" s="6">
        <v>4.8588202770452185</v>
      </c>
      <c r="N557" s="5">
        <v>7.1999999999999995E-2</v>
      </c>
      <c r="O557" s="5">
        <v>1.3539191653284757</v>
      </c>
      <c r="P557" s="5">
        <v>1.3539191653284757</v>
      </c>
      <c r="Q557" s="8">
        <v>0.20833333333333334</v>
      </c>
      <c r="R557" s="8">
        <v>0.88541666666666663</v>
      </c>
      <c r="S557" s="6">
        <f t="shared" si="24"/>
        <v>16.25</v>
      </c>
      <c r="T557" s="5">
        <f t="shared" si="25"/>
        <v>8.3318102481752351E-2</v>
      </c>
      <c r="U557" s="3">
        <v>2.21</v>
      </c>
      <c r="V557" s="5">
        <f t="shared" si="26"/>
        <v>3.7700498860521424E-2</v>
      </c>
      <c r="W557" s="3">
        <v>3.7700498860521424E-2</v>
      </c>
    </row>
    <row r="558" spans="1:23" x14ac:dyDescent="0.55000000000000004">
      <c r="A558" s="3">
        <v>27</v>
      </c>
      <c r="B558" s="3" t="s">
        <v>48</v>
      </c>
      <c r="C558" s="3" t="s">
        <v>50</v>
      </c>
      <c r="D558" s="3" t="s">
        <v>10</v>
      </c>
      <c r="E558" s="2" t="s">
        <v>19</v>
      </c>
      <c r="F558" s="3">
        <v>26</v>
      </c>
      <c r="G558" s="4">
        <v>26.9</v>
      </c>
      <c r="H558" s="4">
        <v>90.3</v>
      </c>
      <c r="I558" s="6">
        <v>6.8621318272865883</v>
      </c>
      <c r="J558" s="5">
        <v>5.7000000000000002E-2</v>
      </c>
      <c r="K558" s="4">
        <v>23</v>
      </c>
      <c r="L558" s="4">
        <v>67.400000000000006</v>
      </c>
      <c r="M558" s="6">
        <v>5.5081100357549726</v>
      </c>
      <c r="N558" s="5">
        <v>5.0999999999999997E-2</v>
      </c>
      <c r="O558" s="5">
        <v>1.3540217915316157</v>
      </c>
      <c r="P558" s="5">
        <v>1.3540217915316157</v>
      </c>
      <c r="Q558" s="8">
        <v>0.20833333333333334</v>
      </c>
      <c r="R558" s="8">
        <v>0.88541666666666663</v>
      </c>
      <c r="S558" s="6">
        <f t="shared" si="24"/>
        <v>16.25</v>
      </c>
      <c r="T558" s="5">
        <f t="shared" si="25"/>
        <v>8.3324417940407125E-2</v>
      </c>
      <c r="U558" s="3">
        <v>2.21</v>
      </c>
      <c r="V558" s="5">
        <f t="shared" si="26"/>
        <v>3.7703356534120866E-2</v>
      </c>
      <c r="W558" s="3">
        <v>3.7703356534120866E-2</v>
      </c>
    </row>
    <row r="559" spans="1:23" x14ac:dyDescent="0.55000000000000004">
      <c r="A559" s="3">
        <v>8</v>
      </c>
      <c r="B559" s="3" t="s">
        <v>51</v>
      </c>
      <c r="C559" s="3" t="s">
        <v>50</v>
      </c>
      <c r="D559" s="3" t="s">
        <v>9</v>
      </c>
      <c r="E559" s="3" t="s">
        <v>33</v>
      </c>
      <c r="F559" s="3">
        <v>75</v>
      </c>
      <c r="G559" s="4">
        <v>27.4</v>
      </c>
      <c r="H559" s="4">
        <v>87.4</v>
      </c>
      <c r="I559" s="6">
        <v>6.5819509608920352</v>
      </c>
      <c r="J559" s="5">
        <v>4.7E-2</v>
      </c>
      <c r="K559" s="4">
        <v>23.4</v>
      </c>
      <c r="L559" s="4">
        <v>64.400000000000006</v>
      </c>
      <c r="M559" s="6">
        <v>5.2228956346052628</v>
      </c>
      <c r="N559" s="5">
        <v>0.04</v>
      </c>
      <c r="O559" s="5">
        <v>1.3590553262867724</v>
      </c>
      <c r="P559" s="5">
        <v>1.3590553262867724</v>
      </c>
      <c r="Q559" s="8">
        <v>0.20833333333333334</v>
      </c>
      <c r="R559" s="8">
        <v>0.88541666666666663</v>
      </c>
      <c r="S559" s="6">
        <f t="shared" si="24"/>
        <v>16.25</v>
      </c>
      <c r="T559" s="5">
        <f t="shared" si="25"/>
        <v>8.3634173925339839E-2</v>
      </c>
      <c r="U559" s="3">
        <v>2.21</v>
      </c>
      <c r="V559" s="5">
        <f t="shared" si="26"/>
        <v>3.7843517613275944E-2</v>
      </c>
      <c r="W559" s="3">
        <v>3.7843517613275944E-2</v>
      </c>
    </row>
    <row r="560" spans="1:23" x14ac:dyDescent="0.55000000000000004">
      <c r="A560" s="3">
        <v>32</v>
      </c>
      <c r="B560" s="3" t="s">
        <v>53</v>
      </c>
      <c r="C560" s="3" t="s">
        <v>50</v>
      </c>
      <c r="D560" s="3" t="s">
        <v>11</v>
      </c>
      <c r="E560" s="2" t="s">
        <v>13</v>
      </c>
      <c r="F560" s="3">
        <v>8</v>
      </c>
      <c r="G560" s="4">
        <v>21.9</v>
      </c>
      <c r="H560" s="4">
        <v>107.1</v>
      </c>
      <c r="I560" s="6">
        <v>8.9403109799105831</v>
      </c>
      <c r="J560" s="5">
        <v>3.3000000000000002E-2</v>
      </c>
      <c r="K560" s="4">
        <v>19.100000000000001</v>
      </c>
      <c r="L560" s="4">
        <v>86.4</v>
      </c>
      <c r="M560" s="6">
        <v>7.6247499342048926</v>
      </c>
      <c r="N560" s="5">
        <v>3.1E-2</v>
      </c>
      <c r="O560" s="5">
        <v>1.3155610457056905</v>
      </c>
      <c r="P560" s="5">
        <v>1.3155610457056905</v>
      </c>
      <c r="Q560" s="8">
        <v>0.20833333333333334</v>
      </c>
      <c r="R560" s="8">
        <v>0.86319444444444438</v>
      </c>
      <c r="S560" s="6">
        <f t="shared" si="24"/>
        <v>15.716666666666665</v>
      </c>
      <c r="T560" s="5">
        <f t="shared" si="25"/>
        <v>8.3704838539068335E-2</v>
      </c>
      <c r="U560" s="3">
        <v>2.21</v>
      </c>
      <c r="V560" s="5">
        <f t="shared" si="26"/>
        <v>3.7875492551614633E-2</v>
      </c>
      <c r="W560" s="3">
        <v>3.7875492551614633E-2</v>
      </c>
    </row>
    <row r="561" spans="1:23" x14ac:dyDescent="0.55000000000000004">
      <c r="A561" s="3">
        <v>18</v>
      </c>
      <c r="B561" s="3" t="s">
        <v>51</v>
      </c>
      <c r="C561" s="3" t="s">
        <v>50</v>
      </c>
      <c r="D561" s="3" t="s">
        <v>9</v>
      </c>
      <c r="E561" s="2" t="s">
        <v>18</v>
      </c>
      <c r="F561" s="3">
        <v>24</v>
      </c>
      <c r="G561" s="4">
        <v>22.5</v>
      </c>
      <c r="H561" s="4">
        <v>117.9</v>
      </c>
      <c r="I561" s="6">
        <v>9.728136017278052</v>
      </c>
      <c r="J561" s="5">
        <v>0.04</v>
      </c>
      <c r="K561" s="4">
        <v>20.2</v>
      </c>
      <c r="L561" s="4">
        <v>97.1</v>
      </c>
      <c r="M561" s="6">
        <v>8.3815532626375564</v>
      </c>
      <c r="N561" s="5">
        <v>3.6999999999999998E-2</v>
      </c>
      <c r="O561" s="5">
        <v>1.3465827546404956</v>
      </c>
      <c r="P561" s="5">
        <v>1.3465827546404956</v>
      </c>
      <c r="Q561" s="8">
        <v>0.21180555555555555</v>
      </c>
      <c r="R561" s="8">
        <v>0.88194444444444453</v>
      </c>
      <c r="S561" s="6">
        <f t="shared" si="24"/>
        <v>16.083333333333336</v>
      </c>
      <c r="T561" s="5">
        <f t="shared" si="25"/>
        <v>8.3725352620134433E-2</v>
      </c>
      <c r="U561" s="3">
        <v>2.21</v>
      </c>
      <c r="V561" s="5">
        <f t="shared" si="26"/>
        <v>3.7884774941237299E-2</v>
      </c>
      <c r="W561" s="3">
        <v>3.7884774941237299E-2</v>
      </c>
    </row>
    <row r="562" spans="1:23" x14ac:dyDescent="0.55000000000000004">
      <c r="A562" s="3">
        <v>3</v>
      </c>
      <c r="B562" s="3" t="s">
        <v>51</v>
      </c>
      <c r="C562" s="3" t="s">
        <v>50</v>
      </c>
      <c r="D562" s="3" t="s">
        <v>9</v>
      </c>
      <c r="E562" s="2" t="s">
        <v>15</v>
      </c>
      <c r="F562" s="3">
        <v>12</v>
      </c>
      <c r="G562" s="4">
        <v>22.1</v>
      </c>
      <c r="H562" s="4">
        <v>112.1</v>
      </c>
      <c r="I562" s="6">
        <v>9.321407261624028</v>
      </c>
      <c r="J562" s="5">
        <v>4.2999999999999997E-2</v>
      </c>
      <c r="K562" s="4">
        <v>19.399999999999999</v>
      </c>
      <c r="L562" s="4">
        <v>91.1</v>
      </c>
      <c r="M562" s="6">
        <v>7.9908781527704527</v>
      </c>
      <c r="N562" s="5">
        <v>4.1000000000000002E-2</v>
      </c>
      <c r="O562" s="5">
        <v>1.3305291088535753</v>
      </c>
      <c r="P562" s="5">
        <v>1.3305291088535753</v>
      </c>
      <c r="Q562" s="8">
        <v>0.21319444444444444</v>
      </c>
      <c r="R562" s="8">
        <v>0.875</v>
      </c>
      <c r="S562" s="6">
        <f t="shared" si="24"/>
        <v>15.883333333333333</v>
      </c>
      <c r="T562" s="5">
        <f t="shared" si="25"/>
        <v>8.376888408312122E-2</v>
      </c>
      <c r="U562" s="3">
        <v>2.21</v>
      </c>
      <c r="V562" s="5">
        <f t="shared" si="26"/>
        <v>3.7904472435801459E-2</v>
      </c>
      <c r="W562" s="3">
        <v>3.7904472435801459E-2</v>
      </c>
    </row>
    <row r="563" spans="1:23" x14ac:dyDescent="0.55000000000000004">
      <c r="A563" s="3">
        <v>50</v>
      </c>
      <c r="B563" s="3" t="s">
        <v>53</v>
      </c>
      <c r="C563" s="3" t="s">
        <v>50</v>
      </c>
      <c r="D563" s="3" t="s">
        <v>11</v>
      </c>
      <c r="E563" s="2" t="s">
        <v>8</v>
      </c>
      <c r="F563" s="3">
        <v>5</v>
      </c>
      <c r="G563" s="4">
        <v>20.3</v>
      </c>
      <c r="H563" s="4">
        <v>122.6</v>
      </c>
      <c r="I563" s="6">
        <v>10.56161242655339</v>
      </c>
      <c r="J563" s="5">
        <v>3.4000000000000002E-2</v>
      </c>
      <c r="K563" s="4">
        <v>15.5</v>
      </c>
      <c r="L563" s="4">
        <v>97</v>
      </c>
      <c r="M563" s="6">
        <v>9.2274517879859257</v>
      </c>
      <c r="N563" s="5">
        <v>3.1E-2</v>
      </c>
      <c r="O563" s="5">
        <v>1.3341606385674645</v>
      </c>
      <c r="P563" s="5">
        <v>1.3341606385674645</v>
      </c>
      <c r="Q563" s="8">
        <v>0.20833333333333334</v>
      </c>
      <c r="R563" s="8">
        <v>0.87083333333333324</v>
      </c>
      <c r="S563" s="6">
        <f t="shared" si="24"/>
        <v>15.899999999999997</v>
      </c>
      <c r="T563" s="5">
        <f t="shared" si="25"/>
        <v>8.3909474123739919E-2</v>
      </c>
      <c r="U563" s="3">
        <v>2.21</v>
      </c>
      <c r="V563" s="5">
        <f t="shared" si="26"/>
        <v>3.7968087838796349E-2</v>
      </c>
      <c r="W563" s="3">
        <v>3.7968087838796349E-2</v>
      </c>
    </row>
    <row r="564" spans="1:23" x14ac:dyDescent="0.55000000000000004">
      <c r="A564" s="3">
        <v>51</v>
      </c>
      <c r="B564" s="3" t="s">
        <v>48</v>
      </c>
      <c r="C564" s="3" t="s">
        <v>50</v>
      </c>
      <c r="D564" s="3" t="s">
        <v>10</v>
      </c>
      <c r="E564" s="2" t="s">
        <v>8</v>
      </c>
      <c r="F564" s="3">
        <v>5</v>
      </c>
      <c r="G564" s="4">
        <v>20.5</v>
      </c>
      <c r="H564" s="4">
        <v>131.69999999999999</v>
      </c>
      <c r="I564" s="6">
        <v>11.300517426114508</v>
      </c>
      <c r="J564" s="5">
        <v>3.5999999999999997E-2</v>
      </c>
      <c r="K564" s="4">
        <v>15.7</v>
      </c>
      <c r="L564" s="4">
        <v>105.2</v>
      </c>
      <c r="M564" s="6">
        <v>9.9647385758688003</v>
      </c>
      <c r="N564" s="5">
        <v>3.3000000000000002E-2</v>
      </c>
      <c r="O564" s="5">
        <v>1.335778850245708</v>
      </c>
      <c r="P564" s="5">
        <v>1.335778850245708</v>
      </c>
      <c r="Q564" s="8">
        <v>0.20833333333333334</v>
      </c>
      <c r="R564" s="8">
        <v>0.87083333333333324</v>
      </c>
      <c r="S564" s="6">
        <f t="shared" si="24"/>
        <v>15.899999999999997</v>
      </c>
      <c r="T564" s="5">
        <f t="shared" si="25"/>
        <v>8.401124844312631E-2</v>
      </c>
      <c r="U564" s="3">
        <v>2.21</v>
      </c>
      <c r="V564" s="5">
        <f t="shared" si="26"/>
        <v>3.8014139567025478E-2</v>
      </c>
      <c r="W564" s="3">
        <v>3.8014139567025478E-2</v>
      </c>
    </row>
    <row r="565" spans="1:23" x14ac:dyDescent="0.55000000000000004">
      <c r="A565" s="3">
        <v>40</v>
      </c>
      <c r="B565" s="3" t="s">
        <v>48</v>
      </c>
      <c r="C565" s="3" t="s">
        <v>50</v>
      </c>
      <c r="D565" s="3" t="s">
        <v>10</v>
      </c>
      <c r="E565" s="2" t="s">
        <v>16</v>
      </c>
      <c r="F565" s="3">
        <v>16</v>
      </c>
      <c r="G565" s="4">
        <v>20.9</v>
      </c>
      <c r="H565" s="4">
        <v>86</v>
      </c>
      <c r="I565" s="6">
        <v>7.3210246209760248</v>
      </c>
      <c r="J565" s="5">
        <v>3.7999999999999999E-2</v>
      </c>
      <c r="K565" s="4">
        <v>19.7</v>
      </c>
      <c r="L565" s="4">
        <v>68.7</v>
      </c>
      <c r="M565" s="6">
        <v>5.9897543988383202</v>
      </c>
      <c r="N565" s="5">
        <v>3.9E-2</v>
      </c>
      <c r="O565" s="5">
        <v>1.3312702221377046</v>
      </c>
      <c r="P565" s="5">
        <v>1.3312702221377046</v>
      </c>
      <c r="Q565" s="8">
        <v>0.20833333333333334</v>
      </c>
      <c r="R565" s="8">
        <v>0.86805555555555547</v>
      </c>
      <c r="S565" s="6">
        <f t="shared" si="24"/>
        <v>15.83333333333333</v>
      </c>
      <c r="T565" s="5">
        <f t="shared" si="25"/>
        <v>8.4080224556065578E-2</v>
      </c>
      <c r="U565" s="3">
        <v>2.21</v>
      </c>
      <c r="V565" s="5">
        <f t="shared" si="26"/>
        <v>3.8045350477857724E-2</v>
      </c>
      <c r="W565" s="3">
        <v>3.8045350477857724E-2</v>
      </c>
    </row>
    <row r="566" spans="1:23" x14ac:dyDescent="0.55000000000000004">
      <c r="A566" s="3">
        <v>15</v>
      </c>
      <c r="B566" s="3" t="s">
        <v>48</v>
      </c>
      <c r="C566" s="3" t="s">
        <v>49</v>
      </c>
      <c r="D566" s="3" t="s">
        <v>38</v>
      </c>
      <c r="E566" s="2" t="s">
        <v>8</v>
      </c>
      <c r="F566" s="3">
        <v>5</v>
      </c>
      <c r="G566" s="4">
        <v>21.2</v>
      </c>
      <c r="H566" s="4">
        <v>113.5</v>
      </c>
      <c r="I566" s="6">
        <v>9.6051280021606971</v>
      </c>
      <c r="J566" s="5">
        <v>0.02</v>
      </c>
      <c r="K566" s="4">
        <v>15.6</v>
      </c>
      <c r="L566" s="4">
        <v>87.1</v>
      </c>
      <c r="M566" s="6">
        <v>8.2679438498772679</v>
      </c>
      <c r="N566" s="5">
        <v>1.7999999999999999E-2</v>
      </c>
      <c r="O566" s="5">
        <v>1.3371841522834291</v>
      </c>
      <c r="P566" s="5">
        <v>1.3371841522834291</v>
      </c>
      <c r="Q566" s="8">
        <v>0.20833333333333334</v>
      </c>
      <c r="R566" s="8">
        <v>0.87083333333333324</v>
      </c>
      <c r="S566" s="6">
        <f t="shared" si="24"/>
        <v>15.899999999999997</v>
      </c>
      <c r="T566" s="5">
        <f t="shared" si="25"/>
        <v>8.4099632219083606E-2</v>
      </c>
      <c r="U566" s="3">
        <v>2.21</v>
      </c>
      <c r="V566" s="5">
        <f t="shared" si="26"/>
        <v>3.8054132225829686E-2</v>
      </c>
      <c r="W566" s="3">
        <v>3.8054132225829686E-2</v>
      </c>
    </row>
    <row r="567" spans="1:23" x14ac:dyDescent="0.55000000000000004">
      <c r="A567" s="3">
        <v>5</v>
      </c>
      <c r="B567" s="3" t="s">
        <v>48</v>
      </c>
      <c r="C567" s="3" t="s">
        <v>49</v>
      </c>
      <c r="D567" s="3" t="s">
        <v>38</v>
      </c>
      <c r="E567" s="3" t="s">
        <v>31</v>
      </c>
      <c r="F567" s="3">
        <v>68</v>
      </c>
      <c r="G567" s="4">
        <v>25.3</v>
      </c>
      <c r="H567" s="4">
        <v>65.3</v>
      </c>
      <c r="I567" s="6">
        <v>5.1101395870286295</v>
      </c>
      <c r="J567" s="5">
        <v>7.8E-2</v>
      </c>
      <c r="K567" s="4">
        <v>23.8</v>
      </c>
      <c r="L567" s="4">
        <v>46.5</v>
      </c>
      <c r="M567" s="6">
        <v>3.7426555237652024</v>
      </c>
      <c r="N567" s="5">
        <v>7.6999999999999999E-2</v>
      </c>
      <c r="O567" s="5">
        <v>1.3674840632634271</v>
      </c>
      <c r="P567" s="5">
        <v>1.3674840632634271</v>
      </c>
      <c r="Q567" s="8">
        <v>0.20833333333333334</v>
      </c>
      <c r="R567" s="8">
        <v>0.88541666666666663</v>
      </c>
      <c r="S567" s="6">
        <f t="shared" si="24"/>
        <v>16.25</v>
      </c>
      <c r="T567" s="5">
        <f t="shared" si="25"/>
        <v>8.4152865431595517E-2</v>
      </c>
      <c r="U567" s="3">
        <v>2.21</v>
      </c>
      <c r="V567" s="5">
        <f t="shared" si="26"/>
        <v>3.8078219652305664E-2</v>
      </c>
      <c r="W567" s="3">
        <v>3.8078219652305664E-2</v>
      </c>
    </row>
    <row r="568" spans="1:23" x14ac:dyDescent="0.55000000000000004">
      <c r="A568" s="3">
        <v>2</v>
      </c>
      <c r="B568" s="3" t="s">
        <v>48</v>
      </c>
      <c r="C568" s="3" t="s">
        <v>49</v>
      </c>
      <c r="D568" s="3" t="s">
        <v>38</v>
      </c>
      <c r="E568" s="2" t="s">
        <v>16</v>
      </c>
      <c r="F568" s="3">
        <v>16</v>
      </c>
      <c r="G568" s="4">
        <v>20.7</v>
      </c>
      <c r="H568" s="4">
        <v>89.6</v>
      </c>
      <c r="I568" s="6">
        <v>7.6577019919721829</v>
      </c>
      <c r="J568" s="5">
        <v>2.8000000000000001E-2</v>
      </c>
      <c r="K568" s="4">
        <v>19.600000000000001</v>
      </c>
      <c r="L568" s="4">
        <v>72.400000000000006</v>
      </c>
      <c r="M568" s="6">
        <v>6.3250527136938555</v>
      </c>
      <c r="N568" s="5">
        <v>2.7E-2</v>
      </c>
      <c r="O568" s="5">
        <v>1.3326492782783275</v>
      </c>
      <c r="P568" s="5">
        <v>1.3326492782783275</v>
      </c>
      <c r="Q568" s="8">
        <v>0.20833333333333334</v>
      </c>
      <c r="R568" s="8">
        <v>0.86805555555555547</v>
      </c>
      <c r="S568" s="6">
        <f t="shared" si="24"/>
        <v>15.83333333333333</v>
      </c>
      <c r="T568" s="5">
        <f t="shared" si="25"/>
        <v>8.4167322838631223E-2</v>
      </c>
      <c r="U568" s="3">
        <v>2.21</v>
      </c>
      <c r="V568" s="5">
        <f t="shared" si="26"/>
        <v>3.8084761465443998E-2</v>
      </c>
      <c r="W568" s="3">
        <v>3.8084761465443998E-2</v>
      </c>
    </row>
    <row r="569" spans="1:23" x14ac:dyDescent="0.55000000000000004">
      <c r="A569" s="3">
        <v>37</v>
      </c>
      <c r="B569" s="3" t="s">
        <v>53</v>
      </c>
      <c r="C569" s="3" t="s">
        <v>50</v>
      </c>
      <c r="D569" s="3" t="s">
        <v>11</v>
      </c>
      <c r="E569" s="2" t="s">
        <v>15</v>
      </c>
      <c r="F569" s="3">
        <v>12</v>
      </c>
      <c r="G569" s="4">
        <v>22.6</v>
      </c>
      <c r="H569" s="4">
        <v>108.2</v>
      </c>
      <c r="I569" s="6">
        <v>8.9105822707846212</v>
      </c>
      <c r="J569" s="5">
        <v>3.4000000000000002E-2</v>
      </c>
      <c r="K569" s="4">
        <v>19.5</v>
      </c>
      <c r="L569" s="4">
        <v>86.5</v>
      </c>
      <c r="M569" s="6">
        <v>7.5720994110730349</v>
      </c>
      <c r="N569" s="5">
        <v>3.2000000000000001E-2</v>
      </c>
      <c r="O569" s="5">
        <v>1.3384828597115863</v>
      </c>
      <c r="P569" s="5">
        <v>1.3384828597115863</v>
      </c>
      <c r="Q569" s="8">
        <v>0.21319444444444444</v>
      </c>
      <c r="R569" s="8">
        <v>0.875</v>
      </c>
      <c r="S569" s="6">
        <f t="shared" si="24"/>
        <v>15.883333333333333</v>
      </c>
      <c r="T569" s="5">
        <f t="shared" si="25"/>
        <v>8.4269644892649723E-2</v>
      </c>
      <c r="U569" s="3">
        <v>2.21</v>
      </c>
      <c r="V569" s="5">
        <f t="shared" si="26"/>
        <v>3.8131061037398065E-2</v>
      </c>
      <c r="W569" s="3">
        <v>3.8131061037398065E-2</v>
      </c>
    </row>
    <row r="570" spans="1:23" x14ac:dyDescent="0.55000000000000004">
      <c r="A570" s="3">
        <v>29</v>
      </c>
      <c r="B570" s="3" t="s">
        <v>52</v>
      </c>
      <c r="C570" s="3" t="s">
        <v>50</v>
      </c>
      <c r="D570" s="3" t="s">
        <v>12</v>
      </c>
      <c r="E570" s="2" t="s">
        <v>16</v>
      </c>
      <c r="F570" s="3">
        <v>16</v>
      </c>
      <c r="G570" s="4">
        <v>20.9</v>
      </c>
      <c r="H570" s="4">
        <v>105.4</v>
      </c>
      <c r="I570" s="6">
        <v>8.9725115703589893</v>
      </c>
      <c r="J570" s="5">
        <v>4.8000000000000001E-2</v>
      </c>
      <c r="K570" s="4">
        <v>19.7</v>
      </c>
      <c r="L570" s="4">
        <v>87.6</v>
      </c>
      <c r="M570" s="6">
        <v>7.6375907618375072</v>
      </c>
      <c r="N570" s="5">
        <v>4.7E-2</v>
      </c>
      <c r="O570" s="5">
        <v>1.3349208085214821</v>
      </c>
      <c r="P570" s="5">
        <v>1.3349208085214821</v>
      </c>
      <c r="Q570" s="8">
        <v>0.20833333333333334</v>
      </c>
      <c r="R570" s="8">
        <v>0.86805555555555547</v>
      </c>
      <c r="S570" s="6">
        <f t="shared" si="24"/>
        <v>15.83333333333333</v>
      </c>
      <c r="T570" s="5">
        <f t="shared" si="25"/>
        <v>8.4310787906619944E-2</v>
      </c>
      <c r="U570" s="3">
        <v>2.21</v>
      </c>
      <c r="V570" s="5">
        <f t="shared" si="26"/>
        <v>3.8149677785800876E-2</v>
      </c>
      <c r="W570" s="3">
        <v>3.8149677785800876E-2</v>
      </c>
    </row>
    <row r="571" spans="1:23" x14ac:dyDescent="0.55000000000000004">
      <c r="A571" s="3">
        <v>34</v>
      </c>
      <c r="B571" s="3" t="s">
        <v>48</v>
      </c>
      <c r="C571" s="3" t="s">
        <v>50</v>
      </c>
      <c r="D571" s="3" t="s">
        <v>10</v>
      </c>
      <c r="E571" s="2" t="s">
        <v>14</v>
      </c>
      <c r="F571" s="3">
        <v>10</v>
      </c>
      <c r="G571" s="4">
        <v>22.1</v>
      </c>
      <c r="H571" s="4">
        <v>102.5</v>
      </c>
      <c r="I571" s="6">
        <v>8.523142232974692</v>
      </c>
      <c r="J571" s="5">
        <v>3.9E-2</v>
      </c>
      <c r="K571" s="4">
        <v>19.899999999999999</v>
      </c>
      <c r="L571" s="4">
        <v>82.7</v>
      </c>
      <c r="M571" s="6">
        <v>7.1814988479233861</v>
      </c>
      <c r="N571" s="5">
        <v>3.6999999999999998E-2</v>
      </c>
      <c r="O571" s="5">
        <v>1.3416433850513059</v>
      </c>
      <c r="P571" s="5">
        <v>1.3416433850513059</v>
      </c>
      <c r="Q571" s="8">
        <v>0.20555555555555557</v>
      </c>
      <c r="R571" s="8">
        <v>0.86805555555555547</v>
      </c>
      <c r="S571" s="6">
        <f t="shared" si="24"/>
        <v>15.899999999999997</v>
      </c>
      <c r="T571" s="5">
        <f t="shared" si="25"/>
        <v>8.4380087110145038E-2</v>
      </c>
      <c r="U571" s="3">
        <v>2.21</v>
      </c>
      <c r="V571" s="5">
        <f t="shared" si="26"/>
        <v>3.8181034891468339E-2</v>
      </c>
      <c r="W571" s="3">
        <v>3.8181034891468339E-2</v>
      </c>
    </row>
    <row r="572" spans="1:23" x14ac:dyDescent="0.55000000000000004">
      <c r="A572" s="3">
        <v>4</v>
      </c>
      <c r="B572" s="3" t="s">
        <v>48</v>
      </c>
      <c r="C572" s="3" t="s">
        <v>49</v>
      </c>
      <c r="D572" s="3" t="s">
        <v>38</v>
      </c>
      <c r="E572" s="3" t="s">
        <v>28</v>
      </c>
      <c r="F572" s="3">
        <v>58</v>
      </c>
      <c r="G572" s="4">
        <v>27.7</v>
      </c>
      <c r="H572" s="4">
        <v>72</v>
      </c>
      <c r="I572" s="6">
        <v>5.3930108092272686</v>
      </c>
      <c r="J572" s="5">
        <v>7.4999999999999997E-2</v>
      </c>
      <c r="K572" s="4">
        <v>23.2</v>
      </c>
      <c r="L572" s="4">
        <v>49.3</v>
      </c>
      <c r="M572" s="6">
        <v>4.0135499205772538</v>
      </c>
      <c r="N572" s="5">
        <v>7.4999999999999997E-2</v>
      </c>
      <c r="O572" s="5">
        <v>1.3794608886500148</v>
      </c>
      <c r="P572" s="5">
        <v>1.3794608886500148</v>
      </c>
      <c r="Q572" s="8">
        <v>0.20833333333333334</v>
      </c>
      <c r="R572" s="8">
        <v>0.88888888888888884</v>
      </c>
      <c r="S572" s="6">
        <f t="shared" si="24"/>
        <v>16.333333333333332</v>
      </c>
      <c r="T572" s="5">
        <f t="shared" si="25"/>
        <v>8.4456789101021321E-2</v>
      </c>
      <c r="U572" s="3">
        <v>2.21</v>
      </c>
      <c r="V572" s="5">
        <f t="shared" si="26"/>
        <v>3.8215741674670282E-2</v>
      </c>
      <c r="W572" s="3">
        <v>3.8215741674670282E-2</v>
      </c>
    </row>
    <row r="573" spans="1:23" x14ac:dyDescent="0.55000000000000004">
      <c r="A573" s="3">
        <v>4</v>
      </c>
      <c r="B573" s="3" t="s">
        <v>48</v>
      </c>
      <c r="C573" s="3" t="s">
        <v>49</v>
      </c>
      <c r="D573" s="3" t="s">
        <v>38</v>
      </c>
      <c r="E573" s="3" t="s">
        <v>32</v>
      </c>
      <c r="F573" s="3">
        <v>72</v>
      </c>
      <c r="G573" s="4">
        <v>29</v>
      </c>
      <c r="H573" s="4">
        <v>82.5</v>
      </c>
      <c r="I573" s="6">
        <v>6.0380856429968324</v>
      </c>
      <c r="J573" s="5">
        <v>7.6999999999999999E-2</v>
      </c>
      <c r="K573" s="4">
        <v>24.2</v>
      </c>
      <c r="L573" s="4">
        <v>58.4</v>
      </c>
      <c r="M573" s="6">
        <v>4.6650854441926732</v>
      </c>
      <c r="N573" s="5">
        <v>7.8E-2</v>
      </c>
      <c r="O573" s="5">
        <v>1.3730001988041591</v>
      </c>
      <c r="P573" s="5">
        <v>1.3730001988041591</v>
      </c>
      <c r="Q573" s="8">
        <v>0.20833333333333334</v>
      </c>
      <c r="R573" s="8">
        <v>0.88541666666666663</v>
      </c>
      <c r="S573" s="6">
        <f t="shared" si="24"/>
        <v>16.25</v>
      </c>
      <c r="T573" s="5">
        <f t="shared" si="25"/>
        <v>8.4492319926409792E-2</v>
      </c>
      <c r="U573" s="3">
        <v>2.21</v>
      </c>
      <c r="V573" s="5">
        <f t="shared" si="26"/>
        <v>3.8231818971226156E-2</v>
      </c>
      <c r="W573" s="3">
        <v>3.8231818971226156E-2</v>
      </c>
    </row>
    <row r="574" spans="1:23" x14ac:dyDescent="0.55000000000000004">
      <c r="A574" s="3">
        <v>60</v>
      </c>
      <c r="B574" s="3" t="s">
        <v>51</v>
      </c>
      <c r="C574" s="3" t="s">
        <v>49</v>
      </c>
      <c r="D574" s="3" t="s">
        <v>39</v>
      </c>
      <c r="E574" s="2" t="s">
        <v>16</v>
      </c>
      <c r="F574" s="3">
        <v>16</v>
      </c>
      <c r="G574" s="4">
        <v>21.1</v>
      </c>
      <c r="H574" s="4">
        <v>94.7</v>
      </c>
      <c r="I574" s="6">
        <v>8.0299232719468829</v>
      </c>
      <c r="J574" s="5">
        <v>2.7E-2</v>
      </c>
      <c r="K574" s="4">
        <v>19.8</v>
      </c>
      <c r="L574" s="4">
        <v>76.900000000000006</v>
      </c>
      <c r="M574" s="6">
        <v>6.6912401962139576</v>
      </c>
      <c r="N574" s="5">
        <v>2.7E-2</v>
      </c>
      <c r="O574" s="5">
        <v>1.3386830757329253</v>
      </c>
      <c r="P574" s="5">
        <v>1.3386830757329253</v>
      </c>
      <c r="Q574" s="8">
        <v>0.20833333333333334</v>
      </c>
      <c r="R574" s="8">
        <v>0.86805555555555547</v>
      </c>
      <c r="S574" s="6">
        <f t="shared" si="24"/>
        <v>15.83333333333333</v>
      </c>
      <c r="T574" s="5">
        <f t="shared" si="25"/>
        <v>8.4548404783132136E-2</v>
      </c>
      <c r="U574" s="3">
        <v>2.21</v>
      </c>
      <c r="V574" s="5">
        <f t="shared" si="26"/>
        <v>3.8257196734448932E-2</v>
      </c>
      <c r="W574" s="3">
        <v>3.8257196734448932E-2</v>
      </c>
    </row>
    <row r="575" spans="1:23" x14ac:dyDescent="0.55000000000000004">
      <c r="A575" s="3">
        <v>25</v>
      </c>
      <c r="B575" s="3" t="s">
        <v>53</v>
      </c>
      <c r="C575" s="3" t="s">
        <v>49</v>
      </c>
      <c r="D575" s="3" t="s">
        <v>41</v>
      </c>
      <c r="E575" s="2" t="s">
        <v>14</v>
      </c>
      <c r="F575" s="3">
        <v>10</v>
      </c>
      <c r="G575" s="4">
        <v>22.3</v>
      </c>
      <c r="H575" s="4">
        <v>94.4</v>
      </c>
      <c r="I575" s="6">
        <v>7.8192560154160775</v>
      </c>
      <c r="J575" s="5">
        <v>2.8000000000000001E-2</v>
      </c>
      <c r="K575" s="4">
        <v>20</v>
      </c>
      <c r="L575" s="4">
        <v>74.7</v>
      </c>
      <c r="M575" s="6">
        <v>6.4738225601332564</v>
      </c>
      <c r="N575" s="5">
        <v>2.7E-2</v>
      </c>
      <c r="O575" s="5">
        <v>1.3454334552828211</v>
      </c>
      <c r="P575" s="5">
        <v>1.3454334552828211</v>
      </c>
      <c r="Q575" s="8">
        <v>0.20555555555555557</v>
      </c>
      <c r="R575" s="8">
        <v>0.86805555555555547</v>
      </c>
      <c r="S575" s="6">
        <f t="shared" si="24"/>
        <v>15.899999999999997</v>
      </c>
      <c r="T575" s="5">
        <f t="shared" si="25"/>
        <v>8.4618456307095677E-2</v>
      </c>
      <c r="U575" s="3">
        <v>2.21</v>
      </c>
      <c r="V575" s="5">
        <f t="shared" si="26"/>
        <v>3.8288894256604381E-2</v>
      </c>
      <c r="W575" s="3">
        <v>3.8288894256604381E-2</v>
      </c>
    </row>
    <row r="576" spans="1:23" x14ac:dyDescent="0.55000000000000004">
      <c r="A576" s="3">
        <v>13</v>
      </c>
      <c r="B576" s="3" t="s">
        <v>53</v>
      </c>
      <c r="C576" s="3" t="s">
        <v>50</v>
      </c>
      <c r="D576" s="3" t="s">
        <v>11</v>
      </c>
      <c r="E576" s="2" t="s">
        <v>16</v>
      </c>
      <c r="F576" s="3">
        <v>16</v>
      </c>
      <c r="G576" s="4">
        <v>20.7</v>
      </c>
      <c r="H576" s="4">
        <v>97.7</v>
      </c>
      <c r="I576" s="6">
        <v>8.3499719265143124</v>
      </c>
      <c r="J576" s="5">
        <v>3.9E-2</v>
      </c>
      <c r="K576" s="4">
        <v>19.7</v>
      </c>
      <c r="L576" s="4">
        <v>80.400000000000006</v>
      </c>
      <c r="M576" s="6">
        <v>7.0098435759330551</v>
      </c>
      <c r="N576" s="5">
        <v>3.7999999999999999E-2</v>
      </c>
      <c r="O576" s="5">
        <v>1.3401283505812573</v>
      </c>
      <c r="P576" s="5">
        <v>1.3401283505812573</v>
      </c>
      <c r="Q576" s="8">
        <v>0.20833333333333334</v>
      </c>
      <c r="R576" s="8">
        <v>0.86805555555555547</v>
      </c>
      <c r="S576" s="6">
        <f t="shared" si="24"/>
        <v>15.83333333333333</v>
      </c>
      <c r="T576" s="5">
        <f t="shared" si="25"/>
        <v>8.46396852998689E-2</v>
      </c>
      <c r="U576" s="3">
        <v>2.21</v>
      </c>
      <c r="V576" s="5">
        <f t="shared" si="26"/>
        <v>3.829850013568728E-2</v>
      </c>
      <c r="W576" s="3">
        <v>3.829850013568728E-2</v>
      </c>
    </row>
    <row r="577" spans="1:23" x14ac:dyDescent="0.55000000000000004">
      <c r="A577" s="3">
        <v>34</v>
      </c>
      <c r="B577" s="3" t="s">
        <v>48</v>
      </c>
      <c r="C577" s="3" t="s">
        <v>50</v>
      </c>
      <c r="D577" s="3" t="s">
        <v>10</v>
      </c>
      <c r="E577" s="2" t="s">
        <v>20</v>
      </c>
      <c r="F577" s="3">
        <v>30</v>
      </c>
      <c r="G577" s="4">
        <v>27.4</v>
      </c>
      <c r="H577" s="4">
        <v>76.3</v>
      </c>
      <c r="I577" s="6">
        <v>5.746028127186066</v>
      </c>
      <c r="J577" s="5">
        <v>6.4000000000000001E-2</v>
      </c>
      <c r="K577" s="4">
        <v>23.9</v>
      </c>
      <c r="L577" s="4">
        <v>54.4</v>
      </c>
      <c r="M577" s="6">
        <v>4.3702275150216003</v>
      </c>
      <c r="N577" s="5">
        <v>0.06</v>
      </c>
      <c r="O577" s="5">
        <v>1.3758006121644657</v>
      </c>
      <c r="P577" s="5">
        <v>1.3758006121644657</v>
      </c>
      <c r="Q577" s="8">
        <v>0.20833333333333334</v>
      </c>
      <c r="R577" s="8">
        <v>0.88541666666666663</v>
      </c>
      <c r="S577" s="6">
        <f t="shared" si="24"/>
        <v>16.25</v>
      </c>
      <c r="T577" s="5">
        <f t="shared" si="25"/>
        <v>8.4664653056274811E-2</v>
      </c>
      <c r="U577" s="3">
        <v>2.21</v>
      </c>
      <c r="V577" s="5">
        <f t="shared" si="26"/>
        <v>3.8309797763020272E-2</v>
      </c>
      <c r="W577" s="3">
        <v>3.8309797763020272E-2</v>
      </c>
    </row>
    <row r="578" spans="1:23" x14ac:dyDescent="0.55000000000000004">
      <c r="A578" s="3">
        <v>11</v>
      </c>
      <c r="B578" s="3" t="s">
        <v>53</v>
      </c>
      <c r="C578" s="3" t="s">
        <v>49</v>
      </c>
      <c r="D578" s="3" t="s">
        <v>41</v>
      </c>
      <c r="E578" s="2" t="s">
        <v>24</v>
      </c>
      <c r="F578" s="3">
        <v>44</v>
      </c>
      <c r="G578" s="4">
        <v>25.3</v>
      </c>
      <c r="H578" s="4">
        <v>96.4</v>
      </c>
      <c r="I578" s="6">
        <v>7.5439120396563544</v>
      </c>
      <c r="J578" s="5">
        <v>6.0999999999999999E-2</v>
      </c>
      <c r="K578" s="4">
        <v>20.9</v>
      </c>
      <c r="L578" s="4">
        <v>71.900000000000006</v>
      </c>
      <c r="M578" s="6">
        <v>6.1207170959090265</v>
      </c>
      <c r="N578" s="5">
        <v>5.6000000000000001E-2</v>
      </c>
      <c r="O578" s="5">
        <v>1.4231949437473279</v>
      </c>
      <c r="P578" s="5">
        <v>1.4231949437473279</v>
      </c>
      <c r="Q578" s="8">
        <v>0.20277777777777781</v>
      </c>
      <c r="R578" s="8">
        <v>0.90277777777777779</v>
      </c>
      <c r="S578" s="6">
        <f t="shared" ref="S578:S641" si="27">(R578-Q578)*24</f>
        <v>16.799999999999997</v>
      </c>
      <c r="T578" s="5">
        <f t="shared" ref="T578:T641" si="28">P578/S578</f>
        <v>8.4713984746864771E-2</v>
      </c>
      <c r="U578" s="3">
        <v>2.21</v>
      </c>
      <c r="V578" s="5">
        <f t="shared" ref="V578:V641" si="29">(I578-M578)/U578/S578</f>
        <v>3.8332119794961435E-2</v>
      </c>
      <c r="W578" s="3">
        <v>3.8332119794961435E-2</v>
      </c>
    </row>
    <row r="579" spans="1:23" x14ac:dyDescent="0.55000000000000004">
      <c r="A579" s="3">
        <v>36</v>
      </c>
      <c r="B579" s="3" t="s">
        <v>52</v>
      </c>
      <c r="C579" s="3" t="s">
        <v>50</v>
      </c>
      <c r="D579" s="3" t="s">
        <v>12</v>
      </c>
      <c r="E579" s="2" t="s">
        <v>17</v>
      </c>
      <c r="F579" s="3">
        <v>19</v>
      </c>
      <c r="G579" s="4">
        <v>21.8</v>
      </c>
      <c r="H579" s="4">
        <v>81.8</v>
      </c>
      <c r="I579" s="6">
        <v>6.8416669557680407</v>
      </c>
      <c r="J579" s="5">
        <v>4.9000000000000002E-2</v>
      </c>
      <c r="K579" s="4">
        <v>17</v>
      </c>
      <c r="L579" s="4">
        <v>59.3</v>
      </c>
      <c r="M579" s="6">
        <v>5.4646076936817067</v>
      </c>
      <c r="N579" s="5">
        <v>4.4999999999999998E-2</v>
      </c>
      <c r="O579" s="5">
        <v>1.377059262086334</v>
      </c>
      <c r="P579" s="5">
        <v>1.377059262086334</v>
      </c>
      <c r="Q579" s="8">
        <v>0.19930555555555554</v>
      </c>
      <c r="R579" s="8">
        <v>0.875</v>
      </c>
      <c r="S579" s="6">
        <f t="shared" si="27"/>
        <v>16.216666666666669</v>
      </c>
      <c r="T579" s="5">
        <f t="shared" si="28"/>
        <v>8.4916295709331999E-2</v>
      </c>
      <c r="U579" s="3">
        <v>2.21</v>
      </c>
      <c r="V579" s="5">
        <f t="shared" si="29"/>
        <v>3.8423663216892306E-2</v>
      </c>
      <c r="W579" s="3">
        <v>3.8423663216892306E-2</v>
      </c>
    </row>
    <row r="580" spans="1:23" x14ac:dyDescent="0.55000000000000004">
      <c r="A580" s="3">
        <v>54</v>
      </c>
      <c r="B580" s="3" t="s">
        <v>48</v>
      </c>
      <c r="C580" s="3" t="s">
        <v>50</v>
      </c>
      <c r="D580" s="3" t="s">
        <v>10</v>
      </c>
      <c r="E580" s="2" t="s">
        <v>16</v>
      </c>
      <c r="F580" s="3">
        <v>16</v>
      </c>
      <c r="G580" s="4">
        <v>21.1</v>
      </c>
      <c r="H580" s="4">
        <v>103.7</v>
      </c>
      <c r="I580" s="6">
        <v>8.7930627592491213</v>
      </c>
      <c r="J580" s="5">
        <v>3.4000000000000002E-2</v>
      </c>
      <c r="K580" s="4">
        <v>19.8</v>
      </c>
      <c r="L580" s="4">
        <v>85.6</v>
      </c>
      <c r="M580" s="6">
        <v>7.4482465643161859</v>
      </c>
      <c r="N580" s="5">
        <v>3.4000000000000002E-2</v>
      </c>
      <c r="O580" s="5">
        <v>1.3448161949329354</v>
      </c>
      <c r="P580" s="5">
        <v>1.3448161949329354</v>
      </c>
      <c r="Q580" s="8">
        <v>0.20833333333333334</v>
      </c>
      <c r="R580" s="8">
        <v>0.86805555555555547</v>
      </c>
      <c r="S580" s="6">
        <f t="shared" si="27"/>
        <v>15.83333333333333</v>
      </c>
      <c r="T580" s="5">
        <f t="shared" si="28"/>
        <v>8.4935759679974882E-2</v>
      </c>
      <c r="U580" s="3">
        <v>2.21</v>
      </c>
      <c r="V580" s="5">
        <f t="shared" si="29"/>
        <v>3.8432470443427548E-2</v>
      </c>
      <c r="W580" s="3">
        <v>3.8432470443427548E-2</v>
      </c>
    </row>
    <row r="581" spans="1:23" x14ac:dyDescent="0.55000000000000004">
      <c r="A581" s="3">
        <v>59</v>
      </c>
      <c r="B581" s="3" t="s">
        <v>52</v>
      </c>
      <c r="C581" s="3" t="s">
        <v>49</v>
      </c>
      <c r="D581" s="3" t="s">
        <v>40</v>
      </c>
      <c r="E581" s="2" t="s">
        <v>16</v>
      </c>
      <c r="F581" s="3">
        <v>16</v>
      </c>
      <c r="G581" s="4">
        <v>21.1</v>
      </c>
      <c r="H581" s="4">
        <v>93.1</v>
      </c>
      <c r="I581" s="6">
        <v>7.8942540297598178</v>
      </c>
      <c r="J581" s="5">
        <v>0.03</v>
      </c>
      <c r="K581" s="4">
        <v>19.7</v>
      </c>
      <c r="L581" s="4">
        <v>75.099999999999994</v>
      </c>
      <c r="M581" s="6">
        <v>6.5477518974200555</v>
      </c>
      <c r="N581" s="5">
        <v>2.9000000000000001E-2</v>
      </c>
      <c r="O581" s="5">
        <v>1.3465021323397623</v>
      </c>
      <c r="P581" s="5">
        <v>1.3465021323397623</v>
      </c>
      <c r="Q581" s="8">
        <v>0.20833333333333334</v>
      </c>
      <c r="R581" s="8">
        <v>0.86805555555555547</v>
      </c>
      <c r="S581" s="6">
        <f t="shared" si="27"/>
        <v>15.83333333333333</v>
      </c>
      <c r="T581" s="5">
        <f t="shared" si="28"/>
        <v>8.504223993724816E-2</v>
      </c>
      <c r="U581" s="3">
        <v>2.21</v>
      </c>
      <c r="V581" s="5">
        <f t="shared" si="29"/>
        <v>3.8480651555315916E-2</v>
      </c>
      <c r="W581" s="3">
        <v>3.8480651555315916E-2</v>
      </c>
    </row>
    <row r="582" spans="1:23" x14ac:dyDescent="0.55000000000000004">
      <c r="A582" s="3">
        <v>15</v>
      </c>
      <c r="B582" s="3" t="s">
        <v>48</v>
      </c>
      <c r="C582" s="3" t="s">
        <v>49</v>
      </c>
      <c r="D582" s="3" t="s">
        <v>38</v>
      </c>
      <c r="E582" s="2" t="s">
        <v>19</v>
      </c>
      <c r="F582" s="3">
        <v>26</v>
      </c>
      <c r="G582" s="4">
        <v>26.9</v>
      </c>
      <c r="H582" s="4">
        <v>91.05</v>
      </c>
      <c r="I582" s="6">
        <v>6.9191262776793341</v>
      </c>
      <c r="J582" s="5">
        <v>3.9E-2</v>
      </c>
      <c r="K582" s="4">
        <v>22.5</v>
      </c>
      <c r="L582" s="4">
        <v>67.099999999999994</v>
      </c>
      <c r="M582" s="6">
        <v>5.5365388189936997</v>
      </c>
      <c r="N582" s="5">
        <v>3.5000000000000003E-2</v>
      </c>
      <c r="O582" s="5">
        <v>1.3825874586856344</v>
      </c>
      <c r="P582" s="5">
        <v>1.3825874586856344</v>
      </c>
      <c r="Q582" s="8">
        <v>0.20833333333333334</v>
      </c>
      <c r="R582" s="8">
        <v>0.88541666666666663</v>
      </c>
      <c r="S582" s="6">
        <f t="shared" si="27"/>
        <v>16.25</v>
      </c>
      <c r="T582" s="5">
        <f t="shared" si="28"/>
        <v>8.5082305149885198E-2</v>
      </c>
      <c r="U582" s="3">
        <v>2.21</v>
      </c>
      <c r="V582" s="5">
        <f t="shared" si="29"/>
        <v>3.8498780610807783E-2</v>
      </c>
      <c r="W582" s="3">
        <v>3.8498780610807783E-2</v>
      </c>
    </row>
    <row r="583" spans="1:23" x14ac:dyDescent="0.55000000000000004">
      <c r="A583" s="3">
        <v>59</v>
      </c>
      <c r="B583" s="3" t="s">
        <v>52</v>
      </c>
      <c r="C583" s="3" t="s">
        <v>49</v>
      </c>
      <c r="D583" s="3" t="s">
        <v>40</v>
      </c>
      <c r="E583" s="2" t="s">
        <v>24</v>
      </c>
      <c r="F583" s="3">
        <v>44</v>
      </c>
      <c r="G583" s="4">
        <v>25.6</v>
      </c>
      <c r="H583" s="4">
        <v>93.5</v>
      </c>
      <c r="I583" s="6">
        <v>7.2764545093797919</v>
      </c>
      <c r="J583" s="5">
        <v>5.7000000000000002E-2</v>
      </c>
      <c r="K583" s="4">
        <v>21</v>
      </c>
      <c r="L583" s="4">
        <v>68.8</v>
      </c>
      <c r="M583" s="6">
        <v>5.8452787553798906</v>
      </c>
      <c r="N583" s="5">
        <v>5.1999999999999998E-2</v>
      </c>
      <c r="O583" s="5">
        <v>1.4311757539999013</v>
      </c>
      <c r="P583" s="5">
        <v>1.4311757539999013</v>
      </c>
      <c r="Q583" s="8">
        <v>0.20277777777777781</v>
      </c>
      <c r="R583" s="8">
        <v>0.90277777777777779</v>
      </c>
      <c r="S583" s="6">
        <f t="shared" si="27"/>
        <v>16.799999999999997</v>
      </c>
      <c r="T583" s="5">
        <f t="shared" si="28"/>
        <v>8.5189032976184617E-2</v>
      </c>
      <c r="U583" s="3">
        <v>2.21</v>
      </c>
      <c r="V583" s="5">
        <f t="shared" si="29"/>
        <v>3.8547073744879916E-2</v>
      </c>
      <c r="W583" s="3">
        <v>3.8547073744879916E-2</v>
      </c>
    </row>
    <row r="584" spans="1:23" x14ac:dyDescent="0.55000000000000004">
      <c r="A584" s="3">
        <v>52</v>
      </c>
      <c r="B584" s="3" t="s">
        <v>48</v>
      </c>
      <c r="C584" s="3" t="s">
        <v>49</v>
      </c>
      <c r="D584" s="3" t="s">
        <v>38</v>
      </c>
      <c r="E584" s="3" t="s">
        <v>28</v>
      </c>
      <c r="F584" s="3">
        <v>58</v>
      </c>
      <c r="G584" s="4">
        <v>27.8</v>
      </c>
      <c r="H584" s="4">
        <v>74.7</v>
      </c>
      <c r="I584" s="6">
        <v>5.5852160842536698</v>
      </c>
      <c r="J584" s="5">
        <v>7.4999999999999997E-2</v>
      </c>
      <c r="K584" s="4">
        <v>23.4</v>
      </c>
      <c r="L584" s="4">
        <v>51.7</v>
      </c>
      <c r="M584" s="6">
        <v>4.1929146631846601</v>
      </c>
      <c r="N584" s="5">
        <v>7.2999999999999995E-2</v>
      </c>
      <c r="O584" s="5">
        <v>1.3923014210690097</v>
      </c>
      <c r="P584" s="5">
        <v>1.3923014210690097</v>
      </c>
      <c r="Q584" s="8">
        <v>0.20833333333333334</v>
      </c>
      <c r="R584" s="8">
        <v>0.88888888888888884</v>
      </c>
      <c r="S584" s="6">
        <f t="shared" si="27"/>
        <v>16.333333333333332</v>
      </c>
      <c r="T584" s="5">
        <f t="shared" si="28"/>
        <v>8.5242944147082236E-2</v>
      </c>
      <c r="U584" s="3">
        <v>2.21</v>
      </c>
      <c r="V584" s="5">
        <f t="shared" si="29"/>
        <v>3.8571467939856212E-2</v>
      </c>
      <c r="W584" s="3">
        <v>3.8571467939856212E-2</v>
      </c>
    </row>
    <row r="585" spans="1:23" x14ac:dyDescent="0.55000000000000004">
      <c r="A585" s="3">
        <v>55</v>
      </c>
      <c r="B585" s="3" t="s">
        <v>52</v>
      </c>
      <c r="C585" s="3" t="s">
        <v>49</v>
      </c>
      <c r="D585" s="3" t="s">
        <v>40</v>
      </c>
      <c r="E585" s="2" t="s">
        <v>13</v>
      </c>
      <c r="F585" s="3">
        <v>8</v>
      </c>
      <c r="G585" s="4">
        <v>22.3</v>
      </c>
      <c r="H585" s="4">
        <v>112</v>
      </c>
      <c r="I585" s="6">
        <v>9.2770834081207685</v>
      </c>
      <c r="J585" s="5">
        <v>2.4E-2</v>
      </c>
      <c r="K585" s="4">
        <v>19.3</v>
      </c>
      <c r="L585" s="4">
        <v>90.3</v>
      </c>
      <c r="M585" s="6">
        <v>7.9367213595477617</v>
      </c>
      <c r="N585" s="5">
        <v>2.3E-2</v>
      </c>
      <c r="O585" s="5">
        <v>1.3403620485730068</v>
      </c>
      <c r="P585" s="5">
        <v>1.3403620485730068</v>
      </c>
      <c r="Q585" s="8">
        <v>0.20833333333333334</v>
      </c>
      <c r="R585" s="8">
        <v>0.86319444444444438</v>
      </c>
      <c r="S585" s="6">
        <f t="shared" si="27"/>
        <v>15.716666666666665</v>
      </c>
      <c r="T585" s="5">
        <f t="shared" si="28"/>
        <v>8.5282845084178591E-2</v>
      </c>
      <c r="U585" s="3">
        <v>2.21</v>
      </c>
      <c r="V585" s="5">
        <f t="shared" si="29"/>
        <v>3.8589522662524252E-2</v>
      </c>
      <c r="W585" s="3">
        <v>3.8589522662524252E-2</v>
      </c>
    </row>
    <row r="586" spans="1:23" x14ac:dyDescent="0.55000000000000004">
      <c r="A586" s="3">
        <v>22</v>
      </c>
      <c r="B586" s="3" t="s">
        <v>48</v>
      </c>
      <c r="C586" s="3" t="s">
        <v>49</v>
      </c>
      <c r="D586" s="3" t="s">
        <v>38</v>
      </c>
      <c r="E586" s="2" t="s">
        <v>24</v>
      </c>
      <c r="F586" s="3">
        <v>44</v>
      </c>
      <c r="G586" s="4">
        <v>25.2</v>
      </c>
      <c r="H586" s="4">
        <v>71.8</v>
      </c>
      <c r="I586" s="6">
        <v>5.6292432487740989</v>
      </c>
      <c r="J586" s="5">
        <v>6.4000000000000001E-2</v>
      </c>
      <c r="K586" s="4">
        <v>20.7</v>
      </c>
      <c r="L586" s="4">
        <v>49.1</v>
      </c>
      <c r="M586" s="6">
        <v>4.1963523192615426</v>
      </c>
      <c r="N586" s="5">
        <v>5.8000000000000003E-2</v>
      </c>
      <c r="O586" s="5">
        <v>1.4328909295125563</v>
      </c>
      <c r="P586" s="5">
        <v>1.4328909295125563</v>
      </c>
      <c r="Q586" s="8">
        <v>0.20277777777777781</v>
      </c>
      <c r="R586" s="8">
        <v>0.90277777777777779</v>
      </c>
      <c r="S586" s="6">
        <f t="shared" si="27"/>
        <v>16.799999999999997</v>
      </c>
      <c r="T586" s="5">
        <f t="shared" si="28"/>
        <v>8.5291126756699795E-2</v>
      </c>
      <c r="U586" s="3">
        <v>2.21</v>
      </c>
      <c r="V586" s="5">
        <f t="shared" si="29"/>
        <v>3.8593270025656018E-2</v>
      </c>
      <c r="W586" s="3">
        <v>3.8593270025656018E-2</v>
      </c>
    </row>
    <row r="587" spans="1:23" x14ac:dyDescent="0.55000000000000004">
      <c r="A587" s="3">
        <v>49</v>
      </c>
      <c r="B587" s="3" t="s">
        <v>51</v>
      </c>
      <c r="C587" s="3" t="s">
        <v>49</v>
      </c>
      <c r="D587" s="3" t="s">
        <v>39</v>
      </c>
      <c r="E587" s="2" t="s">
        <v>13</v>
      </c>
      <c r="F587" s="3">
        <v>8</v>
      </c>
      <c r="G587" s="4">
        <v>22.2</v>
      </c>
      <c r="H587" s="4">
        <v>110.2</v>
      </c>
      <c r="I587" s="6">
        <v>9.1456724763198665</v>
      </c>
      <c r="J587" s="5">
        <v>2.1999999999999999E-2</v>
      </c>
      <c r="K587" s="4">
        <v>19.3</v>
      </c>
      <c r="L587" s="4">
        <v>88.8</v>
      </c>
      <c r="M587" s="6">
        <v>7.804882134306105</v>
      </c>
      <c r="N587" s="5">
        <v>2.1999999999999999E-2</v>
      </c>
      <c r="O587" s="5">
        <v>1.3407903420137615</v>
      </c>
      <c r="P587" s="5">
        <v>1.3407903420137615</v>
      </c>
      <c r="Q587" s="8">
        <v>0.20833333333333334</v>
      </c>
      <c r="R587" s="8">
        <v>0.86319444444444438</v>
      </c>
      <c r="S587" s="6">
        <f t="shared" si="27"/>
        <v>15.716666666666665</v>
      </c>
      <c r="T587" s="5">
        <f t="shared" si="28"/>
        <v>8.5310095992392046E-2</v>
      </c>
      <c r="U587" s="3">
        <v>2.21</v>
      </c>
      <c r="V587" s="5">
        <f t="shared" si="29"/>
        <v>3.8601853390222644E-2</v>
      </c>
      <c r="W587" s="3">
        <v>3.8601853390222644E-2</v>
      </c>
    </row>
    <row r="588" spans="1:23" x14ac:dyDescent="0.55000000000000004">
      <c r="A588" s="3">
        <v>41</v>
      </c>
      <c r="B588" s="3" t="s">
        <v>51</v>
      </c>
      <c r="C588" s="3" t="s">
        <v>50</v>
      </c>
      <c r="D588" s="3" t="s">
        <v>9</v>
      </c>
      <c r="E588" s="2" t="s">
        <v>16</v>
      </c>
      <c r="F588" s="3">
        <v>16</v>
      </c>
      <c r="G588" s="4">
        <v>21</v>
      </c>
      <c r="H588" s="4">
        <v>105.4</v>
      </c>
      <c r="I588" s="6">
        <v>8.9548311165267531</v>
      </c>
      <c r="J588" s="5">
        <v>3.7999999999999999E-2</v>
      </c>
      <c r="K588" s="4">
        <v>19.7</v>
      </c>
      <c r="L588" s="4">
        <v>87.2</v>
      </c>
      <c r="M588" s="6">
        <v>7.6027159181761501</v>
      </c>
      <c r="N588" s="5">
        <v>3.7999999999999999E-2</v>
      </c>
      <c r="O588" s="5">
        <v>1.352115198350603</v>
      </c>
      <c r="P588" s="5">
        <v>1.352115198350603</v>
      </c>
      <c r="Q588" s="8">
        <v>0.20833333333333334</v>
      </c>
      <c r="R588" s="8">
        <v>0.86805555555555547</v>
      </c>
      <c r="S588" s="6">
        <f t="shared" si="27"/>
        <v>15.83333333333333</v>
      </c>
      <c r="T588" s="5">
        <f t="shared" si="28"/>
        <v>8.539674936951179E-2</v>
      </c>
      <c r="U588" s="3">
        <v>2.21</v>
      </c>
      <c r="V588" s="5">
        <f t="shared" si="29"/>
        <v>3.8641063063127506E-2</v>
      </c>
      <c r="W588" s="3">
        <v>3.8641063063127506E-2</v>
      </c>
    </row>
    <row r="589" spans="1:23" x14ac:dyDescent="0.55000000000000004">
      <c r="A589" s="3">
        <v>24</v>
      </c>
      <c r="B589" s="3" t="s">
        <v>52</v>
      </c>
      <c r="C589" s="3" t="s">
        <v>49</v>
      </c>
      <c r="D589" s="3" t="s">
        <v>40</v>
      </c>
      <c r="E589" s="2" t="s">
        <v>23</v>
      </c>
      <c r="F589" s="3">
        <v>40</v>
      </c>
      <c r="G589" s="4">
        <v>28.9</v>
      </c>
      <c r="H589" s="4">
        <v>94.3</v>
      </c>
      <c r="I589" s="6">
        <v>6.9139199919151642</v>
      </c>
      <c r="J589" s="5">
        <v>4.9000000000000002E-2</v>
      </c>
      <c r="K589" s="4">
        <v>24.1</v>
      </c>
      <c r="L589" s="4">
        <v>68.900000000000006</v>
      </c>
      <c r="M589" s="6">
        <v>5.5142226618081205</v>
      </c>
      <c r="N589" s="5">
        <v>4.8000000000000001E-2</v>
      </c>
      <c r="O589" s="5">
        <v>1.3996973301070437</v>
      </c>
      <c r="P589" s="5">
        <v>1.3996973301070437</v>
      </c>
      <c r="Q589" s="8">
        <v>0.20833333333333334</v>
      </c>
      <c r="R589" s="8">
        <v>0.89027777777777783</v>
      </c>
      <c r="S589" s="6">
        <f t="shared" si="27"/>
        <v>16.366666666666667</v>
      </c>
      <c r="T589" s="5">
        <f t="shared" si="28"/>
        <v>8.5521221798801034E-2</v>
      </c>
      <c r="U589" s="3">
        <v>2.21</v>
      </c>
      <c r="V589" s="5">
        <f t="shared" si="29"/>
        <v>3.8697385429321739E-2</v>
      </c>
      <c r="W589" s="3">
        <v>3.8697385429321739E-2</v>
      </c>
    </row>
    <row r="590" spans="1:23" x14ac:dyDescent="0.55000000000000004">
      <c r="A590" s="3">
        <v>2</v>
      </c>
      <c r="B590" s="3" t="s">
        <v>48</v>
      </c>
      <c r="C590" s="3" t="s">
        <v>49</v>
      </c>
      <c r="D590" s="3" t="s">
        <v>38</v>
      </c>
      <c r="E590" s="3" t="s">
        <v>26</v>
      </c>
      <c r="F590" s="3">
        <v>51</v>
      </c>
      <c r="G590" s="4">
        <v>28.2</v>
      </c>
      <c r="H590" s="4">
        <v>80.400000000000006</v>
      </c>
      <c r="I590" s="6">
        <v>5.9685379701756354</v>
      </c>
      <c r="J590" s="5">
        <v>7.1999999999999995E-2</v>
      </c>
      <c r="K590" s="4">
        <v>24.5</v>
      </c>
      <c r="L590" s="4">
        <v>57.9</v>
      </c>
      <c r="M590" s="6">
        <v>4.5991457119903965</v>
      </c>
      <c r="N590" s="5">
        <v>7.0000000000000007E-2</v>
      </c>
      <c r="O590" s="5">
        <v>1.3693922581852389</v>
      </c>
      <c r="P590" s="5">
        <v>1.3693922581852389</v>
      </c>
      <c r="Q590" s="8">
        <v>0.20833333333333334</v>
      </c>
      <c r="R590" s="8">
        <v>0.875</v>
      </c>
      <c r="S590" s="6">
        <f t="shared" si="27"/>
        <v>16</v>
      </c>
      <c r="T590" s="5">
        <f t="shared" si="28"/>
        <v>8.5587016136577432E-2</v>
      </c>
      <c r="U590" s="3">
        <v>2.21</v>
      </c>
      <c r="V590" s="5">
        <f t="shared" si="29"/>
        <v>3.8727156622885714E-2</v>
      </c>
      <c r="W590" s="3">
        <v>3.8727156622885714E-2</v>
      </c>
    </row>
    <row r="591" spans="1:23" x14ac:dyDescent="0.55000000000000004">
      <c r="A591" s="3">
        <v>12</v>
      </c>
      <c r="B591" s="3" t="s">
        <v>53</v>
      </c>
      <c r="C591" s="3" t="s">
        <v>50</v>
      </c>
      <c r="D591" s="3" t="s">
        <v>11</v>
      </c>
      <c r="E591" s="2" t="s">
        <v>16</v>
      </c>
      <c r="F591" s="3">
        <v>16</v>
      </c>
      <c r="G591" s="4">
        <v>20.7</v>
      </c>
      <c r="H591" s="4">
        <v>96.1</v>
      </c>
      <c r="I591" s="6">
        <v>8.2132272480862358</v>
      </c>
      <c r="J591" s="5">
        <v>4.9000000000000002E-2</v>
      </c>
      <c r="K591" s="4">
        <v>19.600000000000001</v>
      </c>
      <c r="L591" s="4">
        <v>78.5</v>
      </c>
      <c r="M591" s="6">
        <v>6.8579646136045254</v>
      </c>
      <c r="N591" s="5">
        <v>4.7E-2</v>
      </c>
      <c r="O591" s="5">
        <v>1.3552626344817105</v>
      </c>
      <c r="P591" s="5">
        <v>1.3552626344817105</v>
      </c>
      <c r="Q591" s="8">
        <v>0.20833333333333334</v>
      </c>
      <c r="R591" s="8">
        <v>0.86805555555555547</v>
      </c>
      <c r="S591" s="6">
        <f t="shared" si="27"/>
        <v>15.83333333333333</v>
      </c>
      <c r="T591" s="5">
        <f t="shared" si="28"/>
        <v>8.559553480937121E-2</v>
      </c>
      <c r="U591" s="3">
        <v>2.21</v>
      </c>
      <c r="V591" s="5">
        <f t="shared" si="29"/>
        <v>3.8731011225959816E-2</v>
      </c>
      <c r="W591" s="3">
        <v>3.8731011225959816E-2</v>
      </c>
    </row>
    <row r="592" spans="1:23" x14ac:dyDescent="0.55000000000000004">
      <c r="A592" s="3">
        <v>41</v>
      </c>
      <c r="B592" s="3" t="s">
        <v>51</v>
      </c>
      <c r="C592" s="3" t="s">
        <v>50</v>
      </c>
      <c r="D592" s="3" t="s">
        <v>9</v>
      </c>
      <c r="E592" s="3" t="s">
        <v>35</v>
      </c>
      <c r="F592" s="3">
        <v>82</v>
      </c>
      <c r="G592" s="4">
        <v>32.5</v>
      </c>
      <c r="H592" s="4">
        <v>70.599999999999994</v>
      </c>
      <c r="I592" s="6">
        <v>4.8640234146320687</v>
      </c>
      <c r="J592" s="5">
        <v>6.9000000000000006E-2</v>
      </c>
      <c r="K592" s="4">
        <v>28.5</v>
      </c>
      <c r="L592" s="4">
        <v>47</v>
      </c>
      <c r="M592" s="6">
        <v>3.4704820010235817</v>
      </c>
      <c r="N592" s="5">
        <v>6.3E-2</v>
      </c>
      <c r="O592" s="5">
        <v>1.3935414136084869</v>
      </c>
      <c r="P592" s="5">
        <v>1.3935414136084869</v>
      </c>
      <c r="Q592" s="8">
        <v>0.20833333333333334</v>
      </c>
      <c r="R592" s="8">
        <v>0.88541666666666663</v>
      </c>
      <c r="S592" s="6">
        <f t="shared" si="27"/>
        <v>16.25</v>
      </c>
      <c r="T592" s="5">
        <f t="shared" si="28"/>
        <v>8.5756394683599191E-2</v>
      </c>
      <c r="U592" s="3">
        <v>2.21</v>
      </c>
      <c r="V592" s="5">
        <f t="shared" si="29"/>
        <v>3.8803798499366153E-2</v>
      </c>
      <c r="W592" s="3">
        <v>3.8803798499366153E-2</v>
      </c>
    </row>
    <row r="593" spans="1:23" x14ac:dyDescent="0.55000000000000004">
      <c r="A593" s="3">
        <v>14</v>
      </c>
      <c r="B593" s="3" t="s">
        <v>48</v>
      </c>
      <c r="C593" s="3" t="s">
        <v>50</v>
      </c>
      <c r="D593" s="3" t="s">
        <v>10</v>
      </c>
      <c r="E593" s="2" t="s">
        <v>14</v>
      </c>
      <c r="F593" s="3">
        <v>10</v>
      </c>
      <c r="G593" s="4">
        <v>22.3</v>
      </c>
      <c r="H593" s="4">
        <v>105.4</v>
      </c>
      <c r="I593" s="6">
        <v>8.730398135856511</v>
      </c>
      <c r="J593" s="5">
        <v>3.6999999999999998E-2</v>
      </c>
      <c r="K593" s="4">
        <v>20</v>
      </c>
      <c r="L593" s="4">
        <v>85</v>
      </c>
      <c r="M593" s="6">
        <v>7.3664647605264637</v>
      </c>
      <c r="N593" s="5">
        <v>3.5000000000000003E-2</v>
      </c>
      <c r="O593" s="5">
        <v>1.3639333753300473</v>
      </c>
      <c r="P593" s="5">
        <v>1.3639333753300473</v>
      </c>
      <c r="Q593" s="8">
        <v>0.20555555555555557</v>
      </c>
      <c r="R593" s="8">
        <v>0.86805555555555547</v>
      </c>
      <c r="S593" s="6">
        <f t="shared" si="27"/>
        <v>15.899999999999997</v>
      </c>
      <c r="T593" s="5">
        <f t="shared" si="28"/>
        <v>8.5781973291197966E-2</v>
      </c>
      <c r="U593" s="3">
        <v>2.21</v>
      </c>
      <c r="V593" s="5">
        <f t="shared" si="29"/>
        <v>3.8815372529953832E-2</v>
      </c>
      <c r="W593" s="3">
        <v>3.8815372529953832E-2</v>
      </c>
    </row>
    <row r="594" spans="1:23" x14ac:dyDescent="0.55000000000000004">
      <c r="A594" s="3">
        <v>62</v>
      </c>
      <c r="B594" s="3" t="s">
        <v>52</v>
      </c>
      <c r="C594" s="3" t="s">
        <v>49</v>
      </c>
      <c r="D594" s="3" t="s">
        <v>40</v>
      </c>
      <c r="E594" s="2" t="s">
        <v>24</v>
      </c>
      <c r="F594" s="3">
        <v>44</v>
      </c>
      <c r="G594" s="4">
        <v>25.3</v>
      </c>
      <c r="H594" s="4">
        <v>95.2</v>
      </c>
      <c r="I594" s="6">
        <v>7.4500044209054455</v>
      </c>
      <c r="J594" s="5">
        <v>6.7000000000000004E-2</v>
      </c>
      <c r="K594" s="4">
        <v>20.8</v>
      </c>
      <c r="L594" s="4">
        <v>70.400000000000006</v>
      </c>
      <c r="M594" s="6">
        <v>6.0048748648312946</v>
      </c>
      <c r="N594" s="5">
        <v>5.6000000000000001E-2</v>
      </c>
      <c r="O594" s="5">
        <v>1.4451295560741508</v>
      </c>
      <c r="P594" s="5">
        <v>1.4451295560741508</v>
      </c>
      <c r="Q594" s="8">
        <v>0.20277777777777781</v>
      </c>
      <c r="R594" s="8">
        <v>0.90277777777777779</v>
      </c>
      <c r="S594" s="6">
        <f t="shared" si="27"/>
        <v>16.799999999999997</v>
      </c>
      <c r="T594" s="5">
        <f t="shared" si="28"/>
        <v>8.6019616432985183E-2</v>
      </c>
      <c r="U594" s="3">
        <v>2.21</v>
      </c>
      <c r="V594" s="5">
        <f t="shared" si="29"/>
        <v>3.8922903363341713E-2</v>
      </c>
      <c r="W594" s="3">
        <v>3.8922903363341713E-2</v>
      </c>
    </row>
    <row r="595" spans="1:23" x14ac:dyDescent="0.55000000000000004">
      <c r="A595" s="3">
        <v>2</v>
      </c>
      <c r="B595" s="3" t="s">
        <v>48</v>
      </c>
      <c r="C595" s="3" t="s">
        <v>49</v>
      </c>
      <c r="D595" s="3" t="s">
        <v>38</v>
      </c>
      <c r="E595" s="2" t="s">
        <v>22</v>
      </c>
      <c r="F595" s="3">
        <v>37</v>
      </c>
      <c r="G595" s="4">
        <v>29.1</v>
      </c>
      <c r="H595" s="4">
        <v>82.2</v>
      </c>
      <c r="I595" s="6">
        <v>6.005522365503924</v>
      </c>
      <c r="J595" s="5">
        <v>6.2E-2</v>
      </c>
      <c r="K595" s="4">
        <v>24.2</v>
      </c>
      <c r="L595" s="4">
        <v>57.5</v>
      </c>
      <c r="M595" s="6">
        <v>4.5931920041280598</v>
      </c>
      <c r="N595" s="5">
        <v>5.8999999999999997E-2</v>
      </c>
      <c r="O595" s="5">
        <v>1.4123303613758642</v>
      </c>
      <c r="P595" s="5">
        <v>1.4123303613758642</v>
      </c>
      <c r="Q595" s="8">
        <v>0.20138888888888887</v>
      </c>
      <c r="R595" s="8">
        <v>0.88541666666666663</v>
      </c>
      <c r="S595" s="6">
        <f t="shared" si="27"/>
        <v>16.416666666666668</v>
      </c>
      <c r="T595" s="5">
        <f t="shared" si="28"/>
        <v>8.6030275819849594E-2</v>
      </c>
      <c r="U595" s="3">
        <v>2.21</v>
      </c>
      <c r="V595" s="5">
        <f t="shared" si="29"/>
        <v>3.8927726615316557E-2</v>
      </c>
      <c r="W595" s="3">
        <v>3.8927726615316557E-2</v>
      </c>
    </row>
    <row r="596" spans="1:23" x14ac:dyDescent="0.55000000000000004">
      <c r="A596" s="3">
        <v>30</v>
      </c>
      <c r="B596" s="3" t="s">
        <v>52</v>
      </c>
      <c r="C596" s="3" t="s">
        <v>49</v>
      </c>
      <c r="D596" s="3" t="s">
        <v>40</v>
      </c>
      <c r="E596" s="2" t="s">
        <v>13</v>
      </c>
      <c r="F596" s="3">
        <v>8</v>
      </c>
      <c r="G596" s="4">
        <v>22.1</v>
      </c>
      <c r="H596" s="4">
        <v>109.7</v>
      </c>
      <c r="I596" s="6">
        <v>9.1218410044616931</v>
      </c>
      <c r="J596" s="5">
        <v>2.3E-2</v>
      </c>
      <c r="K596" s="4">
        <v>19.3</v>
      </c>
      <c r="L596" s="4">
        <v>88.4</v>
      </c>
      <c r="M596" s="6">
        <v>7.7697250075749968</v>
      </c>
      <c r="N596" s="5">
        <v>2.3E-2</v>
      </c>
      <c r="O596" s="5">
        <v>1.3521159968866963</v>
      </c>
      <c r="P596" s="5">
        <v>1.3521159968866963</v>
      </c>
      <c r="Q596" s="8">
        <v>0.20833333333333334</v>
      </c>
      <c r="R596" s="8">
        <v>0.86319444444444438</v>
      </c>
      <c r="S596" s="6">
        <f t="shared" si="27"/>
        <v>15.716666666666665</v>
      </c>
      <c r="T596" s="5">
        <f t="shared" si="28"/>
        <v>8.6030710300320029E-2</v>
      </c>
      <c r="U596" s="3">
        <v>2.21</v>
      </c>
      <c r="V596" s="5">
        <f t="shared" si="29"/>
        <v>3.8927923212814491E-2</v>
      </c>
      <c r="W596" s="3">
        <v>3.8927923212814491E-2</v>
      </c>
    </row>
    <row r="597" spans="1:23" x14ac:dyDescent="0.55000000000000004">
      <c r="A597" s="3">
        <v>8</v>
      </c>
      <c r="B597" s="3" t="s">
        <v>51</v>
      </c>
      <c r="C597" s="3" t="s">
        <v>50</v>
      </c>
      <c r="D597" s="3" t="s">
        <v>9</v>
      </c>
      <c r="E597" s="3" t="s">
        <v>35</v>
      </c>
      <c r="F597" s="3">
        <v>82</v>
      </c>
      <c r="G597" s="4">
        <v>30.9</v>
      </c>
      <c r="H597" s="4">
        <v>75.599999999999994</v>
      </c>
      <c r="I597" s="6">
        <v>5.3526910179416829</v>
      </c>
      <c r="J597" s="5">
        <v>5.5E-2</v>
      </c>
      <c r="K597" s="4">
        <v>27.1</v>
      </c>
      <c r="L597" s="4">
        <v>52.2</v>
      </c>
      <c r="M597" s="6">
        <v>3.9524596211805147</v>
      </c>
      <c r="N597" s="5">
        <v>5.0999999999999997E-2</v>
      </c>
      <c r="O597" s="5">
        <v>1.4002313967611681</v>
      </c>
      <c r="P597" s="5">
        <v>1.4002313967611681</v>
      </c>
      <c r="Q597" s="8">
        <v>0.20833333333333334</v>
      </c>
      <c r="R597" s="8">
        <v>0.88541666666666663</v>
      </c>
      <c r="S597" s="6">
        <f t="shared" si="27"/>
        <v>16.25</v>
      </c>
      <c r="T597" s="5">
        <f t="shared" si="28"/>
        <v>8.616808595453343E-2</v>
      </c>
      <c r="U597" s="3">
        <v>2.21</v>
      </c>
      <c r="V597" s="5">
        <f t="shared" si="29"/>
        <v>3.8990084142322814E-2</v>
      </c>
      <c r="W597" s="3">
        <v>3.8990084142322814E-2</v>
      </c>
    </row>
    <row r="598" spans="1:23" x14ac:dyDescent="0.55000000000000004">
      <c r="A598" s="3">
        <v>63</v>
      </c>
      <c r="B598" s="3" t="s">
        <v>51</v>
      </c>
      <c r="C598" s="3" t="s">
        <v>49</v>
      </c>
      <c r="D598" s="3" t="s">
        <v>39</v>
      </c>
      <c r="E598" s="2" t="s">
        <v>19</v>
      </c>
      <c r="F598" s="3">
        <v>26</v>
      </c>
      <c r="G598" s="4">
        <v>25.4</v>
      </c>
      <c r="H598" s="4">
        <v>95.6</v>
      </c>
      <c r="I598" s="6">
        <v>7.4674545183733629</v>
      </c>
      <c r="J598" s="5">
        <v>3.4000000000000002E-2</v>
      </c>
      <c r="K598" s="4">
        <v>22.7</v>
      </c>
      <c r="L598" s="4">
        <v>73.8</v>
      </c>
      <c r="M598" s="6">
        <v>6.0659576579584611</v>
      </c>
      <c r="N598" s="5">
        <v>3.2000000000000001E-2</v>
      </c>
      <c r="O598" s="5">
        <v>1.4014968604149018</v>
      </c>
      <c r="P598" s="5">
        <v>1.4014968604149018</v>
      </c>
      <c r="Q598" s="8">
        <v>0.20833333333333334</v>
      </c>
      <c r="R598" s="8">
        <v>0.88541666666666663</v>
      </c>
      <c r="S598" s="6">
        <f t="shared" si="27"/>
        <v>16.25</v>
      </c>
      <c r="T598" s="5">
        <f t="shared" si="28"/>
        <v>8.6245960640917038E-2</v>
      </c>
      <c r="U598" s="3">
        <v>2.21</v>
      </c>
      <c r="V598" s="5">
        <f t="shared" si="29"/>
        <v>3.902532155697603E-2</v>
      </c>
      <c r="W598" s="3">
        <v>3.902532155697603E-2</v>
      </c>
    </row>
    <row r="599" spans="1:23" x14ac:dyDescent="0.55000000000000004">
      <c r="A599" s="3">
        <v>64</v>
      </c>
      <c r="B599" s="3" t="s">
        <v>53</v>
      </c>
      <c r="C599" s="3" t="s">
        <v>50</v>
      </c>
      <c r="D599" s="3" t="s">
        <v>11</v>
      </c>
      <c r="E599" s="2" t="s">
        <v>14</v>
      </c>
      <c r="F599" s="3">
        <v>10</v>
      </c>
      <c r="G599" s="4">
        <v>21.8</v>
      </c>
      <c r="H599" s="4">
        <v>107.4</v>
      </c>
      <c r="I599" s="6">
        <v>8.9828243404582846</v>
      </c>
      <c r="J599" s="5">
        <v>3.6999999999999998E-2</v>
      </c>
      <c r="K599" s="4">
        <v>19.7</v>
      </c>
      <c r="L599" s="4">
        <v>87.3</v>
      </c>
      <c r="M599" s="6">
        <v>7.6114346290914883</v>
      </c>
      <c r="N599" s="5">
        <v>3.5000000000000003E-2</v>
      </c>
      <c r="O599" s="5">
        <v>1.3713897113667963</v>
      </c>
      <c r="P599" s="5">
        <v>1.3713897113667963</v>
      </c>
      <c r="Q599" s="8">
        <v>0.20555555555555557</v>
      </c>
      <c r="R599" s="8">
        <v>0.86805555555555547</v>
      </c>
      <c r="S599" s="6">
        <f t="shared" si="27"/>
        <v>15.899999999999997</v>
      </c>
      <c r="T599" s="5">
        <f t="shared" si="28"/>
        <v>8.6250925243194748E-2</v>
      </c>
      <c r="U599" s="3">
        <v>2.21</v>
      </c>
      <c r="V599" s="5">
        <f t="shared" si="29"/>
        <v>3.9027567983346043E-2</v>
      </c>
      <c r="W599" s="3">
        <v>3.9027567983346043E-2</v>
      </c>
    </row>
    <row r="600" spans="1:23" x14ac:dyDescent="0.55000000000000004">
      <c r="A600" s="3">
        <v>18</v>
      </c>
      <c r="B600" s="3" t="s">
        <v>51</v>
      </c>
      <c r="C600" s="3" t="s">
        <v>50</v>
      </c>
      <c r="D600" s="3" t="s">
        <v>9</v>
      </c>
      <c r="E600" s="3" t="s">
        <v>28</v>
      </c>
      <c r="F600" s="3">
        <v>58</v>
      </c>
      <c r="G600" s="4">
        <v>28.7</v>
      </c>
      <c r="H600" s="4">
        <v>110.2</v>
      </c>
      <c r="I600" s="6">
        <v>8.1083390313243147</v>
      </c>
      <c r="J600" s="5">
        <v>7.1999999999999995E-2</v>
      </c>
      <c r="K600" s="4">
        <v>25.3</v>
      </c>
      <c r="L600" s="4">
        <v>85.6</v>
      </c>
      <c r="M600" s="6">
        <v>6.6987434708981732</v>
      </c>
      <c r="N600" s="5">
        <v>6.3E-2</v>
      </c>
      <c r="O600" s="5">
        <v>1.4095955604261414</v>
      </c>
      <c r="P600" s="5">
        <v>1.4095955604261414</v>
      </c>
      <c r="Q600" s="8">
        <v>0.20833333333333334</v>
      </c>
      <c r="R600" s="8">
        <v>0.88888888888888884</v>
      </c>
      <c r="S600" s="6">
        <f t="shared" si="27"/>
        <v>16.333333333333332</v>
      </c>
      <c r="T600" s="5">
        <f t="shared" si="28"/>
        <v>8.6301769005682136E-2</v>
      </c>
      <c r="U600" s="3">
        <v>2.21</v>
      </c>
      <c r="V600" s="5">
        <f t="shared" si="29"/>
        <v>3.9050574210715901E-2</v>
      </c>
      <c r="W600" s="3">
        <v>3.9050574210715901E-2</v>
      </c>
    </row>
    <row r="601" spans="1:23" x14ac:dyDescent="0.55000000000000004">
      <c r="A601" s="3">
        <v>51</v>
      </c>
      <c r="B601" s="3" t="s">
        <v>48</v>
      </c>
      <c r="C601" s="3" t="s">
        <v>50</v>
      </c>
      <c r="D601" s="3" t="s">
        <v>10</v>
      </c>
      <c r="E601" s="2" t="s">
        <v>20</v>
      </c>
      <c r="F601" s="3">
        <v>30</v>
      </c>
      <c r="G601" s="4">
        <v>27.5</v>
      </c>
      <c r="H601" s="4">
        <v>64</v>
      </c>
      <c r="I601" s="6">
        <v>4.8110589791592826</v>
      </c>
      <c r="J601" s="5">
        <v>6.0999999999999999E-2</v>
      </c>
      <c r="K601" s="4">
        <v>24</v>
      </c>
      <c r="L601" s="4">
        <v>42.5</v>
      </c>
      <c r="M601" s="6">
        <v>3.4077950652881599</v>
      </c>
      <c r="N601" s="5">
        <v>5.7000000000000002E-2</v>
      </c>
      <c r="O601" s="5">
        <v>1.4032639138711227</v>
      </c>
      <c r="P601" s="5">
        <v>1.4032639138711227</v>
      </c>
      <c r="Q601" s="8">
        <v>0.20833333333333334</v>
      </c>
      <c r="R601" s="8">
        <v>0.88541666666666663</v>
      </c>
      <c r="S601" s="6">
        <f t="shared" si="27"/>
        <v>16.25</v>
      </c>
      <c r="T601" s="5">
        <f t="shared" si="28"/>
        <v>8.6354702392069091E-2</v>
      </c>
      <c r="U601" s="3">
        <v>2.21</v>
      </c>
      <c r="V601" s="5">
        <f t="shared" si="29"/>
        <v>3.9074525969262031E-2</v>
      </c>
      <c r="W601" s="3">
        <v>3.9074525969262031E-2</v>
      </c>
    </row>
    <row r="602" spans="1:23" x14ac:dyDescent="0.55000000000000004">
      <c r="A602" s="3">
        <v>23</v>
      </c>
      <c r="B602" s="3" t="s">
        <v>52</v>
      </c>
      <c r="C602" s="3" t="s">
        <v>49</v>
      </c>
      <c r="D602" s="3" t="s">
        <v>40</v>
      </c>
      <c r="E602" s="3" t="s">
        <v>30</v>
      </c>
      <c r="F602" s="3">
        <v>65</v>
      </c>
      <c r="G602" s="4">
        <v>25.9</v>
      </c>
      <c r="H602" s="4">
        <v>82.2</v>
      </c>
      <c r="I602" s="6">
        <v>6.3617774572850943</v>
      </c>
      <c r="J602" s="5">
        <v>6.9000000000000006E-2</v>
      </c>
      <c r="K602" s="4">
        <v>22</v>
      </c>
      <c r="L602" s="4">
        <v>59.5</v>
      </c>
      <c r="M602" s="6">
        <v>4.9571934818888117</v>
      </c>
      <c r="N602" s="5">
        <v>6.4000000000000001E-2</v>
      </c>
      <c r="O602" s="5">
        <v>1.4045839753962825</v>
      </c>
      <c r="P602" s="5">
        <v>1.4045839753962825</v>
      </c>
      <c r="Q602" s="8">
        <v>0.20833333333333334</v>
      </c>
      <c r="R602" s="8">
        <v>0.88541666666666663</v>
      </c>
      <c r="S602" s="6">
        <f t="shared" si="27"/>
        <v>16.25</v>
      </c>
      <c r="T602" s="5">
        <f t="shared" si="28"/>
        <v>8.6435936947463543E-2</v>
      </c>
      <c r="U602" s="3">
        <v>2.21</v>
      </c>
      <c r="V602" s="5">
        <f t="shared" si="29"/>
        <v>3.9111283686635086E-2</v>
      </c>
      <c r="W602" s="3">
        <v>3.9111283686635086E-2</v>
      </c>
    </row>
    <row r="603" spans="1:23" x14ac:dyDescent="0.55000000000000004">
      <c r="A603" s="3">
        <v>6</v>
      </c>
      <c r="B603" s="3" t="s">
        <v>51</v>
      </c>
      <c r="C603" s="3" t="s">
        <v>49</v>
      </c>
      <c r="D603" s="3" t="s">
        <v>39</v>
      </c>
      <c r="E603" s="2" t="s">
        <v>20</v>
      </c>
      <c r="F603" s="3">
        <v>30</v>
      </c>
      <c r="G603" s="4">
        <v>26.8</v>
      </c>
      <c r="H603" s="4">
        <v>93.6</v>
      </c>
      <c r="I603" s="6">
        <v>7.1258374785144518</v>
      </c>
      <c r="J603" s="5">
        <v>0.04</v>
      </c>
      <c r="K603" s="4">
        <v>23.6</v>
      </c>
      <c r="L603" s="4">
        <v>70.8</v>
      </c>
      <c r="M603" s="6">
        <v>5.7201462392440199</v>
      </c>
      <c r="N603" s="5">
        <v>3.9E-2</v>
      </c>
      <c r="O603" s="5">
        <v>1.4056912392704319</v>
      </c>
      <c r="P603" s="5">
        <v>1.4056912392704319</v>
      </c>
      <c r="Q603" s="8">
        <v>0.20833333333333334</v>
      </c>
      <c r="R603" s="8">
        <v>0.88541666666666663</v>
      </c>
      <c r="S603" s="6">
        <f t="shared" si="27"/>
        <v>16.25</v>
      </c>
      <c r="T603" s="5">
        <f t="shared" si="28"/>
        <v>8.6504076262795812E-2</v>
      </c>
      <c r="U603" s="3">
        <v>2.21</v>
      </c>
      <c r="V603" s="5">
        <f t="shared" si="29"/>
        <v>3.9142115956016202E-2</v>
      </c>
      <c r="W603" s="3">
        <v>3.9142115956016202E-2</v>
      </c>
    </row>
    <row r="604" spans="1:23" x14ac:dyDescent="0.55000000000000004">
      <c r="A604" s="3">
        <v>56</v>
      </c>
      <c r="B604" s="3" t="s">
        <v>53</v>
      </c>
      <c r="C604" s="3" t="s">
        <v>49</v>
      </c>
      <c r="D604" s="3" t="s">
        <v>41</v>
      </c>
      <c r="E604" s="3" t="s">
        <v>27</v>
      </c>
      <c r="F604" s="3">
        <v>54</v>
      </c>
      <c r="G604" s="4">
        <v>28.3</v>
      </c>
      <c r="H604" s="4">
        <v>95.3</v>
      </c>
      <c r="I604" s="6">
        <v>7.0620450111258926</v>
      </c>
      <c r="J604" s="5">
        <v>0.06</v>
      </c>
      <c r="K604" s="4">
        <v>25</v>
      </c>
      <c r="L604" s="4">
        <v>71.599999999999994</v>
      </c>
      <c r="M604" s="6">
        <v>5.6344806119914788</v>
      </c>
      <c r="N604" s="5">
        <v>5.8999999999999997E-2</v>
      </c>
      <c r="O604" s="5">
        <v>1.4275643991344138</v>
      </c>
      <c r="P604" s="5">
        <v>1.4275643991344138</v>
      </c>
      <c r="Q604" s="8">
        <v>0.20833333333333334</v>
      </c>
      <c r="R604" s="8">
        <v>0.89583333333333337</v>
      </c>
      <c r="S604" s="6">
        <f t="shared" si="27"/>
        <v>16.5</v>
      </c>
      <c r="T604" s="5">
        <f t="shared" si="28"/>
        <v>8.6519054492994782E-2</v>
      </c>
      <c r="U604" s="3">
        <v>2.21</v>
      </c>
      <c r="V604" s="5">
        <f t="shared" si="29"/>
        <v>3.9148893435744243E-2</v>
      </c>
      <c r="W604" s="3">
        <v>3.9148893435744243E-2</v>
      </c>
    </row>
    <row r="605" spans="1:23" x14ac:dyDescent="0.55000000000000004">
      <c r="A605" s="3">
        <v>60</v>
      </c>
      <c r="B605" s="3" t="s">
        <v>51</v>
      </c>
      <c r="C605" s="3" t="s">
        <v>49</v>
      </c>
      <c r="D605" s="3" t="s">
        <v>39</v>
      </c>
      <c r="E605" s="2" t="s">
        <v>24</v>
      </c>
      <c r="F605" s="3">
        <v>44</v>
      </c>
      <c r="G605" s="4">
        <v>25.7</v>
      </c>
      <c r="H605" s="4">
        <v>96</v>
      </c>
      <c r="I605" s="6">
        <v>7.4572351210419017</v>
      </c>
      <c r="J605" s="5">
        <v>5.6000000000000001E-2</v>
      </c>
      <c r="K605" s="4">
        <v>21.1</v>
      </c>
      <c r="L605" s="4">
        <v>70.8</v>
      </c>
      <c r="M605" s="6">
        <v>6.0033639667776058</v>
      </c>
      <c r="N605" s="5">
        <v>5.0999999999999997E-2</v>
      </c>
      <c r="O605" s="5">
        <v>1.4538711542642959</v>
      </c>
      <c r="P605" s="5">
        <v>1.4538711542642959</v>
      </c>
      <c r="Q605" s="8">
        <v>0.20277777777777781</v>
      </c>
      <c r="R605" s="8">
        <v>0.90277777777777779</v>
      </c>
      <c r="S605" s="6">
        <f t="shared" si="27"/>
        <v>16.799999999999997</v>
      </c>
      <c r="T605" s="5">
        <f t="shared" si="28"/>
        <v>8.6539949658589063E-2</v>
      </c>
      <c r="U605" s="3">
        <v>2.21</v>
      </c>
      <c r="V605" s="5">
        <f t="shared" si="29"/>
        <v>3.9158348261805004E-2</v>
      </c>
      <c r="W605" s="3">
        <v>3.9158348261805004E-2</v>
      </c>
    </row>
    <row r="606" spans="1:23" x14ac:dyDescent="0.55000000000000004">
      <c r="A606" s="3">
        <v>24</v>
      </c>
      <c r="B606" s="3" t="s">
        <v>52</v>
      </c>
      <c r="C606" s="3" t="s">
        <v>49</v>
      </c>
      <c r="D606" s="3" t="s">
        <v>40</v>
      </c>
      <c r="E606" s="3" t="s">
        <v>35</v>
      </c>
      <c r="F606" s="3">
        <v>82</v>
      </c>
      <c r="G606" s="4">
        <v>31.7</v>
      </c>
      <c r="H606" s="4">
        <v>74.099999999999994</v>
      </c>
      <c r="I606" s="6">
        <v>5.1749913771952842</v>
      </c>
      <c r="J606" s="5">
        <v>5.8000000000000003E-2</v>
      </c>
      <c r="K606" s="4">
        <v>27.7</v>
      </c>
      <c r="L606" s="4">
        <v>50.3</v>
      </c>
      <c r="M606" s="6">
        <v>3.7676172736684945</v>
      </c>
      <c r="N606" s="5">
        <v>5.1999999999999998E-2</v>
      </c>
      <c r="O606" s="5">
        <v>1.4073741035267897</v>
      </c>
      <c r="P606" s="5">
        <v>1.4073741035267897</v>
      </c>
      <c r="Q606" s="8">
        <v>0.20833333333333334</v>
      </c>
      <c r="R606" s="8">
        <v>0.88541666666666663</v>
      </c>
      <c r="S606" s="6">
        <f t="shared" si="27"/>
        <v>16.25</v>
      </c>
      <c r="T606" s="5">
        <f t="shared" si="28"/>
        <v>8.6607637140110133E-2</v>
      </c>
      <c r="U606" s="3">
        <v>2.21</v>
      </c>
      <c r="V606" s="5">
        <f t="shared" si="29"/>
        <v>3.9188976081497802E-2</v>
      </c>
      <c r="W606" s="3">
        <v>3.9188976081497802E-2</v>
      </c>
    </row>
    <row r="607" spans="1:23" x14ac:dyDescent="0.55000000000000004">
      <c r="A607" s="3">
        <v>13</v>
      </c>
      <c r="B607" s="3" t="s">
        <v>53</v>
      </c>
      <c r="C607" s="3" t="s">
        <v>50</v>
      </c>
      <c r="D607" s="3" t="s">
        <v>11</v>
      </c>
      <c r="E607" s="3" t="s">
        <v>33</v>
      </c>
      <c r="F607" s="3">
        <v>75</v>
      </c>
      <c r="G607" s="4">
        <v>27.8</v>
      </c>
      <c r="H607" s="4">
        <v>73</v>
      </c>
      <c r="I607" s="6">
        <v>5.458109426379087</v>
      </c>
      <c r="J607" s="5">
        <v>5.8000000000000003E-2</v>
      </c>
      <c r="K607" s="4">
        <v>23.8</v>
      </c>
      <c r="L607" s="4">
        <v>50.3</v>
      </c>
      <c r="M607" s="6">
        <v>4.0485069429116063</v>
      </c>
      <c r="N607" s="5">
        <v>4.8000000000000001E-2</v>
      </c>
      <c r="O607" s="5">
        <v>1.4096024834674807</v>
      </c>
      <c r="P607" s="5">
        <v>1.4096024834674807</v>
      </c>
      <c r="Q607" s="8">
        <v>0.20833333333333334</v>
      </c>
      <c r="R607" s="8">
        <v>0.88541666666666663</v>
      </c>
      <c r="S607" s="6">
        <f t="shared" si="27"/>
        <v>16.25</v>
      </c>
      <c r="T607" s="5">
        <f t="shared" si="28"/>
        <v>8.6744768213383436E-2</v>
      </c>
      <c r="U607" s="3">
        <v>2.21</v>
      </c>
      <c r="V607" s="5">
        <f t="shared" si="29"/>
        <v>3.9251026340897478E-2</v>
      </c>
      <c r="W607" s="3">
        <v>3.9251026340897478E-2</v>
      </c>
    </row>
    <row r="608" spans="1:23" x14ac:dyDescent="0.55000000000000004">
      <c r="A608" s="3">
        <v>9</v>
      </c>
      <c r="B608" s="3" t="s">
        <v>48</v>
      </c>
      <c r="C608" s="3" t="s">
        <v>50</v>
      </c>
      <c r="D608" s="3" t="s">
        <v>10</v>
      </c>
      <c r="E608" s="2" t="s">
        <v>20</v>
      </c>
      <c r="F608" s="3">
        <v>30</v>
      </c>
      <c r="G608" s="4">
        <v>27.5</v>
      </c>
      <c r="H608" s="4">
        <v>78.7</v>
      </c>
      <c r="I608" s="6">
        <v>5.9160990884349305</v>
      </c>
      <c r="J608" s="5">
        <v>6.4000000000000001E-2</v>
      </c>
      <c r="K608" s="4">
        <v>24.1</v>
      </c>
      <c r="L608" s="4">
        <v>56.3</v>
      </c>
      <c r="M608" s="6">
        <v>4.5058161953526437</v>
      </c>
      <c r="N608" s="5">
        <v>5.8999999999999997E-2</v>
      </c>
      <c r="O608" s="5">
        <v>1.4102828930822868</v>
      </c>
      <c r="P608" s="5">
        <v>1.4102828930822868</v>
      </c>
      <c r="Q608" s="8">
        <v>0.20833333333333334</v>
      </c>
      <c r="R608" s="8">
        <v>0.88541666666666663</v>
      </c>
      <c r="S608" s="6">
        <f t="shared" si="27"/>
        <v>16.25</v>
      </c>
      <c r="T608" s="5">
        <f t="shared" si="28"/>
        <v>8.6786639574294569E-2</v>
      </c>
      <c r="U608" s="3">
        <v>2.21</v>
      </c>
      <c r="V608" s="5">
        <f t="shared" si="29"/>
        <v>3.9269972658051842E-2</v>
      </c>
      <c r="W608" s="3">
        <v>3.9269972658051842E-2</v>
      </c>
    </row>
    <row r="609" spans="1:23" x14ac:dyDescent="0.55000000000000004">
      <c r="A609" s="3">
        <v>27</v>
      </c>
      <c r="B609" s="3" t="s">
        <v>48</v>
      </c>
      <c r="C609" s="3" t="s">
        <v>50</v>
      </c>
      <c r="D609" s="3" t="s">
        <v>10</v>
      </c>
      <c r="E609" s="2" t="s">
        <v>24</v>
      </c>
      <c r="F609" s="3">
        <v>44</v>
      </c>
      <c r="G609" s="4">
        <v>25.8</v>
      </c>
      <c r="H609" s="4">
        <v>97.2</v>
      </c>
      <c r="I609" s="6">
        <v>7.5365459573853979</v>
      </c>
      <c r="J609" s="5">
        <v>7.6999999999999999E-2</v>
      </c>
      <c r="K609" s="4">
        <v>21.4</v>
      </c>
      <c r="L609" s="4">
        <v>72.099999999999994</v>
      </c>
      <c r="M609" s="6">
        <v>6.0776831559957998</v>
      </c>
      <c r="N609" s="5">
        <v>7.0999999999999994E-2</v>
      </c>
      <c r="O609" s="5">
        <v>1.4588628013895981</v>
      </c>
      <c r="P609" s="5">
        <v>1.4588628013895981</v>
      </c>
      <c r="Q609" s="8">
        <v>0.20277777777777781</v>
      </c>
      <c r="R609" s="8">
        <v>0.90277777777777779</v>
      </c>
      <c r="S609" s="6">
        <f t="shared" si="27"/>
        <v>16.799999999999997</v>
      </c>
      <c r="T609" s="5">
        <f t="shared" si="28"/>
        <v>8.6837071511285613E-2</v>
      </c>
      <c r="U609" s="3">
        <v>2.21</v>
      </c>
      <c r="V609" s="5">
        <f t="shared" si="29"/>
        <v>3.9292792539043268E-2</v>
      </c>
      <c r="W609" s="3">
        <v>3.9292792539043268E-2</v>
      </c>
    </row>
    <row r="610" spans="1:23" x14ac:dyDescent="0.55000000000000004">
      <c r="A610" s="3">
        <v>21</v>
      </c>
      <c r="B610" s="3" t="s">
        <v>48</v>
      </c>
      <c r="C610" s="3" t="s">
        <v>49</v>
      </c>
      <c r="D610" s="3" t="s">
        <v>38</v>
      </c>
      <c r="E610" s="2" t="s">
        <v>21</v>
      </c>
      <c r="F610" s="3">
        <v>33</v>
      </c>
      <c r="G610" s="4">
        <v>29.7</v>
      </c>
      <c r="H610" s="4">
        <v>65.7</v>
      </c>
      <c r="I610" s="6">
        <v>4.7497071094910215</v>
      </c>
      <c r="J610" s="5">
        <v>6.6000000000000003E-2</v>
      </c>
      <c r="K610" s="4">
        <v>26</v>
      </c>
      <c r="L610" s="4">
        <v>43.3</v>
      </c>
      <c r="M610" s="6">
        <v>3.3450006140698689</v>
      </c>
      <c r="N610" s="5">
        <v>5.7000000000000002E-2</v>
      </c>
      <c r="O610" s="5">
        <v>1.4047064954211526</v>
      </c>
      <c r="P610" s="5">
        <v>1.4047064954211526</v>
      </c>
      <c r="Q610" s="8">
        <v>0.20833333333333334</v>
      </c>
      <c r="R610" s="8">
        <v>0.88194444444444453</v>
      </c>
      <c r="S610" s="6">
        <f t="shared" si="27"/>
        <v>16.166666666666668</v>
      </c>
      <c r="T610" s="5">
        <f t="shared" si="28"/>
        <v>8.6889061572442416E-2</v>
      </c>
      <c r="U610" s="3">
        <v>2.21</v>
      </c>
      <c r="V610" s="5">
        <f t="shared" si="29"/>
        <v>3.931631745359386E-2</v>
      </c>
      <c r="W610" s="3">
        <v>3.931631745359386E-2</v>
      </c>
    </row>
    <row r="611" spans="1:23" x14ac:dyDescent="0.55000000000000004">
      <c r="A611" s="3">
        <v>54</v>
      </c>
      <c r="B611" s="3" t="s">
        <v>48</v>
      </c>
      <c r="C611" s="3" t="s">
        <v>50</v>
      </c>
      <c r="D611" s="3" t="s">
        <v>10</v>
      </c>
      <c r="E611" s="2" t="s">
        <v>8</v>
      </c>
      <c r="F611" s="3">
        <v>5</v>
      </c>
      <c r="G611" s="4">
        <v>20.6</v>
      </c>
      <c r="H611" s="4">
        <v>127.1</v>
      </c>
      <c r="I611" s="6">
        <v>10.884197611792874</v>
      </c>
      <c r="J611" s="5">
        <v>3.3000000000000002E-2</v>
      </c>
      <c r="K611" s="4">
        <v>15.7</v>
      </c>
      <c r="L611" s="4">
        <v>100.3</v>
      </c>
      <c r="M611" s="6">
        <v>9.5006015129243391</v>
      </c>
      <c r="N611" s="5">
        <v>2.8000000000000001E-2</v>
      </c>
      <c r="O611" s="5">
        <v>1.3835960988685354</v>
      </c>
      <c r="P611" s="5">
        <v>1.3835960988685354</v>
      </c>
      <c r="Q611" s="8">
        <v>0.20833333333333334</v>
      </c>
      <c r="R611" s="8">
        <v>0.87083333333333324</v>
      </c>
      <c r="S611" s="6">
        <f t="shared" si="27"/>
        <v>15.899999999999997</v>
      </c>
      <c r="T611" s="5">
        <f t="shared" si="28"/>
        <v>8.7018622570348161E-2</v>
      </c>
      <c r="U611" s="3">
        <v>2.21</v>
      </c>
      <c r="V611" s="5">
        <f t="shared" si="29"/>
        <v>3.9374942339524051E-2</v>
      </c>
      <c r="W611" s="3">
        <v>3.9374942339524051E-2</v>
      </c>
    </row>
    <row r="612" spans="1:23" x14ac:dyDescent="0.55000000000000004">
      <c r="A612" s="3">
        <v>13</v>
      </c>
      <c r="B612" s="3" t="s">
        <v>53</v>
      </c>
      <c r="C612" s="3" t="s">
        <v>50</v>
      </c>
      <c r="D612" s="3" t="s">
        <v>11</v>
      </c>
      <c r="E612" s="2" t="s">
        <v>18</v>
      </c>
      <c r="F612" s="3">
        <v>24</v>
      </c>
      <c r="G612" s="4">
        <v>22.3</v>
      </c>
      <c r="H612" s="4">
        <v>104</v>
      </c>
      <c r="I612" s="6">
        <v>8.6144345932549999</v>
      </c>
      <c r="J612" s="5">
        <v>3.9E-2</v>
      </c>
      <c r="K612" s="4">
        <v>20.100000000000001</v>
      </c>
      <c r="L612" s="4">
        <v>83.4</v>
      </c>
      <c r="M612" s="6">
        <v>7.213368845619776</v>
      </c>
      <c r="N612" s="5">
        <v>3.7999999999999999E-2</v>
      </c>
      <c r="O612" s="5">
        <v>1.401065747635224</v>
      </c>
      <c r="P612" s="5">
        <v>1.401065747635224</v>
      </c>
      <c r="Q612" s="8">
        <v>0.21180555555555555</v>
      </c>
      <c r="R612" s="8">
        <v>0.88194444444444453</v>
      </c>
      <c r="S612" s="6">
        <f t="shared" si="27"/>
        <v>16.083333333333336</v>
      </c>
      <c r="T612" s="5">
        <f t="shared" si="28"/>
        <v>8.7112896226024278E-2</v>
      </c>
      <c r="U612" s="3">
        <v>2.21</v>
      </c>
      <c r="V612" s="5">
        <f t="shared" si="29"/>
        <v>3.941760010227343E-2</v>
      </c>
      <c r="W612" s="3">
        <v>3.941760010227343E-2</v>
      </c>
    </row>
    <row r="613" spans="1:23" x14ac:dyDescent="0.55000000000000004">
      <c r="A613" s="3">
        <v>45</v>
      </c>
      <c r="B613" s="3" t="s">
        <v>48</v>
      </c>
      <c r="C613" s="3" t="s">
        <v>50</v>
      </c>
      <c r="D613" s="3" t="s">
        <v>10</v>
      </c>
      <c r="E613" s="2" t="s">
        <v>20</v>
      </c>
      <c r="F613" s="3">
        <v>30</v>
      </c>
      <c r="G613" s="4">
        <v>27.2</v>
      </c>
      <c r="H613" s="4">
        <v>80.099999999999994</v>
      </c>
      <c r="I613" s="6">
        <v>6.0540198215831245</v>
      </c>
      <c r="J613" s="5">
        <v>4.9000000000000002E-2</v>
      </c>
      <c r="K613" s="4">
        <v>23.8</v>
      </c>
      <c r="L613" s="4">
        <v>57.6</v>
      </c>
      <c r="M613" s="6">
        <v>4.63606361653496</v>
      </c>
      <c r="N613" s="5">
        <v>4.7E-2</v>
      </c>
      <c r="O613" s="5">
        <v>1.4179562050481644</v>
      </c>
      <c r="P613" s="5">
        <v>1.4179562050481644</v>
      </c>
      <c r="Q613" s="8">
        <v>0.20833333333333334</v>
      </c>
      <c r="R613" s="8">
        <v>0.88541666666666663</v>
      </c>
      <c r="S613" s="6">
        <f t="shared" si="27"/>
        <v>16.25</v>
      </c>
      <c r="T613" s="5">
        <f t="shared" si="28"/>
        <v>8.7258843387579346E-2</v>
      </c>
      <c r="U613" s="3">
        <v>2.21</v>
      </c>
      <c r="V613" s="5">
        <f t="shared" si="29"/>
        <v>3.9483639541891109E-2</v>
      </c>
      <c r="W613" s="3">
        <v>3.9483639541891109E-2</v>
      </c>
    </row>
    <row r="614" spans="1:23" x14ac:dyDescent="0.55000000000000004">
      <c r="A614" s="3">
        <v>60</v>
      </c>
      <c r="B614" s="3" t="s">
        <v>51</v>
      </c>
      <c r="C614" s="3" t="s">
        <v>49</v>
      </c>
      <c r="D614" s="3" t="s">
        <v>39</v>
      </c>
      <c r="E614" s="2" t="s">
        <v>21</v>
      </c>
      <c r="F614" s="3">
        <v>33</v>
      </c>
      <c r="G614" s="4">
        <v>29.8</v>
      </c>
      <c r="H614" s="4">
        <v>92</v>
      </c>
      <c r="I614" s="6">
        <v>6.6394143549489399</v>
      </c>
      <c r="J614" s="5">
        <v>5.0999999999999997E-2</v>
      </c>
      <c r="K614" s="4">
        <v>26.1</v>
      </c>
      <c r="L614" s="4">
        <v>67.8</v>
      </c>
      <c r="M614" s="6">
        <v>5.2280619837564908</v>
      </c>
      <c r="N614" s="5">
        <v>4.7E-2</v>
      </c>
      <c r="O614" s="5">
        <v>1.4113523711924492</v>
      </c>
      <c r="P614" s="5">
        <v>1.4113523711924492</v>
      </c>
      <c r="Q614" s="8">
        <v>0.20833333333333334</v>
      </c>
      <c r="R614" s="8">
        <v>0.88194444444444453</v>
      </c>
      <c r="S614" s="6">
        <f t="shared" si="27"/>
        <v>16.166666666666668</v>
      </c>
      <c r="T614" s="5">
        <f t="shared" si="28"/>
        <v>8.7300146671697873E-2</v>
      </c>
      <c r="U614" s="3">
        <v>2.21</v>
      </c>
      <c r="V614" s="5">
        <f t="shared" si="29"/>
        <v>3.9502328810723027E-2</v>
      </c>
      <c r="W614" s="3">
        <v>3.9502328810723027E-2</v>
      </c>
    </row>
    <row r="615" spans="1:23" x14ac:dyDescent="0.55000000000000004">
      <c r="A615" s="3">
        <v>26</v>
      </c>
      <c r="B615" s="3" t="s">
        <v>52</v>
      </c>
      <c r="C615" s="3" t="s">
        <v>50</v>
      </c>
      <c r="D615" s="3" t="s">
        <v>12</v>
      </c>
      <c r="E615" s="2" t="s">
        <v>16</v>
      </c>
      <c r="F615" s="3">
        <v>16</v>
      </c>
      <c r="G615" s="4">
        <v>20.9</v>
      </c>
      <c r="H615" s="4">
        <v>103.3</v>
      </c>
      <c r="I615" s="6">
        <v>8.7937423644979464</v>
      </c>
      <c r="J615" s="5">
        <v>0.04</v>
      </c>
      <c r="K615" s="4">
        <v>19.7</v>
      </c>
      <c r="L615" s="4">
        <v>85</v>
      </c>
      <c r="M615" s="6">
        <v>7.4109042780386778</v>
      </c>
      <c r="N615" s="5">
        <v>3.7999999999999999E-2</v>
      </c>
      <c r="O615" s="5">
        <v>1.3828380864592686</v>
      </c>
      <c r="P615" s="5">
        <v>1.3828380864592686</v>
      </c>
      <c r="Q615" s="8">
        <v>0.20833333333333334</v>
      </c>
      <c r="R615" s="8">
        <v>0.86805555555555547</v>
      </c>
      <c r="S615" s="6">
        <f t="shared" si="27"/>
        <v>15.83333333333333</v>
      </c>
      <c r="T615" s="5">
        <f t="shared" si="28"/>
        <v>8.7337142302690671E-2</v>
      </c>
      <c r="U615" s="3">
        <v>2.21</v>
      </c>
      <c r="V615" s="5">
        <f t="shared" si="29"/>
        <v>3.9519068915244641E-2</v>
      </c>
      <c r="W615" s="3">
        <v>3.9519068915244641E-2</v>
      </c>
    </row>
    <row r="616" spans="1:23" x14ac:dyDescent="0.55000000000000004">
      <c r="A616" s="3">
        <v>55</v>
      </c>
      <c r="B616" s="3" t="s">
        <v>52</v>
      </c>
      <c r="C616" s="3" t="s">
        <v>49</v>
      </c>
      <c r="D616" s="3" t="s">
        <v>40</v>
      </c>
      <c r="E616" s="3" t="s">
        <v>27</v>
      </c>
      <c r="F616" s="3">
        <v>54</v>
      </c>
      <c r="G616" s="4">
        <v>28.1</v>
      </c>
      <c r="H616" s="4">
        <v>86.9</v>
      </c>
      <c r="I616" s="6">
        <v>6.4625963562539717</v>
      </c>
      <c r="J616" s="5">
        <v>5.7000000000000002E-2</v>
      </c>
      <c r="K616" s="4">
        <v>25</v>
      </c>
      <c r="L616" s="4">
        <v>63.8</v>
      </c>
      <c r="M616" s="6">
        <v>5.0206684782829107</v>
      </c>
      <c r="N616" s="5">
        <v>6.2E-2</v>
      </c>
      <c r="O616" s="5">
        <v>1.4419278779710609</v>
      </c>
      <c r="P616" s="5">
        <v>1.4419278779710609</v>
      </c>
      <c r="Q616" s="8">
        <v>0.20833333333333334</v>
      </c>
      <c r="R616" s="8">
        <v>0.89583333333333337</v>
      </c>
      <c r="S616" s="6">
        <f t="shared" si="27"/>
        <v>16.5</v>
      </c>
      <c r="T616" s="5">
        <f t="shared" si="28"/>
        <v>8.7389568361882483E-2</v>
      </c>
      <c r="U616" s="3">
        <v>2.21</v>
      </c>
      <c r="V616" s="5">
        <f t="shared" si="29"/>
        <v>3.954279111397397E-2</v>
      </c>
      <c r="W616" s="3">
        <v>3.954279111397397E-2</v>
      </c>
    </row>
    <row r="617" spans="1:23" x14ac:dyDescent="0.55000000000000004">
      <c r="A617" s="3">
        <v>3</v>
      </c>
      <c r="B617" s="3" t="s">
        <v>51</v>
      </c>
      <c r="C617" s="3" t="s">
        <v>50</v>
      </c>
      <c r="D617" s="3" t="s">
        <v>9</v>
      </c>
      <c r="E617" s="2" t="s">
        <v>8</v>
      </c>
      <c r="F617" s="3">
        <v>5</v>
      </c>
      <c r="G617" s="4">
        <v>20.9</v>
      </c>
      <c r="H617" s="4">
        <v>124.5</v>
      </c>
      <c r="I617" s="6">
        <v>10.598460061761802</v>
      </c>
      <c r="J617" s="5">
        <v>3.9E-2</v>
      </c>
      <c r="K617" s="4">
        <v>15.5</v>
      </c>
      <c r="L617" s="4">
        <v>96.8</v>
      </c>
      <c r="M617" s="6">
        <v>9.2084261141962642</v>
      </c>
      <c r="N617" s="5">
        <v>3.5000000000000003E-2</v>
      </c>
      <c r="O617" s="5">
        <v>1.3900339475655379</v>
      </c>
      <c r="P617" s="5">
        <v>1.3900339475655379</v>
      </c>
      <c r="Q617" s="8">
        <v>0.20833333333333334</v>
      </c>
      <c r="R617" s="8">
        <v>0.87083333333333324</v>
      </c>
      <c r="S617" s="6">
        <f t="shared" si="27"/>
        <v>15.899999999999997</v>
      </c>
      <c r="T617" s="5">
        <f t="shared" si="28"/>
        <v>8.7423518714813728E-2</v>
      </c>
      <c r="U617" s="3">
        <v>2.21</v>
      </c>
      <c r="V617" s="5">
        <f t="shared" si="29"/>
        <v>3.9558153264621594E-2</v>
      </c>
      <c r="W617" s="3">
        <v>3.9558153264621594E-2</v>
      </c>
    </row>
    <row r="618" spans="1:23" x14ac:dyDescent="0.55000000000000004">
      <c r="A618" s="3">
        <v>41</v>
      </c>
      <c r="B618" s="3" t="s">
        <v>51</v>
      </c>
      <c r="C618" s="3" t="s">
        <v>50</v>
      </c>
      <c r="D618" s="3" t="s">
        <v>9</v>
      </c>
      <c r="E618" s="2" t="s">
        <v>15</v>
      </c>
      <c r="F618" s="3">
        <v>12</v>
      </c>
      <c r="G618" s="4">
        <v>22.6</v>
      </c>
      <c r="H618" s="4">
        <v>111.3</v>
      </c>
      <c r="I618" s="6">
        <v>9.1658762175446231</v>
      </c>
      <c r="J618" s="5">
        <v>3.7999999999999999E-2</v>
      </c>
      <c r="K618" s="4">
        <v>19.600000000000001</v>
      </c>
      <c r="L618" s="4">
        <v>89</v>
      </c>
      <c r="M618" s="6">
        <v>7.7752719823032201</v>
      </c>
      <c r="N618" s="5">
        <v>3.6999999999999998E-2</v>
      </c>
      <c r="O618" s="5">
        <v>1.390604235241403</v>
      </c>
      <c r="P618" s="5">
        <v>1.390604235241403</v>
      </c>
      <c r="Q618" s="8">
        <v>0.21319444444444444</v>
      </c>
      <c r="R618" s="8">
        <v>0.875</v>
      </c>
      <c r="S618" s="6">
        <f t="shared" si="27"/>
        <v>15.883333333333333</v>
      </c>
      <c r="T618" s="5">
        <f t="shared" si="28"/>
        <v>8.7551158567139756E-2</v>
      </c>
      <c r="U618" s="3">
        <v>2.21</v>
      </c>
      <c r="V618" s="5">
        <f t="shared" si="29"/>
        <v>3.9615908853909386E-2</v>
      </c>
      <c r="W618" s="3">
        <v>3.9615908853909386E-2</v>
      </c>
    </row>
    <row r="619" spans="1:23" x14ac:dyDescent="0.55000000000000004">
      <c r="A619" s="3">
        <v>25</v>
      </c>
      <c r="B619" s="3" t="s">
        <v>53</v>
      </c>
      <c r="C619" s="3" t="s">
        <v>49</v>
      </c>
      <c r="D619" s="3" t="s">
        <v>41</v>
      </c>
      <c r="E619" s="3" t="s">
        <v>34</v>
      </c>
      <c r="F619" s="3">
        <v>79</v>
      </c>
      <c r="G619" s="4">
        <v>27.8</v>
      </c>
      <c r="H619" s="4">
        <v>58.2</v>
      </c>
      <c r="I619" s="6">
        <v>4.3515338166474375</v>
      </c>
      <c r="J619" s="5">
        <v>6.9000000000000006E-2</v>
      </c>
      <c r="K619" s="4">
        <v>24.4</v>
      </c>
      <c r="L619" s="4">
        <v>36.799999999999997</v>
      </c>
      <c r="M619" s="6">
        <v>2.9286086574562997</v>
      </c>
      <c r="N619" s="5">
        <v>6.6000000000000003E-2</v>
      </c>
      <c r="O619" s="5">
        <v>1.4229251591911378</v>
      </c>
      <c r="P619" s="5">
        <v>1.4229251591911378</v>
      </c>
      <c r="Q619" s="8">
        <v>0.20833333333333334</v>
      </c>
      <c r="R619" s="8">
        <v>0.88541666666666663</v>
      </c>
      <c r="S619" s="6">
        <f t="shared" si="27"/>
        <v>16.25</v>
      </c>
      <c r="T619" s="5">
        <f t="shared" si="28"/>
        <v>8.7564625180993103E-2</v>
      </c>
      <c r="U619" s="3">
        <v>2.21</v>
      </c>
      <c r="V619" s="5">
        <f t="shared" si="29"/>
        <v>3.9622002344340768E-2</v>
      </c>
      <c r="W619" s="3">
        <v>3.9622002344340768E-2</v>
      </c>
    </row>
    <row r="620" spans="1:23" x14ac:dyDescent="0.55000000000000004">
      <c r="A620" s="3">
        <v>28</v>
      </c>
      <c r="B620" s="3" t="s">
        <v>53</v>
      </c>
      <c r="C620" s="3" t="s">
        <v>50</v>
      </c>
      <c r="D620" s="3" t="s">
        <v>11</v>
      </c>
      <c r="E620" s="2" t="s">
        <v>20</v>
      </c>
      <c r="F620" s="3">
        <v>30</v>
      </c>
      <c r="G620" s="4">
        <v>27.1</v>
      </c>
      <c r="H620" s="4">
        <v>93.7</v>
      </c>
      <c r="I620" s="6">
        <v>7.0947407376362879</v>
      </c>
      <c r="J620" s="5">
        <v>5.6000000000000001E-2</v>
      </c>
      <c r="K620" s="4">
        <v>23.6</v>
      </c>
      <c r="L620" s="4">
        <v>70.2</v>
      </c>
      <c r="M620" s="6">
        <v>5.6716704236572069</v>
      </c>
      <c r="N620" s="5">
        <v>5.3999999999999999E-2</v>
      </c>
      <c r="O620" s="5">
        <v>1.423070313979081</v>
      </c>
      <c r="P620" s="5">
        <v>1.423070313979081</v>
      </c>
      <c r="Q620" s="8">
        <v>0.20833333333333334</v>
      </c>
      <c r="R620" s="8">
        <v>0.88541666666666663</v>
      </c>
      <c r="S620" s="6">
        <f t="shared" si="27"/>
        <v>16.25</v>
      </c>
      <c r="T620" s="5">
        <f t="shared" si="28"/>
        <v>8.7573557783328065E-2</v>
      </c>
      <c r="U620" s="3">
        <v>2.21</v>
      </c>
      <c r="V620" s="5">
        <f t="shared" si="29"/>
        <v>3.9626044245849805E-2</v>
      </c>
      <c r="W620" s="3">
        <v>3.9626044245849805E-2</v>
      </c>
    </row>
    <row r="621" spans="1:23" x14ac:dyDescent="0.55000000000000004">
      <c r="A621" s="3">
        <v>24</v>
      </c>
      <c r="B621" s="3" t="s">
        <v>52</v>
      </c>
      <c r="C621" s="3" t="s">
        <v>49</v>
      </c>
      <c r="D621" s="3" t="s">
        <v>40</v>
      </c>
      <c r="E621" s="2" t="s">
        <v>22</v>
      </c>
      <c r="F621" s="3">
        <v>37</v>
      </c>
      <c r="G621" s="4">
        <v>30</v>
      </c>
      <c r="H621" s="4">
        <v>89.4</v>
      </c>
      <c r="I621" s="6">
        <v>6.4292946317737893</v>
      </c>
      <c r="J621" s="5">
        <v>5.6000000000000001E-2</v>
      </c>
      <c r="K621" s="4">
        <v>24.9</v>
      </c>
      <c r="L621" s="4">
        <v>63.3</v>
      </c>
      <c r="M621" s="6">
        <v>4.9906129474764951</v>
      </c>
      <c r="N621" s="5">
        <v>5.1999999999999998E-2</v>
      </c>
      <c r="O621" s="5">
        <v>1.4386816842972943</v>
      </c>
      <c r="P621" s="5">
        <v>1.4386816842972943</v>
      </c>
      <c r="Q621" s="8">
        <v>0.20138888888888887</v>
      </c>
      <c r="R621" s="8">
        <v>0.88541666666666663</v>
      </c>
      <c r="S621" s="6">
        <f t="shared" si="27"/>
        <v>16.416666666666668</v>
      </c>
      <c r="T621" s="5">
        <f t="shared" si="28"/>
        <v>8.7635432546028069E-2</v>
      </c>
      <c r="U621" s="3">
        <v>2.21</v>
      </c>
      <c r="V621" s="5">
        <f t="shared" si="29"/>
        <v>3.9654041876030804E-2</v>
      </c>
      <c r="W621" s="3">
        <v>3.9654041876030804E-2</v>
      </c>
    </row>
    <row r="622" spans="1:23" x14ac:dyDescent="0.55000000000000004">
      <c r="A622" s="3">
        <v>42</v>
      </c>
      <c r="B622" s="3" t="s">
        <v>53</v>
      </c>
      <c r="C622" s="3" t="s">
        <v>49</v>
      </c>
      <c r="D622" s="3" t="s">
        <v>41</v>
      </c>
      <c r="E622" s="3" t="s">
        <v>31</v>
      </c>
      <c r="F622" s="3">
        <v>68</v>
      </c>
      <c r="G622" s="4">
        <v>25.2</v>
      </c>
      <c r="H622" s="4">
        <v>58.1</v>
      </c>
      <c r="I622" s="6">
        <v>4.5551397319467286</v>
      </c>
      <c r="J622" s="5">
        <v>7.5999999999999998E-2</v>
      </c>
      <c r="K622" s="4">
        <v>23.8</v>
      </c>
      <c r="L622" s="4">
        <v>38.9</v>
      </c>
      <c r="M622" s="6">
        <v>3.1309526854723955</v>
      </c>
      <c r="N622" s="5">
        <v>7.2999999999999995E-2</v>
      </c>
      <c r="O622" s="5">
        <v>1.4241870464743331</v>
      </c>
      <c r="P622" s="5">
        <v>1.4241870464743331</v>
      </c>
      <c r="Q622" s="8">
        <v>0.20833333333333334</v>
      </c>
      <c r="R622" s="8">
        <v>0.88541666666666663</v>
      </c>
      <c r="S622" s="6">
        <f t="shared" si="27"/>
        <v>16.25</v>
      </c>
      <c r="T622" s="5">
        <f t="shared" si="28"/>
        <v>8.764227978303589E-2</v>
      </c>
      <c r="U622" s="3">
        <v>2.21</v>
      </c>
      <c r="V622" s="5">
        <f t="shared" si="29"/>
        <v>3.9657140173319408E-2</v>
      </c>
      <c r="W622" s="3">
        <v>3.9657140173319408E-2</v>
      </c>
    </row>
    <row r="623" spans="1:23" x14ac:dyDescent="0.55000000000000004">
      <c r="A623" s="3">
        <v>19</v>
      </c>
      <c r="B623" s="3" t="s">
        <v>53</v>
      </c>
      <c r="C623" s="3" t="s">
        <v>49</v>
      </c>
      <c r="D623" s="3" t="s">
        <v>41</v>
      </c>
      <c r="E623" s="2" t="s">
        <v>22</v>
      </c>
      <c r="F623" s="3">
        <v>37</v>
      </c>
      <c r="G623" s="4">
        <v>29.9</v>
      </c>
      <c r="H623" s="4">
        <v>90.7</v>
      </c>
      <c r="I623" s="6">
        <v>6.5341738245698409</v>
      </c>
      <c r="J623" s="5">
        <v>6.2E-2</v>
      </c>
      <c r="K623" s="4">
        <v>24.8</v>
      </c>
      <c r="L623" s="4">
        <v>64.5</v>
      </c>
      <c r="M623" s="6">
        <v>5.094719996528319</v>
      </c>
      <c r="N623" s="5">
        <v>5.6000000000000001E-2</v>
      </c>
      <c r="O623" s="5">
        <v>1.4394538280415219</v>
      </c>
      <c r="P623" s="5">
        <v>1.4394538280415219</v>
      </c>
      <c r="Q623" s="8">
        <v>0.20138888888888887</v>
      </c>
      <c r="R623" s="8">
        <v>0.88541666666666663</v>
      </c>
      <c r="S623" s="6">
        <f t="shared" si="27"/>
        <v>16.416666666666668</v>
      </c>
      <c r="T623" s="5">
        <f t="shared" si="28"/>
        <v>8.7682466682732288E-2</v>
      </c>
      <c r="U623" s="3">
        <v>2.21</v>
      </c>
      <c r="V623" s="5">
        <f t="shared" si="29"/>
        <v>3.9675324290829095E-2</v>
      </c>
      <c r="W623" s="3">
        <v>3.9675324290829095E-2</v>
      </c>
    </row>
    <row r="624" spans="1:23" x14ac:dyDescent="0.55000000000000004">
      <c r="A624" s="3">
        <v>47</v>
      </c>
      <c r="B624" s="3" t="s">
        <v>52</v>
      </c>
      <c r="C624" s="3" t="s">
        <v>50</v>
      </c>
      <c r="D624" s="3" t="s">
        <v>12</v>
      </c>
      <c r="E624" s="2" t="s">
        <v>8</v>
      </c>
      <c r="F624" s="3">
        <v>5</v>
      </c>
      <c r="G624" s="4">
        <v>20.7</v>
      </c>
      <c r="H624" s="4">
        <v>124.2</v>
      </c>
      <c r="I624" s="6">
        <v>10.6148056629793</v>
      </c>
      <c r="J624" s="5">
        <v>3.3000000000000002E-2</v>
      </c>
      <c r="K624" s="4">
        <v>15.6</v>
      </c>
      <c r="L624" s="4">
        <v>97.1</v>
      </c>
      <c r="M624" s="6">
        <v>9.2200000000000006</v>
      </c>
      <c r="N624" s="5">
        <v>2.9000000000000001E-2</v>
      </c>
      <c r="O624" s="5">
        <v>1.3948056629792998</v>
      </c>
      <c r="P624" s="5">
        <v>1.3948056629792998</v>
      </c>
      <c r="Q624" s="8">
        <v>0.20833333333333334</v>
      </c>
      <c r="R624" s="8">
        <v>0.87083333333333324</v>
      </c>
      <c r="S624" s="6">
        <f t="shared" si="27"/>
        <v>15.899999999999997</v>
      </c>
      <c r="T624" s="5">
        <f t="shared" si="28"/>
        <v>8.7723626602471697E-2</v>
      </c>
      <c r="U624" s="3">
        <v>2.21</v>
      </c>
      <c r="V624" s="5">
        <f t="shared" si="29"/>
        <v>3.9693948688901221E-2</v>
      </c>
      <c r="W624" s="3">
        <v>3.9693948688901221E-2</v>
      </c>
    </row>
    <row r="625" spans="1:23" x14ac:dyDescent="0.55000000000000004">
      <c r="A625" s="3">
        <v>15</v>
      </c>
      <c r="B625" s="3" t="s">
        <v>48</v>
      </c>
      <c r="C625" s="3" t="s">
        <v>49</v>
      </c>
      <c r="D625" s="3" t="s">
        <v>38</v>
      </c>
      <c r="E625" s="2" t="s">
        <v>24</v>
      </c>
      <c r="F625" s="3">
        <v>44</v>
      </c>
      <c r="G625" s="4">
        <v>23.8</v>
      </c>
      <c r="H625" s="4">
        <v>76.599999999999994</v>
      </c>
      <c r="I625" s="6">
        <v>6.1653207122669782</v>
      </c>
      <c r="J625" s="5">
        <v>6.3E-2</v>
      </c>
      <c r="K625" s="4">
        <v>20.8</v>
      </c>
      <c r="L625" s="4">
        <v>55</v>
      </c>
      <c r="M625" s="6">
        <v>4.6913084881494491</v>
      </c>
      <c r="N625" s="5">
        <v>5.7000000000000002E-2</v>
      </c>
      <c r="O625" s="5">
        <v>1.4740122241175291</v>
      </c>
      <c r="P625" s="5">
        <v>1.4740122241175291</v>
      </c>
      <c r="Q625" s="8">
        <v>0.20277777777777781</v>
      </c>
      <c r="R625" s="8">
        <v>0.90277777777777779</v>
      </c>
      <c r="S625" s="6">
        <f t="shared" si="27"/>
        <v>16.799999999999997</v>
      </c>
      <c r="T625" s="5">
        <f t="shared" si="28"/>
        <v>8.7738822864138644E-2</v>
      </c>
      <c r="U625" s="3">
        <v>2.21</v>
      </c>
      <c r="V625" s="5">
        <f t="shared" si="29"/>
        <v>3.9700824825402103E-2</v>
      </c>
      <c r="W625" s="3">
        <v>3.9700824825402103E-2</v>
      </c>
    </row>
    <row r="626" spans="1:23" x14ac:dyDescent="0.55000000000000004">
      <c r="A626" s="3">
        <v>9</v>
      </c>
      <c r="B626" s="3" t="s">
        <v>48</v>
      </c>
      <c r="C626" s="3" t="s">
        <v>50</v>
      </c>
      <c r="D626" s="3" t="s">
        <v>10</v>
      </c>
      <c r="E626" s="2" t="s">
        <v>17</v>
      </c>
      <c r="F626" s="3">
        <v>19</v>
      </c>
      <c r="G626" s="4">
        <v>22.2</v>
      </c>
      <c r="H626" s="4">
        <v>80.8</v>
      </c>
      <c r="I626" s="6">
        <v>6.7057199281909723</v>
      </c>
      <c r="J626" s="5">
        <v>4.3999999999999997E-2</v>
      </c>
      <c r="K626" s="4">
        <v>17.2</v>
      </c>
      <c r="L626" s="4">
        <v>57.5</v>
      </c>
      <c r="M626" s="6">
        <v>5.2766217050209807</v>
      </c>
      <c r="N626" s="5">
        <v>0.04</v>
      </c>
      <c r="O626" s="5">
        <v>1.4290982231699916</v>
      </c>
      <c r="P626" s="5">
        <v>1.4290982231699916</v>
      </c>
      <c r="Q626" s="8">
        <v>0.19930555555555554</v>
      </c>
      <c r="R626" s="8">
        <v>0.875</v>
      </c>
      <c r="S626" s="6">
        <f t="shared" si="27"/>
        <v>16.216666666666669</v>
      </c>
      <c r="T626" s="5">
        <f t="shared" si="28"/>
        <v>8.8125275837820635E-2</v>
      </c>
      <c r="U626" s="3">
        <v>2.21</v>
      </c>
      <c r="V626" s="5">
        <f t="shared" si="29"/>
        <v>3.9875690424353231E-2</v>
      </c>
      <c r="W626" s="3">
        <v>3.9875690424353231E-2</v>
      </c>
    </row>
    <row r="627" spans="1:23" x14ac:dyDescent="0.55000000000000004">
      <c r="A627" s="3">
        <v>3</v>
      </c>
      <c r="B627" s="3" t="s">
        <v>51</v>
      </c>
      <c r="C627" s="3" t="s">
        <v>50</v>
      </c>
      <c r="D627" s="3" t="s">
        <v>9</v>
      </c>
      <c r="E627" s="2" t="s">
        <v>18</v>
      </c>
      <c r="F627" s="3">
        <v>24</v>
      </c>
      <c r="G627" s="4">
        <v>22.4</v>
      </c>
      <c r="H627" s="4">
        <v>109.5</v>
      </c>
      <c r="I627" s="6">
        <v>9.0524920494739529</v>
      </c>
      <c r="J627" s="5">
        <v>4.2999999999999997E-2</v>
      </c>
      <c r="K627" s="4">
        <v>20</v>
      </c>
      <c r="L627" s="4">
        <v>88.1</v>
      </c>
      <c r="M627" s="6">
        <v>7.635124063557428</v>
      </c>
      <c r="N627" s="5">
        <v>0.04</v>
      </c>
      <c r="O627" s="5">
        <v>1.4173679859165249</v>
      </c>
      <c r="P627" s="5">
        <v>1.4173679859165249</v>
      </c>
      <c r="Q627" s="8">
        <v>0.21180555555555555</v>
      </c>
      <c r="R627" s="8">
        <v>0.88194444444444453</v>
      </c>
      <c r="S627" s="6">
        <f t="shared" si="27"/>
        <v>16.083333333333336</v>
      </c>
      <c r="T627" s="5">
        <f t="shared" si="28"/>
        <v>8.8126506896364226E-2</v>
      </c>
      <c r="U627" s="3">
        <v>2.21</v>
      </c>
      <c r="V627" s="5">
        <f t="shared" si="29"/>
        <v>3.9876247464418202E-2</v>
      </c>
      <c r="W627" s="3">
        <v>3.9876247464418202E-2</v>
      </c>
    </row>
    <row r="628" spans="1:23" x14ac:dyDescent="0.55000000000000004">
      <c r="A628" s="3">
        <v>61</v>
      </c>
      <c r="B628" s="3" t="s">
        <v>53</v>
      </c>
      <c r="C628" s="3" t="s">
        <v>50</v>
      </c>
      <c r="D628" s="3" t="s">
        <v>11</v>
      </c>
      <c r="E628" s="2" t="s">
        <v>15</v>
      </c>
      <c r="F628" s="3">
        <v>12</v>
      </c>
      <c r="G628" s="4">
        <v>22.7</v>
      </c>
      <c r="H628" s="4">
        <v>117.2</v>
      </c>
      <c r="I628" s="6">
        <v>9.633201050308017</v>
      </c>
      <c r="J628" s="5">
        <v>4.5999999999999999E-2</v>
      </c>
      <c r="K628" s="4">
        <v>19.7</v>
      </c>
      <c r="L628" s="4">
        <v>94.4</v>
      </c>
      <c r="M628" s="6">
        <v>8.2304631040806022</v>
      </c>
      <c r="N628" s="5">
        <v>4.2999999999999997E-2</v>
      </c>
      <c r="O628" s="5">
        <v>1.4027379462274148</v>
      </c>
      <c r="P628" s="5">
        <v>1.4027379462274148</v>
      </c>
      <c r="Q628" s="8">
        <v>0.21319444444444444</v>
      </c>
      <c r="R628" s="8">
        <v>0.875</v>
      </c>
      <c r="S628" s="6">
        <f t="shared" si="27"/>
        <v>15.883333333333333</v>
      </c>
      <c r="T628" s="5">
        <f t="shared" si="28"/>
        <v>8.8315085806552868E-2</v>
      </c>
      <c r="U628" s="3">
        <v>2.21</v>
      </c>
      <c r="V628" s="5">
        <f t="shared" si="29"/>
        <v>3.9961577288032978E-2</v>
      </c>
      <c r="W628" s="3">
        <v>3.9961577288032978E-2</v>
      </c>
    </row>
    <row r="629" spans="1:23" x14ac:dyDescent="0.55000000000000004">
      <c r="A629" s="3">
        <v>32</v>
      </c>
      <c r="B629" s="3" t="s">
        <v>53</v>
      </c>
      <c r="C629" s="3" t="s">
        <v>50</v>
      </c>
      <c r="D629" s="3" t="s">
        <v>11</v>
      </c>
      <c r="E629" s="2" t="s">
        <v>20</v>
      </c>
      <c r="F629" s="3">
        <v>30</v>
      </c>
      <c r="G629" s="4">
        <v>26.4</v>
      </c>
      <c r="H629" s="4">
        <v>87.7</v>
      </c>
      <c r="I629" s="6">
        <v>6.7255104528632845</v>
      </c>
      <c r="J629" s="5">
        <v>6.0999999999999999E-2</v>
      </c>
      <c r="K629" s="4">
        <v>23.7</v>
      </c>
      <c r="L629" s="4">
        <v>65.599999999999994</v>
      </c>
      <c r="M629" s="6">
        <v>5.2899753768098812</v>
      </c>
      <c r="N629" s="5">
        <v>5.8000000000000003E-2</v>
      </c>
      <c r="O629" s="5">
        <v>1.4355350760534034</v>
      </c>
      <c r="P629" s="5">
        <v>1.4355350760534034</v>
      </c>
      <c r="Q629" s="8">
        <v>0.20833333333333334</v>
      </c>
      <c r="R629" s="8">
        <v>0.88541666666666663</v>
      </c>
      <c r="S629" s="6">
        <f t="shared" si="27"/>
        <v>16.25</v>
      </c>
      <c r="T629" s="5">
        <f t="shared" si="28"/>
        <v>8.8340620064824821E-2</v>
      </c>
      <c r="U629" s="3">
        <v>2.21</v>
      </c>
      <c r="V629" s="5">
        <f t="shared" si="29"/>
        <v>3.9973131251051952E-2</v>
      </c>
      <c r="W629" s="3">
        <v>3.9973131251051952E-2</v>
      </c>
    </row>
    <row r="630" spans="1:23" x14ac:dyDescent="0.55000000000000004">
      <c r="A630" s="3">
        <v>27</v>
      </c>
      <c r="B630" s="3" t="s">
        <v>48</v>
      </c>
      <c r="C630" s="3" t="s">
        <v>50</v>
      </c>
      <c r="D630" s="3" t="s">
        <v>10</v>
      </c>
      <c r="E630" s="3" t="s">
        <v>35</v>
      </c>
      <c r="F630" s="3">
        <v>82</v>
      </c>
      <c r="G630" s="4">
        <v>31.6</v>
      </c>
      <c r="H630" s="4">
        <v>72.900000000000006</v>
      </c>
      <c r="I630" s="6">
        <v>5.0998874798760587</v>
      </c>
      <c r="J630" s="5">
        <v>0.08</v>
      </c>
      <c r="K630" s="4">
        <v>27.4</v>
      </c>
      <c r="L630" s="4">
        <v>48.6</v>
      </c>
      <c r="M630" s="6">
        <v>3.6599864610909942</v>
      </c>
      <c r="N630" s="5">
        <v>8.4000000000000005E-2</v>
      </c>
      <c r="O630" s="5">
        <v>1.4399010187850645</v>
      </c>
      <c r="P630" s="5">
        <v>1.4399010187850645</v>
      </c>
      <c r="Q630" s="8">
        <v>0.20833333333333334</v>
      </c>
      <c r="R630" s="8">
        <v>0.88541666666666663</v>
      </c>
      <c r="S630" s="6">
        <f t="shared" si="27"/>
        <v>16.25</v>
      </c>
      <c r="T630" s="5">
        <f t="shared" si="28"/>
        <v>8.8609293463696281E-2</v>
      </c>
      <c r="U630" s="3">
        <v>2.21</v>
      </c>
      <c r="V630" s="5">
        <f t="shared" si="29"/>
        <v>4.0094702924749447E-2</v>
      </c>
      <c r="W630" s="3">
        <v>4.0094702924749447E-2</v>
      </c>
    </row>
    <row r="631" spans="1:23" x14ac:dyDescent="0.55000000000000004">
      <c r="A631" s="3">
        <v>2</v>
      </c>
      <c r="B631" s="3" t="s">
        <v>48</v>
      </c>
      <c r="C631" s="3" t="s">
        <v>49</v>
      </c>
      <c r="D631" s="3" t="s">
        <v>38</v>
      </c>
      <c r="E631" s="2" t="s">
        <v>14</v>
      </c>
      <c r="F631" s="3">
        <v>10</v>
      </c>
      <c r="G631" s="4">
        <v>22.5</v>
      </c>
      <c r="H631" s="4">
        <v>98</v>
      </c>
      <c r="I631" s="6">
        <v>8.0861520754304426</v>
      </c>
      <c r="J631" s="5">
        <v>2.3E-2</v>
      </c>
      <c r="K631" s="4">
        <v>20.100000000000001</v>
      </c>
      <c r="L631" s="4">
        <v>77.2</v>
      </c>
      <c r="M631" s="6">
        <v>6.6771232000221428</v>
      </c>
      <c r="N631" s="5">
        <v>2.3E-2</v>
      </c>
      <c r="O631" s="5">
        <v>1.4090288754082998</v>
      </c>
      <c r="P631" s="5">
        <v>1.4090288754082998</v>
      </c>
      <c r="Q631" s="8">
        <v>0.20555555555555557</v>
      </c>
      <c r="R631" s="8">
        <v>0.86805555555555547</v>
      </c>
      <c r="S631" s="6">
        <f t="shared" si="27"/>
        <v>15.899999999999997</v>
      </c>
      <c r="T631" s="5">
        <f t="shared" si="28"/>
        <v>8.8618168264672961E-2</v>
      </c>
      <c r="U631" s="3">
        <v>2.21</v>
      </c>
      <c r="V631" s="5">
        <f t="shared" si="29"/>
        <v>4.009871867179772E-2</v>
      </c>
      <c r="W631" s="3">
        <v>4.009871867179772E-2</v>
      </c>
    </row>
    <row r="632" spans="1:23" x14ac:dyDescent="0.55000000000000004">
      <c r="A632" s="3">
        <v>22</v>
      </c>
      <c r="B632" s="3" t="s">
        <v>48</v>
      </c>
      <c r="C632" s="3" t="s">
        <v>49</v>
      </c>
      <c r="D632" s="3" t="s">
        <v>38</v>
      </c>
      <c r="E632" s="3" t="s">
        <v>30</v>
      </c>
      <c r="F632" s="3">
        <v>65</v>
      </c>
      <c r="G632" s="4">
        <v>27.2</v>
      </c>
      <c r="H632" s="4">
        <v>93.7</v>
      </c>
      <c r="I632" s="6">
        <v>7.0819183181315717</v>
      </c>
      <c r="J632" s="5">
        <v>8.2000000000000003E-2</v>
      </c>
      <c r="K632" s="4">
        <v>22.3</v>
      </c>
      <c r="L632" s="4">
        <v>68.099999999999994</v>
      </c>
      <c r="M632" s="6">
        <v>5.6407980365448598</v>
      </c>
      <c r="N632" s="5">
        <v>7.2999999999999995E-2</v>
      </c>
      <c r="O632" s="5">
        <v>1.4411202815867119</v>
      </c>
      <c r="P632" s="5">
        <v>1.4411202815867119</v>
      </c>
      <c r="Q632" s="8">
        <v>0.20833333333333334</v>
      </c>
      <c r="R632" s="8">
        <v>0.88541666666666663</v>
      </c>
      <c r="S632" s="6">
        <f t="shared" si="27"/>
        <v>16.25</v>
      </c>
      <c r="T632" s="5">
        <f t="shared" si="28"/>
        <v>8.8684325020720739E-2</v>
      </c>
      <c r="U632" s="3">
        <v>2.21</v>
      </c>
      <c r="V632" s="5">
        <f t="shared" si="29"/>
        <v>4.0128653855529745E-2</v>
      </c>
      <c r="W632" s="3">
        <v>4.0128653855529745E-2</v>
      </c>
    </row>
    <row r="633" spans="1:23" x14ac:dyDescent="0.55000000000000004">
      <c r="A633" s="3">
        <v>6</v>
      </c>
      <c r="B633" s="3" t="s">
        <v>51</v>
      </c>
      <c r="C633" s="3" t="s">
        <v>49</v>
      </c>
      <c r="D633" s="3" t="s">
        <v>39</v>
      </c>
      <c r="E633" s="2" t="s">
        <v>13</v>
      </c>
      <c r="F633" s="3">
        <v>8</v>
      </c>
      <c r="G633" s="4">
        <v>21.7</v>
      </c>
      <c r="H633" s="4">
        <v>107.6</v>
      </c>
      <c r="I633" s="6">
        <v>9.0171146659827812</v>
      </c>
      <c r="J633" s="5">
        <v>2.1000000000000001E-2</v>
      </c>
      <c r="K633" s="4">
        <v>19</v>
      </c>
      <c r="L633" s="4">
        <v>86.2</v>
      </c>
      <c r="M633" s="6">
        <v>7.622551447064227</v>
      </c>
      <c r="N633" s="5">
        <v>2.1000000000000001E-2</v>
      </c>
      <c r="O633" s="5">
        <v>1.3945632189185542</v>
      </c>
      <c r="P633" s="5">
        <v>1.3945632189185542</v>
      </c>
      <c r="Q633" s="8">
        <v>0.20833333333333334</v>
      </c>
      <c r="R633" s="8">
        <v>0.86319444444444438</v>
      </c>
      <c r="S633" s="6">
        <f t="shared" si="27"/>
        <v>15.716666666666665</v>
      </c>
      <c r="T633" s="5">
        <f t="shared" si="28"/>
        <v>8.8731487948158286E-2</v>
      </c>
      <c r="U633" s="3">
        <v>2.21</v>
      </c>
      <c r="V633" s="5">
        <f t="shared" si="29"/>
        <v>4.0149994546677961E-2</v>
      </c>
      <c r="W633" s="3">
        <v>4.0149994546677961E-2</v>
      </c>
    </row>
    <row r="634" spans="1:23" x14ac:dyDescent="0.55000000000000004">
      <c r="A634" s="3">
        <v>4</v>
      </c>
      <c r="B634" s="3" t="s">
        <v>48</v>
      </c>
      <c r="C634" s="3" t="s">
        <v>49</v>
      </c>
      <c r="D634" s="3" t="s">
        <v>38</v>
      </c>
      <c r="E634" s="3" t="s">
        <v>26</v>
      </c>
      <c r="F634" s="3">
        <v>51</v>
      </c>
      <c r="G634" s="4">
        <v>27.1</v>
      </c>
      <c r="H634" s="4">
        <v>68.7</v>
      </c>
      <c r="I634" s="6">
        <v>5.2018003060364242</v>
      </c>
      <c r="J634" s="5">
        <v>8.1000000000000003E-2</v>
      </c>
      <c r="K634" s="4">
        <v>24.3</v>
      </c>
      <c r="L634" s="4">
        <v>47.4</v>
      </c>
      <c r="M634" s="6">
        <v>3.7792699448594749</v>
      </c>
      <c r="N634" s="5">
        <v>7.4999999999999997E-2</v>
      </c>
      <c r="O634" s="5">
        <v>1.4225303611769493</v>
      </c>
      <c r="P634" s="5">
        <v>1.4225303611769493</v>
      </c>
      <c r="Q634" s="8">
        <v>0.20833333333333334</v>
      </c>
      <c r="R634" s="8">
        <v>0.875</v>
      </c>
      <c r="S634" s="6">
        <f t="shared" si="27"/>
        <v>16</v>
      </c>
      <c r="T634" s="5">
        <f t="shared" si="28"/>
        <v>8.8908147573559332E-2</v>
      </c>
      <c r="U634" s="3">
        <v>2.21</v>
      </c>
      <c r="V634" s="5">
        <f t="shared" si="29"/>
        <v>4.022993102875988E-2</v>
      </c>
      <c r="W634" s="3">
        <v>4.022993102875988E-2</v>
      </c>
    </row>
    <row r="635" spans="1:23" x14ac:dyDescent="0.55000000000000004">
      <c r="A635" s="3">
        <v>47</v>
      </c>
      <c r="B635" s="3" t="s">
        <v>52</v>
      </c>
      <c r="C635" s="3" t="s">
        <v>50</v>
      </c>
      <c r="D635" s="3" t="s">
        <v>12</v>
      </c>
      <c r="E635" s="2" t="s">
        <v>15</v>
      </c>
      <c r="F635" s="3">
        <v>12</v>
      </c>
      <c r="G635" s="4">
        <v>22.6</v>
      </c>
      <c r="H635" s="4">
        <v>106.7</v>
      </c>
      <c r="I635" s="6">
        <v>8.7870529417072003</v>
      </c>
      <c r="J635" s="5">
        <v>3.9E-2</v>
      </c>
      <c r="K635" s="4">
        <v>19.600000000000001</v>
      </c>
      <c r="L635" s="4">
        <v>84.4</v>
      </c>
      <c r="M635" s="6">
        <v>7.3734039922066499</v>
      </c>
      <c r="N635" s="5">
        <v>3.5999999999999997E-2</v>
      </c>
      <c r="O635" s="5">
        <v>1.4136489495005504</v>
      </c>
      <c r="P635" s="5">
        <v>1.4136489495005504</v>
      </c>
      <c r="Q635" s="8">
        <v>0.21319444444444444</v>
      </c>
      <c r="R635" s="8">
        <v>0.875</v>
      </c>
      <c r="S635" s="6">
        <f t="shared" si="27"/>
        <v>15.883333333333333</v>
      </c>
      <c r="T635" s="5">
        <f t="shared" si="28"/>
        <v>8.9002032497411357E-2</v>
      </c>
      <c r="U635" s="3">
        <v>2.21</v>
      </c>
      <c r="V635" s="5">
        <f t="shared" si="29"/>
        <v>4.027241289475627E-2</v>
      </c>
      <c r="W635" s="3">
        <v>4.027241289475627E-2</v>
      </c>
    </row>
    <row r="636" spans="1:23" x14ac:dyDescent="0.55000000000000004">
      <c r="A636" s="3">
        <v>22</v>
      </c>
      <c r="B636" s="3" t="s">
        <v>48</v>
      </c>
      <c r="C636" s="3" t="s">
        <v>49</v>
      </c>
      <c r="D636" s="3" t="s">
        <v>38</v>
      </c>
      <c r="E636" s="2" t="s">
        <v>25</v>
      </c>
      <c r="F636" s="3">
        <v>47</v>
      </c>
      <c r="G636" s="4">
        <v>28.6</v>
      </c>
      <c r="H636" s="4">
        <v>63.3</v>
      </c>
      <c r="I636" s="6">
        <v>4.6657808044741316</v>
      </c>
      <c r="J636" s="5">
        <v>7.6999999999999999E-2</v>
      </c>
      <c r="K636" s="4">
        <v>25.1</v>
      </c>
      <c r="L636" s="4">
        <v>40.700000000000003</v>
      </c>
      <c r="M636" s="6">
        <v>3.1968854449889177</v>
      </c>
      <c r="N636" s="5">
        <v>7.0999999999999994E-2</v>
      </c>
      <c r="O636" s="5">
        <v>1.4688953594852139</v>
      </c>
      <c r="P636" s="5">
        <v>1.4688953594852139</v>
      </c>
      <c r="Q636" s="8">
        <v>0.20833333333333334</v>
      </c>
      <c r="R636" s="8">
        <v>0.89583333333333337</v>
      </c>
      <c r="S636" s="6">
        <f t="shared" si="27"/>
        <v>16.5</v>
      </c>
      <c r="T636" s="5">
        <f t="shared" si="28"/>
        <v>8.9023961180922054E-2</v>
      </c>
      <c r="U636" s="3">
        <v>2.21</v>
      </c>
      <c r="V636" s="5">
        <f t="shared" si="29"/>
        <v>4.0282335375982831E-2</v>
      </c>
      <c r="W636" s="3">
        <v>4.0282335375982831E-2</v>
      </c>
    </row>
    <row r="637" spans="1:23" x14ac:dyDescent="0.55000000000000004">
      <c r="A637" s="3">
        <v>59</v>
      </c>
      <c r="B637" s="3" t="s">
        <v>52</v>
      </c>
      <c r="C637" s="3" t="s">
        <v>49</v>
      </c>
      <c r="D637" s="3" t="s">
        <v>40</v>
      </c>
      <c r="E637" s="2" t="s">
        <v>21</v>
      </c>
      <c r="F637" s="3">
        <v>33</v>
      </c>
      <c r="G637" s="4">
        <v>30</v>
      </c>
      <c r="H637" s="4">
        <v>80.3</v>
      </c>
      <c r="I637" s="6">
        <v>5.774858601022764</v>
      </c>
      <c r="J637" s="5">
        <v>5.5E-2</v>
      </c>
      <c r="K637" s="4">
        <v>26.2</v>
      </c>
      <c r="L637" s="4">
        <v>56.3</v>
      </c>
      <c r="M637" s="6">
        <v>4.3333446597847107</v>
      </c>
      <c r="N637" s="5">
        <v>5.2999999999999999E-2</v>
      </c>
      <c r="O637" s="5">
        <v>1.4415139412380533</v>
      </c>
      <c r="P637" s="5">
        <v>1.4415139412380533</v>
      </c>
      <c r="Q637" s="8">
        <v>0.20833333333333334</v>
      </c>
      <c r="R637" s="8">
        <v>0.88194444444444453</v>
      </c>
      <c r="S637" s="6">
        <f t="shared" si="27"/>
        <v>16.166666666666668</v>
      </c>
      <c r="T637" s="5">
        <f t="shared" si="28"/>
        <v>8.9165810798230091E-2</v>
      </c>
      <c r="U637" s="3">
        <v>2.21</v>
      </c>
      <c r="V637" s="5">
        <f t="shared" si="29"/>
        <v>4.034652072318104E-2</v>
      </c>
      <c r="W637" s="3">
        <v>4.034652072318104E-2</v>
      </c>
    </row>
    <row r="638" spans="1:23" x14ac:dyDescent="0.55000000000000004">
      <c r="A638" s="3">
        <v>17</v>
      </c>
      <c r="B638" s="3" t="s">
        <v>52</v>
      </c>
      <c r="C638" s="3" t="s">
        <v>50</v>
      </c>
      <c r="D638" s="3" t="s">
        <v>12</v>
      </c>
      <c r="E638" s="3" t="s">
        <v>28</v>
      </c>
      <c r="F638" s="3">
        <v>58</v>
      </c>
      <c r="G638" s="4">
        <v>27.4</v>
      </c>
      <c r="H638" s="4">
        <v>81.5</v>
      </c>
      <c r="I638" s="6">
        <v>6.1376316168501237</v>
      </c>
      <c r="J638" s="5">
        <v>7.4999999999999997E-2</v>
      </c>
      <c r="K638" s="4">
        <v>23.3</v>
      </c>
      <c r="L638" s="4">
        <v>57.6</v>
      </c>
      <c r="M638" s="6">
        <v>4.680319638147191</v>
      </c>
      <c r="N638" s="5">
        <v>7.3999999999999996E-2</v>
      </c>
      <c r="O638" s="5">
        <v>1.4573119787029327</v>
      </c>
      <c r="P638" s="5">
        <v>1.4573119787029327</v>
      </c>
      <c r="Q638" s="8">
        <v>0.20833333333333334</v>
      </c>
      <c r="R638" s="8">
        <v>0.88888888888888884</v>
      </c>
      <c r="S638" s="6">
        <f t="shared" si="27"/>
        <v>16.333333333333332</v>
      </c>
      <c r="T638" s="5">
        <f t="shared" si="28"/>
        <v>8.9223182369567319E-2</v>
      </c>
      <c r="U638" s="3">
        <v>2.21</v>
      </c>
      <c r="V638" s="5">
        <f t="shared" si="29"/>
        <v>4.0372480710211454E-2</v>
      </c>
      <c r="W638" s="3">
        <v>4.0372480710211454E-2</v>
      </c>
    </row>
    <row r="639" spans="1:23" x14ac:dyDescent="0.55000000000000004">
      <c r="A639" s="3">
        <v>15</v>
      </c>
      <c r="B639" s="3" t="s">
        <v>48</v>
      </c>
      <c r="C639" s="3" t="s">
        <v>49</v>
      </c>
      <c r="D639" s="3" t="s">
        <v>38</v>
      </c>
      <c r="E639" s="2" t="s">
        <v>17</v>
      </c>
      <c r="F639" s="3">
        <v>19</v>
      </c>
      <c r="G639" s="4">
        <v>22.2</v>
      </c>
      <c r="H639" s="4">
        <v>65.2</v>
      </c>
      <c r="I639" s="6">
        <v>5.411051229183804</v>
      </c>
      <c r="J639" s="5">
        <v>3.1E-2</v>
      </c>
      <c r="K639" s="4">
        <v>17.100000000000001</v>
      </c>
      <c r="L639" s="4">
        <v>43.1</v>
      </c>
      <c r="M639" s="6">
        <v>3.9634443526558596</v>
      </c>
      <c r="N639" s="5">
        <v>2.8000000000000001E-2</v>
      </c>
      <c r="O639" s="5">
        <v>1.4476068765279444</v>
      </c>
      <c r="P639" s="5">
        <v>1.4476068765279444</v>
      </c>
      <c r="Q639" s="8">
        <v>0.19930555555555554</v>
      </c>
      <c r="R639" s="8">
        <v>0.875</v>
      </c>
      <c r="S639" s="6">
        <f t="shared" si="27"/>
        <v>16.216666666666669</v>
      </c>
      <c r="T639" s="5">
        <f t="shared" si="28"/>
        <v>8.9266611091137357E-2</v>
      </c>
      <c r="U639" s="3">
        <v>2.21</v>
      </c>
      <c r="V639" s="5">
        <f t="shared" si="29"/>
        <v>4.0392131715446769E-2</v>
      </c>
      <c r="W639" s="3">
        <v>4.0392131715446769E-2</v>
      </c>
    </row>
    <row r="640" spans="1:23" x14ac:dyDescent="0.55000000000000004">
      <c r="A640" s="3">
        <v>52</v>
      </c>
      <c r="B640" s="3" t="s">
        <v>48</v>
      </c>
      <c r="C640" s="3" t="s">
        <v>49</v>
      </c>
      <c r="D640" s="3" t="s">
        <v>38</v>
      </c>
      <c r="E640" s="2" t="s">
        <v>19</v>
      </c>
      <c r="F640" s="3">
        <v>26</v>
      </c>
      <c r="G640" s="4">
        <v>26.9</v>
      </c>
      <c r="H640" s="4">
        <v>83.4</v>
      </c>
      <c r="I640" s="6">
        <v>6.3377828836733281</v>
      </c>
      <c r="J640" s="5">
        <v>3.7999999999999999E-2</v>
      </c>
      <c r="K640" s="4">
        <v>22.3</v>
      </c>
      <c r="L640" s="4">
        <v>59</v>
      </c>
      <c r="M640" s="6">
        <v>4.8870350096350483</v>
      </c>
      <c r="N640" s="5">
        <v>3.5000000000000003E-2</v>
      </c>
      <c r="O640" s="5">
        <v>1.4507478740382798</v>
      </c>
      <c r="P640" s="5">
        <v>1.4507478740382798</v>
      </c>
      <c r="Q640" s="8">
        <v>0.20833333333333334</v>
      </c>
      <c r="R640" s="8">
        <v>0.88541666666666663</v>
      </c>
      <c r="S640" s="6">
        <f t="shared" si="27"/>
        <v>16.25</v>
      </c>
      <c r="T640" s="5">
        <f t="shared" si="28"/>
        <v>8.9276792248509526E-2</v>
      </c>
      <c r="U640" s="3">
        <v>2.21</v>
      </c>
      <c r="V640" s="5">
        <f t="shared" si="29"/>
        <v>4.0396738573986207E-2</v>
      </c>
      <c r="W640" s="3">
        <v>4.0396738573986207E-2</v>
      </c>
    </row>
    <row r="641" spans="1:23" x14ac:dyDescent="0.55000000000000004">
      <c r="A641" s="3">
        <v>49</v>
      </c>
      <c r="B641" s="3" t="s">
        <v>51</v>
      </c>
      <c r="C641" s="3" t="s">
        <v>49</v>
      </c>
      <c r="D641" s="3" t="s">
        <v>39</v>
      </c>
      <c r="E641" s="3" t="s">
        <v>35</v>
      </c>
      <c r="F641" s="3">
        <v>82</v>
      </c>
      <c r="G641" s="4">
        <v>31.8</v>
      </c>
      <c r="H641" s="4">
        <v>66.5</v>
      </c>
      <c r="I641" s="6">
        <v>4.6363086284940644</v>
      </c>
      <c r="J641" s="5">
        <v>5.7000000000000002E-2</v>
      </c>
      <c r="K641" s="4">
        <v>27.8</v>
      </c>
      <c r="L641" s="4">
        <v>42.6</v>
      </c>
      <c r="M641" s="6">
        <v>3.1851433090924544</v>
      </c>
      <c r="N641" s="5">
        <v>5.6000000000000001E-2</v>
      </c>
      <c r="O641" s="5">
        <v>1.4511653194016101</v>
      </c>
      <c r="P641" s="5">
        <v>1.4511653194016101</v>
      </c>
      <c r="Q641" s="8">
        <v>0.20833333333333334</v>
      </c>
      <c r="R641" s="8">
        <v>0.88541666666666663</v>
      </c>
      <c r="S641" s="6">
        <f t="shared" si="27"/>
        <v>16.25</v>
      </c>
      <c r="T641" s="5">
        <f t="shared" si="28"/>
        <v>8.9302481193945238E-2</v>
      </c>
      <c r="U641" s="3">
        <v>2.21</v>
      </c>
      <c r="V641" s="5">
        <f t="shared" si="29"/>
        <v>4.0408362531196944E-2</v>
      </c>
      <c r="W641" s="3">
        <v>4.0408362531196944E-2</v>
      </c>
    </row>
    <row r="642" spans="1:23" x14ac:dyDescent="0.55000000000000004">
      <c r="A642" s="3">
        <v>36</v>
      </c>
      <c r="B642" s="3" t="s">
        <v>52</v>
      </c>
      <c r="C642" s="3" t="s">
        <v>50</v>
      </c>
      <c r="D642" s="3" t="s">
        <v>12</v>
      </c>
      <c r="E642" s="2" t="s">
        <v>18</v>
      </c>
      <c r="F642" s="3">
        <v>24</v>
      </c>
      <c r="G642" s="4">
        <v>22.5</v>
      </c>
      <c r="H642" s="4">
        <v>114.8</v>
      </c>
      <c r="I642" s="6">
        <v>9.4723495740756594</v>
      </c>
      <c r="J642" s="5">
        <v>4.4999999999999998E-2</v>
      </c>
      <c r="K642" s="4">
        <v>20</v>
      </c>
      <c r="L642" s="4">
        <v>92.7</v>
      </c>
      <c r="M642" s="6">
        <v>8.0337798035388612</v>
      </c>
      <c r="N642" s="5">
        <v>4.9000000000000002E-2</v>
      </c>
      <c r="O642" s="5">
        <v>1.4385697705367981</v>
      </c>
      <c r="P642" s="5">
        <v>1.4385697705367981</v>
      </c>
      <c r="Q642" s="8">
        <v>0.21180555555555555</v>
      </c>
      <c r="R642" s="8">
        <v>0.88194444444444453</v>
      </c>
      <c r="S642" s="6">
        <f t="shared" ref="S642:S705" si="30">(R642-Q642)*24</f>
        <v>16.083333333333336</v>
      </c>
      <c r="T642" s="5">
        <f t="shared" ref="T642:T705" si="31">P642/S642</f>
        <v>8.9444752572236136E-2</v>
      </c>
      <c r="U642" s="3">
        <v>2.21</v>
      </c>
      <c r="V642" s="5">
        <f t="shared" ref="V642:V705" si="32">(I642-M642)/U642/S642</f>
        <v>4.0472738720468839E-2</v>
      </c>
      <c r="W642" s="3">
        <v>4.0472738720468839E-2</v>
      </c>
    </row>
    <row r="643" spans="1:23" x14ac:dyDescent="0.55000000000000004">
      <c r="A643" s="3">
        <v>63</v>
      </c>
      <c r="B643" s="3" t="s">
        <v>51</v>
      </c>
      <c r="C643" s="3" t="s">
        <v>49</v>
      </c>
      <c r="D643" s="3" t="s">
        <v>39</v>
      </c>
      <c r="E643" s="3" t="s">
        <v>31</v>
      </c>
      <c r="F643" s="3">
        <v>68</v>
      </c>
      <c r="G643" s="4">
        <v>25.6</v>
      </c>
      <c r="H643" s="4">
        <v>81.5</v>
      </c>
      <c r="I643" s="6">
        <v>6.3425779948069838</v>
      </c>
      <c r="J643" s="5">
        <v>4.4999999999999998E-2</v>
      </c>
      <c r="K643" s="4">
        <v>24.3</v>
      </c>
      <c r="L643" s="4">
        <v>61.3</v>
      </c>
      <c r="M643" s="6">
        <v>4.8875368696178434</v>
      </c>
      <c r="N643" s="5">
        <v>4.3999999999999997E-2</v>
      </c>
      <c r="O643" s="5">
        <v>1.4550411251891404</v>
      </c>
      <c r="P643" s="5">
        <v>1.4550411251891404</v>
      </c>
      <c r="Q643" s="8">
        <v>0.20833333333333334</v>
      </c>
      <c r="R643" s="8">
        <v>0.88541666666666663</v>
      </c>
      <c r="S643" s="6">
        <f t="shared" si="30"/>
        <v>16.25</v>
      </c>
      <c r="T643" s="5">
        <f t="shared" si="31"/>
        <v>8.9540992319331714E-2</v>
      </c>
      <c r="U643" s="3">
        <v>2.21</v>
      </c>
      <c r="V643" s="5">
        <f t="shared" si="32"/>
        <v>4.0516286117344667E-2</v>
      </c>
      <c r="W643" s="3">
        <v>4.0516286117344667E-2</v>
      </c>
    </row>
    <row r="644" spans="1:23" x14ac:dyDescent="0.55000000000000004">
      <c r="A644" s="3">
        <v>61</v>
      </c>
      <c r="B644" s="3" t="s">
        <v>53</v>
      </c>
      <c r="C644" s="3" t="s">
        <v>50</v>
      </c>
      <c r="D644" s="3" t="s">
        <v>11</v>
      </c>
      <c r="E644" s="2" t="s">
        <v>17</v>
      </c>
      <c r="F644" s="3">
        <v>19</v>
      </c>
      <c r="G644" s="4">
        <v>21.9</v>
      </c>
      <c r="H644" s="4">
        <v>88</v>
      </c>
      <c r="I644" s="6">
        <v>7.3459137836800315</v>
      </c>
      <c r="J644" s="5">
        <v>4.7E-2</v>
      </c>
      <c r="K644" s="4">
        <v>16.600000000000001</v>
      </c>
      <c r="L644" s="4">
        <v>63.4</v>
      </c>
      <c r="M644" s="6">
        <v>5.8917330574537496</v>
      </c>
      <c r="N644" s="5">
        <v>4.2999999999999997E-2</v>
      </c>
      <c r="O644" s="5">
        <v>1.4541807262262818</v>
      </c>
      <c r="P644" s="5">
        <v>1.4541807262262818</v>
      </c>
      <c r="Q644" s="8">
        <v>0.19930555555555554</v>
      </c>
      <c r="R644" s="8">
        <v>0.875</v>
      </c>
      <c r="S644" s="6">
        <f t="shared" si="30"/>
        <v>16.216666666666669</v>
      </c>
      <c r="T644" s="5">
        <f t="shared" si="31"/>
        <v>8.9671987228753233E-2</v>
      </c>
      <c r="U644" s="3">
        <v>2.21</v>
      </c>
      <c r="V644" s="5">
        <f t="shared" si="32"/>
        <v>4.0575559832015044E-2</v>
      </c>
      <c r="W644" s="3">
        <v>4.0575559832015044E-2</v>
      </c>
    </row>
    <row r="645" spans="1:23" x14ac:dyDescent="0.55000000000000004">
      <c r="A645" s="3">
        <v>1</v>
      </c>
      <c r="B645" s="3" t="s">
        <v>51</v>
      </c>
      <c r="C645" s="3" t="s">
        <v>49</v>
      </c>
      <c r="D645" s="3" t="s">
        <v>39</v>
      </c>
      <c r="E645" s="3" t="s">
        <v>26</v>
      </c>
      <c r="F645" s="3">
        <v>51</v>
      </c>
      <c r="G645" s="4">
        <v>28.1</v>
      </c>
      <c r="H645" s="4">
        <v>88.4</v>
      </c>
      <c r="I645" s="6">
        <v>6.5741486523918438</v>
      </c>
      <c r="J645" s="5">
        <v>5.6000000000000001E-2</v>
      </c>
      <c r="K645" s="4">
        <v>25</v>
      </c>
      <c r="L645" s="4">
        <v>65.3</v>
      </c>
      <c r="M645" s="6">
        <v>5.1387092732268664</v>
      </c>
      <c r="N645" s="5">
        <v>5.5E-2</v>
      </c>
      <c r="O645" s="5">
        <v>1.4354393791649773</v>
      </c>
      <c r="P645" s="5">
        <v>1.4354393791649773</v>
      </c>
      <c r="Q645" s="8">
        <v>0.20833333333333334</v>
      </c>
      <c r="R645" s="8">
        <v>0.875</v>
      </c>
      <c r="S645" s="6">
        <f t="shared" si="30"/>
        <v>16</v>
      </c>
      <c r="T645" s="5">
        <f t="shared" si="31"/>
        <v>8.9714961197811083E-2</v>
      </c>
      <c r="U645" s="3">
        <v>2.21</v>
      </c>
      <c r="V645" s="5">
        <f t="shared" si="32"/>
        <v>4.0595005066882843E-2</v>
      </c>
      <c r="W645" s="3">
        <v>4.0595005066882843E-2</v>
      </c>
    </row>
    <row r="646" spans="1:23" x14ac:dyDescent="0.55000000000000004">
      <c r="A646" s="3">
        <v>17</v>
      </c>
      <c r="B646" s="3" t="s">
        <v>52</v>
      </c>
      <c r="C646" s="3" t="s">
        <v>50</v>
      </c>
      <c r="D646" s="3" t="s">
        <v>12</v>
      </c>
      <c r="E646" s="3" t="s">
        <v>30</v>
      </c>
      <c r="F646" s="3">
        <v>65</v>
      </c>
      <c r="G646" s="4">
        <v>26.2</v>
      </c>
      <c r="H646" s="4">
        <v>79.3</v>
      </c>
      <c r="I646" s="6">
        <v>6.1036275580981796</v>
      </c>
      <c r="J646" s="5">
        <v>7.9000000000000001E-2</v>
      </c>
      <c r="K646" s="4">
        <v>22.3</v>
      </c>
      <c r="L646" s="4">
        <v>56</v>
      </c>
      <c r="M646" s="6">
        <v>4.6385417040603842</v>
      </c>
      <c r="N646" s="5">
        <v>7.3999999999999996E-2</v>
      </c>
      <c r="O646" s="5">
        <v>1.4650858540377953</v>
      </c>
      <c r="P646" s="5">
        <v>1.4650858540377953</v>
      </c>
      <c r="Q646" s="8">
        <v>0.20833333333333334</v>
      </c>
      <c r="R646" s="8">
        <v>0.88541666666666663</v>
      </c>
      <c r="S646" s="6">
        <f t="shared" si="30"/>
        <v>16.25</v>
      </c>
      <c r="T646" s="5">
        <f t="shared" si="31"/>
        <v>9.0159129479248951E-2</v>
      </c>
      <c r="U646" s="3">
        <v>2.21</v>
      </c>
      <c r="V646" s="5">
        <f t="shared" si="32"/>
        <v>4.0795986189705404E-2</v>
      </c>
      <c r="W646" s="3">
        <v>4.0795986189705404E-2</v>
      </c>
    </row>
    <row r="647" spans="1:23" x14ac:dyDescent="0.55000000000000004">
      <c r="A647" s="3">
        <v>56</v>
      </c>
      <c r="B647" s="3" t="s">
        <v>53</v>
      </c>
      <c r="C647" s="3" t="s">
        <v>49</v>
      </c>
      <c r="D647" s="3" t="s">
        <v>41</v>
      </c>
      <c r="E647" s="2" t="s">
        <v>24</v>
      </c>
      <c r="F647" s="3">
        <v>44</v>
      </c>
      <c r="G647" s="4">
        <v>25.8</v>
      </c>
      <c r="H647" s="4">
        <v>95.1</v>
      </c>
      <c r="I647" s="6">
        <v>7.3737193471949718</v>
      </c>
      <c r="J647" s="5">
        <v>5.6000000000000001E-2</v>
      </c>
      <c r="K647" s="4">
        <v>21.2</v>
      </c>
      <c r="L647" s="4">
        <v>69.2</v>
      </c>
      <c r="M647" s="6">
        <v>5.8561661475728659</v>
      </c>
      <c r="N647" s="5">
        <v>5.0999999999999997E-2</v>
      </c>
      <c r="O647" s="5">
        <v>1.5175531996221059</v>
      </c>
      <c r="P647" s="5">
        <v>1.5175531996221059</v>
      </c>
      <c r="Q647" s="8">
        <v>0.20277777777777781</v>
      </c>
      <c r="R647" s="8">
        <v>0.90277777777777779</v>
      </c>
      <c r="S647" s="6">
        <f t="shared" si="30"/>
        <v>16.799999999999997</v>
      </c>
      <c r="T647" s="5">
        <f t="shared" si="31"/>
        <v>9.0330547596553942E-2</v>
      </c>
      <c r="U647" s="3">
        <v>2.21</v>
      </c>
      <c r="V647" s="5">
        <f t="shared" si="32"/>
        <v>4.0873550948666938E-2</v>
      </c>
      <c r="W647" s="3">
        <v>4.0873550948666938E-2</v>
      </c>
    </row>
    <row r="648" spans="1:23" x14ac:dyDescent="0.55000000000000004">
      <c r="A648" s="3">
        <v>21</v>
      </c>
      <c r="B648" s="3" t="s">
        <v>48</v>
      </c>
      <c r="C648" s="3" t="s">
        <v>49</v>
      </c>
      <c r="D648" s="3" t="s">
        <v>38</v>
      </c>
      <c r="E648" s="3" t="s">
        <v>34</v>
      </c>
      <c r="F648" s="3">
        <v>79</v>
      </c>
      <c r="G648" s="4">
        <v>28.4</v>
      </c>
      <c r="H648" s="4">
        <v>66</v>
      </c>
      <c r="I648" s="6">
        <v>4.882117106267196</v>
      </c>
      <c r="J648" s="5">
        <v>0.105</v>
      </c>
      <c r="K648" s="4">
        <v>24.9</v>
      </c>
      <c r="L648" s="4">
        <v>43.3</v>
      </c>
      <c r="M648" s="6">
        <v>3.4138000098851853</v>
      </c>
      <c r="N648" s="5">
        <v>9.9000000000000005E-2</v>
      </c>
      <c r="O648" s="5">
        <v>1.4683170963820107</v>
      </c>
      <c r="P648" s="5">
        <v>1.4683170963820107</v>
      </c>
      <c r="Q648" s="8">
        <v>0.20833333333333334</v>
      </c>
      <c r="R648" s="8">
        <v>0.88541666666666663</v>
      </c>
      <c r="S648" s="6">
        <f t="shared" si="30"/>
        <v>16.25</v>
      </c>
      <c r="T648" s="5">
        <f t="shared" si="31"/>
        <v>9.0357975161969889E-2</v>
      </c>
      <c r="U648" s="3">
        <v>2.21</v>
      </c>
      <c r="V648" s="5">
        <f t="shared" si="32"/>
        <v>4.0885961611751086E-2</v>
      </c>
      <c r="W648" s="3">
        <v>4.0885961611751086E-2</v>
      </c>
    </row>
    <row r="649" spans="1:23" x14ac:dyDescent="0.55000000000000004">
      <c r="A649" s="3">
        <v>1</v>
      </c>
      <c r="B649" s="3" t="s">
        <v>51</v>
      </c>
      <c r="C649" s="3" t="s">
        <v>49</v>
      </c>
      <c r="D649" s="3" t="s">
        <v>39</v>
      </c>
      <c r="E649" s="2" t="s">
        <v>13</v>
      </c>
      <c r="F649" s="3">
        <v>8</v>
      </c>
      <c r="G649" s="4">
        <v>21.8</v>
      </c>
      <c r="H649" s="4">
        <v>107.2</v>
      </c>
      <c r="I649" s="6">
        <v>8.9660965483903912</v>
      </c>
      <c r="J649" s="5">
        <v>2.1999999999999999E-2</v>
      </c>
      <c r="K649" s="4">
        <v>19</v>
      </c>
      <c r="L649" s="4">
        <v>85.3</v>
      </c>
      <c r="M649" s="6">
        <v>7.5429656430925593</v>
      </c>
      <c r="N649" s="5">
        <v>2.1000000000000001E-2</v>
      </c>
      <c r="O649" s="5">
        <v>1.4231309052978318</v>
      </c>
      <c r="P649" s="5">
        <v>1.4231309052978318</v>
      </c>
      <c r="Q649" s="8">
        <v>0.20833333333333334</v>
      </c>
      <c r="R649" s="8">
        <v>0.86319444444444438</v>
      </c>
      <c r="S649" s="6">
        <f t="shared" si="30"/>
        <v>15.716666666666665</v>
      </c>
      <c r="T649" s="5">
        <f t="shared" si="31"/>
        <v>9.0549156222555591E-2</v>
      </c>
      <c r="U649" s="3">
        <v>2.21</v>
      </c>
      <c r="V649" s="5">
        <f t="shared" si="32"/>
        <v>4.0972468878984432E-2</v>
      </c>
      <c r="W649" s="3">
        <v>4.0972468878984432E-2</v>
      </c>
    </row>
    <row r="650" spans="1:23" x14ac:dyDescent="0.55000000000000004">
      <c r="A650" s="3">
        <v>13</v>
      </c>
      <c r="B650" s="3" t="s">
        <v>53</v>
      </c>
      <c r="C650" s="3" t="s">
        <v>50</v>
      </c>
      <c r="D650" s="3" t="s">
        <v>11</v>
      </c>
      <c r="E650" s="2" t="s">
        <v>15</v>
      </c>
      <c r="F650" s="3">
        <v>12</v>
      </c>
      <c r="G650" s="4">
        <v>22.3</v>
      </c>
      <c r="H650" s="4">
        <v>111</v>
      </c>
      <c r="I650" s="6">
        <v>9.1942523062625483</v>
      </c>
      <c r="J650" s="5">
        <v>3.9E-2</v>
      </c>
      <c r="K650" s="4">
        <v>19.5</v>
      </c>
      <c r="L650" s="4">
        <v>88.6</v>
      </c>
      <c r="M650" s="6">
        <v>7.7559307262551549</v>
      </c>
      <c r="N650" s="5">
        <v>3.6999999999999998E-2</v>
      </c>
      <c r="O650" s="5">
        <v>1.4383215800073934</v>
      </c>
      <c r="P650" s="5">
        <v>1.4383215800073934</v>
      </c>
      <c r="Q650" s="8">
        <v>0.21319444444444444</v>
      </c>
      <c r="R650" s="8">
        <v>0.875</v>
      </c>
      <c r="S650" s="6">
        <f t="shared" si="30"/>
        <v>15.883333333333333</v>
      </c>
      <c r="T650" s="5">
        <f t="shared" si="31"/>
        <v>9.0555398531420361E-2</v>
      </c>
      <c r="U650" s="3">
        <v>2.21</v>
      </c>
      <c r="V650" s="5">
        <f t="shared" si="32"/>
        <v>4.0975293453131389E-2</v>
      </c>
      <c r="W650" s="3">
        <v>4.0975293453131389E-2</v>
      </c>
    </row>
    <row r="651" spans="1:23" x14ac:dyDescent="0.55000000000000004">
      <c r="A651" s="3">
        <v>17</v>
      </c>
      <c r="B651" s="3" t="s">
        <v>52</v>
      </c>
      <c r="C651" s="3" t="s">
        <v>50</v>
      </c>
      <c r="D651" s="3" t="s">
        <v>12</v>
      </c>
      <c r="E651" s="2" t="s">
        <v>13</v>
      </c>
      <c r="F651" s="3">
        <v>8</v>
      </c>
      <c r="G651" s="4">
        <v>21.8</v>
      </c>
      <c r="H651" s="4">
        <v>112.4</v>
      </c>
      <c r="I651" s="6">
        <v>9.4010191421555973</v>
      </c>
      <c r="J651" s="5">
        <v>4.1000000000000002E-2</v>
      </c>
      <c r="K651" s="4">
        <v>19.100000000000001</v>
      </c>
      <c r="L651" s="4">
        <v>90.4</v>
      </c>
      <c r="M651" s="6">
        <v>7.9777476163440078</v>
      </c>
      <c r="N651" s="5">
        <v>3.6999999999999998E-2</v>
      </c>
      <c r="O651" s="5">
        <v>1.4232715258115896</v>
      </c>
      <c r="P651" s="5">
        <v>1.4232715258115896</v>
      </c>
      <c r="Q651" s="8">
        <v>0.20833333333333334</v>
      </c>
      <c r="R651" s="8">
        <v>0.86319444444444438</v>
      </c>
      <c r="S651" s="6">
        <f t="shared" si="30"/>
        <v>15.716666666666665</v>
      </c>
      <c r="T651" s="5">
        <f t="shared" si="31"/>
        <v>9.0558103445064028E-2</v>
      </c>
      <c r="U651" s="3">
        <v>2.21</v>
      </c>
      <c r="V651" s="5">
        <f t="shared" si="32"/>
        <v>4.0976517395956577E-2</v>
      </c>
      <c r="W651" s="3">
        <v>4.0976517395956577E-2</v>
      </c>
    </row>
    <row r="652" spans="1:23" x14ac:dyDescent="0.55000000000000004">
      <c r="A652" s="3">
        <v>40</v>
      </c>
      <c r="B652" s="3" t="s">
        <v>48</v>
      </c>
      <c r="C652" s="3" t="s">
        <v>50</v>
      </c>
      <c r="D652" s="3" t="s">
        <v>10</v>
      </c>
      <c r="E652" s="3" t="s">
        <v>30</v>
      </c>
      <c r="F652" s="3">
        <v>65</v>
      </c>
      <c r="G652" s="4">
        <v>27.4</v>
      </c>
      <c r="H652" s="4">
        <v>91.5</v>
      </c>
      <c r="I652" s="6">
        <v>6.8907152508194631</v>
      </c>
      <c r="J652" s="5">
        <v>5.3999999999999999E-2</v>
      </c>
      <c r="K652" s="4">
        <v>22.6</v>
      </c>
      <c r="L652" s="4">
        <v>65.8</v>
      </c>
      <c r="M652" s="6">
        <v>5.4188199021961916</v>
      </c>
      <c r="N652" s="5">
        <v>4.9000000000000002E-2</v>
      </c>
      <c r="O652" s="5">
        <v>1.4718953486232715</v>
      </c>
      <c r="P652" s="5">
        <v>1.4718953486232715</v>
      </c>
      <c r="Q652" s="8">
        <v>0.20833333333333334</v>
      </c>
      <c r="R652" s="8">
        <v>0.88541666666666663</v>
      </c>
      <c r="S652" s="6">
        <f t="shared" si="30"/>
        <v>16.25</v>
      </c>
      <c r="T652" s="5">
        <f t="shared" si="31"/>
        <v>9.0578175299893635E-2</v>
      </c>
      <c r="U652" s="3">
        <v>2.21</v>
      </c>
      <c r="V652" s="5">
        <f t="shared" si="32"/>
        <v>4.0985599683209792E-2</v>
      </c>
      <c r="W652" s="3">
        <v>4.0985599683209792E-2</v>
      </c>
    </row>
    <row r="653" spans="1:23" x14ac:dyDescent="0.55000000000000004">
      <c r="A653" s="3">
        <v>5</v>
      </c>
      <c r="B653" s="3" t="s">
        <v>48</v>
      </c>
      <c r="C653" s="3" t="s">
        <v>49</v>
      </c>
      <c r="D653" s="3" t="s">
        <v>38</v>
      </c>
      <c r="E653" s="2" t="s">
        <v>14</v>
      </c>
      <c r="F653" s="3">
        <v>10</v>
      </c>
      <c r="G653" s="4">
        <v>22.4</v>
      </c>
      <c r="H653" s="4">
        <v>95.8</v>
      </c>
      <c r="I653" s="6">
        <v>7.9198971537863443</v>
      </c>
      <c r="J653" s="5">
        <v>2.1999999999999999E-2</v>
      </c>
      <c r="K653" s="4">
        <v>20.100000000000001</v>
      </c>
      <c r="L653" s="4">
        <v>74.900000000000006</v>
      </c>
      <c r="M653" s="6">
        <v>6.4781933637520535</v>
      </c>
      <c r="N653" s="5">
        <v>2.1999999999999999E-2</v>
      </c>
      <c r="O653" s="5">
        <v>1.4417037900342908</v>
      </c>
      <c r="P653" s="5">
        <v>1.4417037900342908</v>
      </c>
      <c r="Q653" s="8">
        <v>0.20555555555555557</v>
      </c>
      <c r="R653" s="8">
        <v>0.86805555555555547</v>
      </c>
      <c r="S653" s="6">
        <f t="shared" si="30"/>
        <v>15.899999999999997</v>
      </c>
      <c r="T653" s="5">
        <f t="shared" si="31"/>
        <v>9.0673194341779312E-2</v>
      </c>
      <c r="U653" s="3">
        <v>2.21</v>
      </c>
      <c r="V653" s="5">
        <f t="shared" si="32"/>
        <v>4.1028594724787017E-2</v>
      </c>
      <c r="W653" s="3">
        <v>4.1028594724787017E-2</v>
      </c>
    </row>
    <row r="654" spans="1:23" x14ac:dyDescent="0.55000000000000004">
      <c r="A654" s="3">
        <v>10</v>
      </c>
      <c r="B654" s="3" t="s">
        <v>51</v>
      </c>
      <c r="C654" s="3" t="s">
        <v>49</v>
      </c>
      <c r="D654" s="3" t="s">
        <v>39</v>
      </c>
      <c r="E654" s="2" t="s">
        <v>19</v>
      </c>
      <c r="F654" s="3">
        <v>26</v>
      </c>
      <c r="G654" s="4">
        <v>25.8</v>
      </c>
      <c r="H654" s="4">
        <v>91.8</v>
      </c>
      <c r="I654" s="6">
        <v>7.1178489597528758</v>
      </c>
      <c r="J654" s="5">
        <v>4.5999999999999999E-2</v>
      </c>
      <c r="K654" s="4">
        <v>22.9</v>
      </c>
      <c r="L654" s="4">
        <v>68.900000000000006</v>
      </c>
      <c r="M654" s="6">
        <v>5.6414946669691162</v>
      </c>
      <c r="N654" s="5">
        <v>4.2999999999999997E-2</v>
      </c>
      <c r="O654" s="5">
        <v>1.4763542927837596</v>
      </c>
      <c r="P654" s="5">
        <v>1.4763542927837596</v>
      </c>
      <c r="Q654" s="8">
        <v>0.20833333333333334</v>
      </c>
      <c r="R654" s="8">
        <v>0.88541666666666663</v>
      </c>
      <c r="S654" s="6">
        <f t="shared" si="30"/>
        <v>16.25</v>
      </c>
      <c r="T654" s="5">
        <f t="shared" si="31"/>
        <v>9.0852571863615977E-2</v>
      </c>
      <c r="U654" s="3">
        <v>2.21</v>
      </c>
      <c r="V654" s="5">
        <f t="shared" si="32"/>
        <v>4.1109761024260623E-2</v>
      </c>
      <c r="W654" s="3">
        <v>4.1109761024260623E-2</v>
      </c>
    </row>
    <row r="655" spans="1:23" x14ac:dyDescent="0.55000000000000004">
      <c r="A655" s="3">
        <v>46</v>
      </c>
      <c r="B655" s="3" t="s">
        <v>51</v>
      </c>
      <c r="C655" s="3" t="s">
        <v>49</v>
      </c>
      <c r="D655" s="3" t="s">
        <v>39</v>
      </c>
      <c r="E655" s="2" t="s">
        <v>17</v>
      </c>
      <c r="F655" s="3">
        <v>19</v>
      </c>
      <c r="G655" s="4">
        <v>21.9</v>
      </c>
      <c r="H655" s="4">
        <v>75.400000000000006</v>
      </c>
      <c r="I655" s="6">
        <v>6.2941124919258451</v>
      </c>
      <c r="J655" s="5">
        <v>2.9000000000000001E-2</v>
      </c>
      <c r="K655" s="4">
        <v>16.899999999999999</v>
      </c>
      <c r="L655" s="4">
        <v>52.2</v>
      </c>
      <c r="M655" s="6">
        <v>4.8204216195056429</v>
      </c>
      <c r="N655" s="5">
        <v>2.5999999999999999E-2</v>
      </c>
      <c r="O655" s="5">
        <v>1.4736908724202022</v>
      </c>
      <c r="P655" s="5">
        <v>1.4736908724202022</v>
      </c>
      <c r="Q655" s="8">
        <v>0.19930555555555554</v>
      </c>
      <c r="R655" s="8">
        <v>0.875</v>
      </c>
      <c r="S655" s="6">
        <f t="shared" si="30"/>
        <v>16.216666666666669</v>
      </c>
      <c r="T655" s="5">
        <f t="shared" si="31"/>
        <v>9.0875079491482144E-2</v>
      </c>
      <c r="U655" s="3">
        <v>2.21</v>
      </c>
      <c r="V655" s="5">
        <f t="shared" si="32"/>
        <v>4.1119945471258884E-2</v>
      </c>
      <c r="W655" s="3">
        <v>4.1119945471258884E-2</v>
      </c>
    </row>
    <row r="656" spans="1:23" x14ac:dyDescent="0.55000000000000004">
      <c r="A656" s="3">
        <v>35</v>
      </c>
      <c r="B656" s="3" t="s">
        <v>51</v>
      </c>
      <c r="C656" s="3" t="s">
        <v>50</v>
      </c>
      <c r="D656" s="3" t="s">
        <v>9</v>
      </c>
      <c r="E656" s="2" t="s">
        <v>13</v>
      </c>
      <c r="F656" s="3">
        <v>8</v>
      </c>
      <c r="G656" s="4">
        <v>21.9</v>
      </c>
      <c r="H656" s="4">
        <v>120.3</v>
      </c>
      <c r="I656" s="6">
        <v>10.042198047462588</v>
      </c>
      <c r="J656" s="5">
        <v>3.4000000000000002E-2</v>
      </c>
      <c r="K656" s="4">
        <v>19.2</v>
      </c>
      <c r="L656" s="4">
        <v>97.8</v>
      </c>
      <c r="M656" s="6">
        <v>8.6133245850959526</v>
      </c>
      <c r="N656" s="5">
        <v>3.2000000000000001E-2</v>
      </c>
      <c r="O656" s="5">
        <v>1.428873462366635</v>
      </c>
      <c r="P656" s="5">
        <v>1.428873462366635</v>
      </c>
      <c r="Q656" s="8">
        <v>0.20833333333333334</v>
      </c>
      <c r="R656" s="8">
        <v>0.86319444444444438</v>
      </c>
      <c r="S656" s="6">
        <f t="shared" si="30"/>
        <v>15.716666666666665</v>
      </c>
      <c r="T656" s="5">
        <f t="shared" si="31"/>
        <v>9.0914536311768934E-2</v>
      </c>
      <c r="U656" s="3">
        <v>2.21</v>
      </c>
      <c r="V656" s="5">
        <f t="shared" si="32"/>
        <v>4.1137799236094549E-2</v>
      </c>
      <c r="W656" s="3">
        <v>4.1137799236094549E-2</v>
      </c>
    </row>
    <row r="657" spans="1:23" x14ac:dyDescent="0.55000000000000004">
      <c r="A657" s="3">
        <v>3</v>
      </c>
      <c r="B657" s="3" t="s">
        <v>51</v>
      </c>
      <c r="C657" s="3" t="s">
        <v>50</v>
      </c>
      <c r="D657" s="3" t="s">
        <v>9</v>
      </c>
      <c r="E657" s="2" t="s">
        <v>14</v>
      </c>
      <c r="F657" s="3">
        <v>10</v>
      </c>
      <c r="G657" s="4">
        <v>22.3</v>
      </c>
      <c r="H657" s="4">
        <v>111</v>
      </c>
      <c r="I657" s="6">
        <v>9.1942523062625483</v>
      </c>
      <c r="J657" s="5">
        <v>4.2000000000000003E-2</v>
      </c>
      <c r="K657" s="4">
        <v>19.899999999999999</v>
      </c>
      <c r="L657" s="4">
        <v>89.2</v>
      </c>
      <c r="M657" s="6">
        <v>7.745945553020146</v>
      </c>
      <c r="N657" s="5">
        <v>4.1000000000000002E-2</v>
      </c>
      <c r="O657" s="5">
        <v>1.4483067532424023</v>
      </c>
      <c r="P657" s="5">
        <v>1.4483067532424023</v>
      </c>
      <c r="Q657" s="8">
        <v>0.20555555555555557</v>
      </c>
      <c r="R657" s="8">
        <v>0.86805555555555547</v>
      </c>
      <c r="S657" s="6">
        <f t="shared" si="30"/>
        <v>15.899999999999997</v>
      </c>
      <c r="T657" s="5">
        <f t="shared" si="31"/>
        <v>9.1088475046691986E-2</v>
      </c>
      <c r="U657" s="3">
        <v>2.21</v>
      </c>
      <c r="V657" s="5">
        <f t="shared" si="32"/>
        <v>4.1216504546014471E-2</v>
      </c>
      <c r="W657" s="3">
        <v>4.1216504546014471E-2</v>
      </c>
    </row>
    <row r="658" spans="1:23" x14ac:dyDescent="0.55000000000000004">
      <c r="A658" s="3">
        <v>38</v>
      </c>
      <c r="B658" s="3" t="s">
        <v>51</v>
      </c>
      <c r="C658" s="3" t="s">
        <v>49</v>
      </c>
      <c r="D658" s="3" t="s">
        <v>39</v>
      </c>
      <c r="E658" s="3" t="s">
        <v>27</v>
      </c>
      <c r="F658" s="3">
        <v>54</v>
      </c>
      <c r="G658" s="4">
        <v>27.9</v>
      </c>
      <c r="H658" s="4">
        <v>102.6</v>
      </c>
      <c r="I658" s="6">
        <v>7.6575236311311183</v>
      </c>
      <c r="J658" s="5">
        <v>5.2999999999999999E-2</v>
      </c>
      <c r="K658" s="4">
        <v>25</v>
      </c>
      <c r="L658" s="4">
        <v>78.2</v>
      </c>
      <c r="M658" s="6">
        <v>6.1538601097448842</v>
      </c>
      <c r="N658" s="5">
        <v>5.1999999999999998E-2</v>
      </c>
      <c r="O658" s="5">
        <v>1.5036635213862342</v>
      </c>
      <c r="P658" s="5">
        <v>1.5036635213862342</v>
      </c>
      <c r="Q658" s="8">
        <v>0.20833333333333334</v>
      </c>
      <c r="R658" s="8">
        <v>0.89583333333333337</v>
      </c>
      <c r="S658" s="6">
        <f t="shared" si="30"/>
        <v>16.5</v>
      </c>
      <c r="T658" s="5">
        <f t="shared" si="31"/>
        <v>9.1131122508256612E-2</v>
      </c>
      <c r="U658" s="3">
        <v>2.21</v>
      </c>
      <c r="V658" s="5">
        <f t="shared" si="32"/>
        <v>4.1235802039935127E-2</v>
      </c>
      <c r="W658" s="3">
        <v>4.1235802039935127E-2</v>
      </c>
    </row>
    <row r="659" spans="1:23" x14ac:dyDescent="0.55000000000000004">
      <c r="A659" s="3">
        <v>14</v>
      </c>
      <c r="B659" s="3" t="s">
        <v>48</v>
      </c>
      <c r="C659" s="3" t="s">
        <v>50</v>
      </c>
      <c r="D659" s="3" t="s">
        <v>10</v>
      </c>
      <c r="E659" s="2" t="s">
        <v>16</v>
      </c>
      <c r="F659" s="3">
        <v>16</v>
      </c>
      <c r="G659" s="4">
        <v>20.7</v>
      </c>
      <c r="H659" s="4">
        <v>86.4</v>
      </c>
      <c r="I659" s="6">
        <v>7.3842126351160342</v>
      </c>
      <c r="J659" s="5">
        <v>3.7999999999999999E-2</v>
      </c>
      <c r="K659" s="4">
        <v>19.600000000000001</v>
      </c>
      <c r="L659" s="4">
        <v>68</v>
      </c>
      <c r="M659" s="6">
        <v>5.9406572449058306</v>
      </c>
      <c r="N659" s="5">
        <v>3.6999999999999998E-2</v>
      </c>
      <c r="O659" s="5">
        <v>1.4435553902102036</v>
      </c>
      <c r="P659" s="5">
        <v>1.4435553902102036</v>
      </c>
      <c r="Q659" s="8">
        <v>0.20833333333333334</v>
      </c>
      <c r="R659" s="8">
        <v>0.86805555555555547</v>
      </c>
      <c r="S659" s="6">
        <f t="shared" si="30"/>
        <v>15.83333333333333</v>
      </c>
      <c r="T659" s="5">
        <f t="shared" si="31"/>
        <v>9.1171919381697095E-2</v>
      </c>
      <c r="U659" s="3">
        <v>2.21</v>
      </c>
      <c r="V659" s="5">
        <f t="shared" si="32"/>
        <v>4.1254262163663839E-2</v>
      </c>
      <c r="W659" s="3">
        <v>4.1254262163663839E-2</v>
      </c>
    </row>
    <row r="660" spans="1:23" x14ac:dyDescent="0.55000000000000004">
      <c r="A660" s="3">
        <v>63</v>
      </c>
      <c r="B660" s="3" t="s">
        <v>51</v>
      </c>
      <c r="C660" s="3" t="s">
        <v>49</v>
      </c>
      <c r="D660" s="3" t="s">
        <v>39</v>
      </c>
      <c r="E660" s="2" t="s">
        <v>24</v>
      </c>
      <c r="F660" s="3">
        <v>44</v>
      </c>
      <c r="G660" s="4">
        <v>25.6</v>
      </c>
      <c r="H660" s="4">
        <v>105.5</v>
      </c>
      <c r="I660" s="6">
        <v>8.2103310239525982</v>
      </c>
      <c r="J660" s="5">
        <v>4.9000000000000002E-2</v>
      </c>
      <c r="K660" s="4">
        <v>21</v>
      </c>
      <c r="L660" s="4">
        <v>78.599999999999994</v>
      </c>
      <c r="M660" s="6">
        <v>6.6778911362334217</v>
      </c>
      <c r="N660" s="5">
        <v>4.4999999999999998E-2</v>
      </c>
      <c r="O660" s="5">
        <v>1.5324398877191765</v>
      </c>
      <c r="P660" s="5">
        <v>1.5324398877191765</v>
      </c>
      <c r="Q660" s="8">
        <v>0.20277777777777781</v>
      </c>
      <c r="R660" s="8">
        <v>0.90277777777777779</v>
      </c>
      <c r="S660" s="6">
        <f t="shared" si="30"/>
        <v>16.799999999999997</v>
      </c>
      <c r="T660" s="5">
        <f t="shared" si="31"/>
        <v>9.1216659983284334E-2</v>
      </c>
      <c r="U660" s="3">
        <v>2.21</v>
      </c>
      <c r="V660" s="5">
        <f t="shared" si="32"/>
        <v>4.1274506779766663E-2</v>
      </c>
      <c r="W660" s="3">
        <v>4.1274506779766663E-2</v>
      </c>
    </row>
    <row r="661" spans="1:23" x14ac:dyDescent="0.55000000000000004">
      <c r="A661" s="3">
        <v>18</v>
      </c>
      <c r="B661" s="3" t="s">
        <v>51</v>
      </c>
      <c r="C661" s="3" t="s">
        <v>50</v>
      </c>
      <c r="D661" s="3" t="s">
        <v>9</v>
      </c>
      <c r="E661" s="2" t="s">
        <v>15</v>
      </c>
      <c r="F661" s="3">
        <v>12</v>
      </c>
      <c r="G661" s="4">
        <v>22.5</v>
      </c>
      <c r="H661" s="4">
        <v>110.2</v>
      </c>
      <c r="I661" s="6">
        <v>9.0927954970656604</v>
      </c>
      <c r="J661" s="5">
        <v>3.6999999999999998E-2</v>
      </c>
      <c r="K661" s="4">
        <v>19.5</v>
      </c>
      <c r="L661" s="4">
        <v>87.3</v>
      </c>
      <c r="M661" s="6">
        <v>7.6421303882852714</v>
      </c>
      <c r="N661" s="5">
        <v>3.5000000000000003E-2</v>
      </c>
      <c r="O661" s="5">
        <v>1.450665108780389</v>
      </c>
      <c r="P661" s="5">
        <v>1.450665108780389</v>
      </c>
      <c r="Q661" s="8">
        <v>0.21319444444444444</v>
      </c>
      <c r="R661" s="8">
        <v>0.875</v>
      </c>
      <c r="S661" s="6">
        <f t="shared" si="30"/>
        <v>15.883333333333333</v>
      </c>
      <c r="T661" s="5">
        <f t="shared" si="31"/>
        <v>9.1332535704956294E-2</v>
      </c>
      <c r="U661" s="3">
        <v>2.21</v>
      </c>
      <c r="V661" s="5">
        <f t="shared" si="32"/>
        <v>4.1326939233011895E-2</v>
      </c>
      <c r="W661" s="3">
        <v>4.1326939233011895E-2</v>
      </c>
    </row>
    <row r="662" spans="1:23" x14ac:dyDescent="0.55000000000000004">
      <c r="A662" s="3">
        <v>22</v>
      </c>
      <c r="B662" s="3" t="s">
        <v>48</v>
      </c>
      <c r="C662" s="3" t="s">
        <v>49</v>
      </c>
      <c r="D662" s="3" t="s">
        <v>38</v>
      </c>
      <c r="E662" s="3" t="s">
        <v>35</v>
      </c>
      <c r="F662" s="3">
        <v>82</v>
      </c>
      <c r="G662" s="4">
        <v>30.6</v>
      </c>
      <c r="H662" s="4">
        <v>60.9</v>
      </c>
      <c r="I662" s="6">
        <v>4.334286704604235</v>
      </c>
      <c r="J662" s="5">
        <v>9.4E-2</v>
      </c>
      <c r="K662" s="4">
        <v>26.6</v>
      </c>
      <c r="L662" s="4">
        <v>37.299999999999997</v>
      </c>
      <c r="M662" s="6">
        <v>2.8500309369469634</v>
      </c>
      <c r="N662" s="5">
        <v>9.1999999999999998E-2</v>
      </c>
      <c r="O662" s="5">
        <v>1.4842557676572716</v>
      </c>
      <c r="P662" s="5">
        <v>1.4842557676572716</v>
      </c>
      <c r="Q662" s="8">
        <v>0.20833333333333334</v>
      </c>
      <c r="R662" s="8">
        <v>0.88541666666666663</v>
      </c>
      <c r="S662" s="6">
        <f t="shared" si="30"/>
        <v>16.25</v>
      </c>
      <c r="T662" s="5">
        <f t="shared" si="31"/>
        <v>9.1338816471216722E-2</v>
      </c>
      <c r="U662" s="3">
        <v>2.21</v>
      </c>
      <c r="V662" s="5">
        <f t="shared" si="32"/>
        <v>4.1329781208695349E-2</v>
      </c>
      <c r="W662" s="3">
        <v>4.1329781208695349E-2</v>
      </c>
    </row>
    <row r="663" spans="1:23" x14ac:dyDescent="0.55000000000000004">
      <c r="A663" s="3">
        <v>28</v>
      </c>
      <c r="B663" s="3" t="s">
        <v>53</v>
      </c>
      <c r="C663" s="3" t="s">
        <v>50</v>
      </c>
      <c r="D663" s="3" t="s">
        <v>11</v>
      </c>
      <c r="E663" s="3" t="s">
        <v>33</v>
      </c>
      <c r="F663" s="3">
        <v>75</v>
      </c>
      <c r="G663" s="4">
        <v>28.1</v>
      </c>
      <c r="H663" s="4">
        <v>76.3</v>
      </c>
      <c r="I663" s="6">
        <v>5.6742934635463529</v>
      </c>
      <c r="J663" s="5">
        <v>7.0000000000000007E-2</v>
      </c>
      <c r="K663" s="4">
        <v>24.4</v>
      </c>
      <c r="L663" s="4">
        <v>52.6</v>
      </c>
      <c r="M663" s="6">
        <v>4.1860004179946024</v>
      </c>
      <c r="N663" s="5">
        <v>6.4000000000000001E-2</v>
      </c>
      <c r="O663" s="5">
        <v>1.4882930455517505</v>
      </c>
      <c r="P663" s="5">
        <v>1.4882930455517505</v>
      </c>
      <c r="Q663" s="8">
        <v>0.20833333333333334</v>
      </c>
      <c r="R663" s="8">
        <v>0.88541666666666663</v>
      </c>
      <c r="S663" s="6">
        <f t="shared" si="30"/>
        <v>16.25</v>
      </c>
      <c r="T663" s="5">
        <f t="shared" si="31"/>
        <v>9.1587264341646185E-2</v>
      </c>
      <c r="U663" s="3">
        <v>2.21</v>
      </c>
      <c r="V663" s="5">
        <f t="shared" si="32"/>
        <v>4.1442201059568404E-2</v>
      </c>
      <c r="W663" s="3">
        <v>4.1442201059568404E-2</v>
      </c>
    </row>
    <row r="664" spans="1:23" x14ac:dyDescent="0.55000000000000004">
      <c r="A664" s="3">
        <v>30</v>
      </c>
      <c r="B664" s="3" t="s">
        <v>52</v>
      </c>
      <c r="C664" s="3" t="s">
        <v>49</v>
      </c>
      <c r="D664" s="3" t="s">
        <v>40</v>
      </c>
      <c r="E664" s="3" t="s">
        <v>35</v>
      </c>
      <c r="F664" s="3">
        <v>82</v>
      </c>
      <c r="G664" s="4">
        <v>31.2</v>
      </c>
      <c r="H664" s="4">
        <v>75</v>
      </c>
      <c r="I664" s="6">
        <v>5.282872072599015</v>
      </c>
      <c r="J664" s="5">
        <v>8.7999999999999995E-2</v>
      </c>
      <c r="K664" s="4">
        <v>27.1</v>
      </c>
      <c r="L664" s="4">
        <v>50.1</v>
      </c>
      <c r="M664" s="6">
        <v>3.7934526249261262</v>
      </c>
      <c r="N664" s="5">
        <v>8.5000000000000006E-2</v>
      </c>
      <c r="O664" s="5">
        <v>1.4894194476728888</v>
      </c>
      <c r="P664" s="5">
        <v>1.4894194476728888</v>
      </c>
      <c r="Q664" s="8">
        <v>0.20833333333333334</v>
      </c>
      <c r="R664" s="8">
        <v>0.88541666666666663</v>
      </c>
      <c r="S664" s="6">
        <f t="shared" si="30"/>
        <v>16.25</v>
      </c>
      <c r="T664" s="5">
        <f t="shared" si="31"/>
        <v>9.1656581395254691E-2</v>
      </c>
      <c r="U664" s="3">
        <v>2.21</v>
      </c>
      <c r="V664" s="5">
        <f t="shared" si="32"/>
        <v>4.1473566242196697E-2</v>
      </c>
      <c r="W664" s="3">
        <v>4.1473566242196697E-2</v>
      </c>
    </row>
    <row r="665" spans="1:23" x14ac:dyDescent="0.55000000000000004">
      <c r="A665" s="3">
        <v>4</v>
      </c>
      <c r="B665" s="3" t="s">
        <v>48</v>
      </c>
      <c r="C665" s="3" t="s">
        <v>49</v>
      </c>
      <c r="D665" s="3" t="s">
        <v>38</v>
      </c>
      <c r="E665" s="3" t="s">
        <v>27</v>
      </c>
      <c r="F665" s="3">
        <v>54</v>
      </c>
      <c r="G665" s="4">
        <v>27.3</v>
      </c>
      <c r="H665" s="4">
        <v>84</v>
      </c>
      <c r="I665" s="6">
        <v>6.3373257780824108</v>
      </c>
      <c r="J665" s="5">
        <v>6.7000000000000004E-2</v>
      </c>
      <c r="K665" s="4">
        <v>24.2</v>
      </c>
      <c r="L665" s="4">
        <v>60.4</v>
      </c>
      <c r="M665" s="6">
        <v>4.8248486443362584</v>
      </c>
      <c r="N665" s="5">
        <v>6.9000000000000006E-2</v>
      </c>
      <c r="O665" s="5">
        <v>1.5124771337461524</v>
      </c>
      <c r="P665" s="5">
        <v>1.5124771337461524</v>
      </c>
      <c r="Q665" s="8">
        <v>0.20833333333333334</v>
      </c>
      <c r="R665" s="8">
        <v>0.89583333333333337</v>
      </c>
      <c r="S665" s="6">
        <f t="shared" si="30"/>
        <v>16.5</v>
      </c>
      <c r="T665" s="5">
        <f t="shared" si="31"/>
        <v>9.1665280833100146E-2</v>
      </c>
      <c r="U665" s="3">
        <v>2.21</v>
      </c>
      <c r="V665" s="5">
        <f t="shared" si="32"/>
        <v>4.1477502639411828E-2</v>
      </c>
      <c r="W665" s="3">
        <v>4.1477502639411828E-2</v>
      </c>
    </row>
    <row r="666" spans="1:23" x14ac:dyDescent="0.55000000000000004">
      <c r="A666" s="3">
        <v>50</v>
      </c>
      <c r="B666" s="3" t="s">
        <v>53</v>
      </c>
      <c r="C666" s="3" t="s">
        <v>50</v>
      </c>
      <c r="D666" s="3" t="s">
        <v>11</v>
      </c>
      <c r="E666" s="3" t="s">
        <v>35</v>
      </c>
      <c r="F666" s="3">
        <v>82</v>
      </c>
      <c r="G666" s="4">
        <v>32.4</v>
      </c>
      <c r="H666" s="4">
        <v>66.2</v>
      </c>
      <c r="I666" s="6">
        <v>4.5686022620369036</v>
      </c>
      <c r="J666" s="5">
        <v>6.3E-2</v>
      </c>
      <c r="K666" s="4">
        <v>28.1</v>
      </c>
      <c r="L666" s="4">
        <v>41.4</v>
      </c>
      <c r="M666" s="6">
        <v>3.0788433734052294</v>
      </c>
      <c r="N666" s="5">
        <v>5.5E-2</v>
      </c>
      <c r="O666" s="5">
        <v>1.4897588886316742</v>
      </c>
      <c r="P666" s="5">
        <v>1.4897588886316742</v>
      </c>
      <c r="Q666" s="8">
        <v>0.20833333333333334</v>
      </c>
      <c r="R666" s="8">
        <v>0.88541666666666663</v>
      </c>
      <c r="S666" s="6">
        <f t="shared" si="30"/>
        <v>16.25</v>
      </c>
      <c r="T666" s="5">
        <f t="shared" si="31"/>
        <v>9.1677470069641484E-2</v>
      </c>
      <c r="U666" s="3">
        <v>2.21</v>
      </c>
      <c r="V666" s="5">
        <f t="shared" si="32"/>
        <v>4.1483018131059493E-2</v>
      </c>
      <c r="W666" s="3">
        <v>4.1483018131059493E-2</v>
      </c>
    </row>
    <row r="667" spans="1:23" x14ac:dyDescent="0.55000000000000004">
      <c r="A667" s="3">
        <v>52</v>
      </c>
      <c r="B667" s="3" t="s">
        <v>48</v>
      </c>
      <c r="C667" s="3" t="s">
        <v>49</v>
      </c>
      <c r="D667" s="3" t="s">
        <v>38</v>
      </c>
      <c r="E667" s="2" t="s">
        <v>22</v>
      </c>
      <c r="F667" s="3">
        <v>37</v>
      </c>
      <c r="G667" s="4">
        <v>29.5</v>
      </c>
      <c r="H667" s="4">
        <v>77.400000000000006</v>
      </c>
      <c r="I667" s="6">
        <v>5.6151887093970219</v>
      </c>
      <c r="J667" s="5">
        <v>6.0999999999999999E-2</v>
      </c>
      <c r="K667" s="4">
        <v>24.5</v>
      </c>
      <c r="L667" s="4">
        <v>51.7</v>
      </c>
      <c r="M667" s="6">
        <v>4.1066637877358119</v>
      </c>
      <c r="N667" s="5">
        <v>5.7000000000000002E-2</v>
      </c>
      <c r="O667" s="5">
        <v>1.50852492166121</v>
      </c>
      <c r="P667" s="5">
        <v>1.50852492166121</v>
      </c>
      <c r="Q667" s="8">
        <v>0.20138888888888887</v>
      </c>
      <c r="R667" s="8">
        <v>0.88541666666666663</v>
      </c>
      <c r="S667" s="6">
        <f t="shared" si="30"/>
        <v>16.416666666666668</v>
      </c>
      <c r="T667" s="5">
        <f t="shared" si="31"/>
        <v>9.1889842943830041E-2</v>
      </c>
      <c r="U667" s="3">
        <v>2.21</v>
      </c>
      <c r="V667" s="5">
        <f t="shared" si="32"/>
        <v>4.1579114454221744E-2</v>
      </c>
      <c r="W667" s="3">
        <v>4.1579114454221744E-2</v>
      </c>
    </row>
    <row r="668" spans="1:23" x14ac:dyDescent="0.55000000000000004">
      <c r="A668" s="3">
        <v>60</v>
      </c>
      <c r="B668" s="3" t="s">
        <v>51</v>
      </c>
      <c r="C668" s="3" t="s">
        <v>49</v>
      </c>
      <c r="D668" s="3" t="s">
        <v>39</v>
      </c>
      <c r="E668" s="2" t="s">
        <v>13</v>
      </c>
      <c r="F668" s="3">
        <v>8</v>
      </c>
      <c r="G668" s="4">
        <v>22.2</v>
      </c>
      <c r="H668" s="4">
        <v>114</v>
      </c>
      <c r="I668" s="6">
        <v>9.4610404927446883</v>
      </c>
      <c r="J668" s="5">
        <v>2.1000000000000001E-2</v>
      </c>
      <c r="K668" s="4">
        <v>19.3</v>
      </c>
      <c r="L668" s="4">
        <v>91.2</v>
      </c>
      <c r="M668" s="6">
        <v>8.0158248946927575</v>
      </c>
      <c r="N668" s="5">
        <v>2.1000000000000001E-2</v>
      </c>
      <c r="O668" s="5">
        <v>1.4452155980519308</v>
      </c>
      <c r="P668" s="5">
        <v>1.4452155980519308</v>
      </c>
      <c r="Q668" s="8">
        <v>0.20833333333333334</v>
      </c>
      <c r="R668" s="8">
        <v>0.86319444444444438</v>
      </c>
      <c r="S668" s="6">
        <f t="shared" si="30"/>
        <v>15.716666666666665</v>
      </c>
      <c r="T668" s="5">
        <f t="shared" si="31"/>
        <v>9.1954332855902293E-2</v>
      </c>
      <c r="U668" s="3">
        <v>2.21</v>
      </c>
      <c r="V668" s="5">
        <f t="shared" si="32"/>
        <v>4.160829540991054E-2</v>
      </c>
      <c r="W668" s="3">
        <v>4.160829540991054E-2</v>
      </c>
    </row>
    <row r="669" spans="1:23" x14ac:dyDescent="0.55000000000000004">
      <c r="A669" s="3">
        <v>2</v>
      </c>
      <c r="B669" s="3" t="s">
        <v>48</v>
      </c>
      <c r="C669" s="3" t="s">
        <v>49</v>
      </c>
      <c r="D669" s="3" t="s">
        <v>38</v>
      </c>
      <c r="E669" s="2" t="s">
        <v>13</v>
      </c>
      <c r="F669" s="3">
        <v>8</v>
      </c>
      <c r="G669" s="4">
        <v>21.9</v>
      </c>
      <c r="H669" s="4">
        <v>109.2</v>
      </c>
      <c r="I669" s="6">
        <v>9.1156111952029484</v>
      </c>
      <c r="J669" s="5">
        <v>2.1999999999999999E-2</v>
      </c>
      <c r="K669" s="4">
        <v>19.100000000000001</v>
      </c>
      <c r="L669" s="4">
        <v>86.9</v>
      </c>
      <c r="M669" s="6">
        <v>7.6688746444722815</v>
      </c>
      <c r="N669" s="5">
        <v>2.1999999999999999E-2</v>
      </c>
      <c r="O669" s="5">
        <v>1.4467365507306669</v>
      </c>
      <c r="P669" s="5">
        <v>1.4467365507306669</v>
      </c>
      <c r="Q669" s="8">
        <v>0.20833333333333334</v>
      </c>
      <c r="R669" s="8">
        <v>0.86319444444444438</v>
      </c>
      <c r="S669" s="6">
        <f t="shared" si="30"/>
        <v>15.716666666666665</v>
      </c>
      <c r="T669" s="5">
        <f t="shared" si="31"/>
        <v>9.205110609102865E-2</v>
      </c>
      <c r="U669" s="3">
        <v>2.21</v>
      </c>
      <c r="V669" s="5">
        <f t="shared" si="32"/>
        <v>4.1652084204085366E-2</v>
      </c>
      <c r="W669" s="3">
        <v>4.1652084204085366E-2</v>
      </c>
    </row>
    <row r="670" spans="1:23" x14ac:dyDescent="0.55000000000000004">
      <c r="A670" s="3">
        <v>4</v>
      </c>
      <c r="B670" s="3" t="s">
        <v>48</v>
      </c>
      <c r="C670" s="3" t="s">
        <v>49</v>
      </c>
      <c r="D670" s="3" t="s">
        <v>38</v>
      </c>
      <c r="E670" s="3" t="s">
        <v>29</v>
      </c>
      <c r="F670" s="3">
        <v>61</v>
      </c>
      <c r="G670" s="4">
        <v>28.5</v>
      </c>
      <c r="H670" s="4">
        <v>64.7</v>
      </c>
      <c r="I670" s="6">
        <v>4.7774507546005482</v>
      </c>
      <c r="J670" s="5">
        <v>9.4E-2</v>
      </c>
      <c r="K670" s="4">
        <v>24.5</v>
      </c>
      <c r="L670" s="4">
        <v>41</v>
      </c>
      <c r="M670" s="6">
        <v>3.2567353055545123</v>
      </c>
      <c r="N670" s="5">
        <v>8.5000000000000006E-2</v>
      </c>
      <c r="O670" s="5">
        <v>1.5207154490460359</v>
      </c>
      <c r="P670" s="5">
        <v>1.5207154490460359</v>
      </c>
      <c r="Q670" s="8">
        <v>0.19791666666666666</v>
      </c>
      <c r="R670" s="8">
        <v>0.88541666666666663</v>
      </c>
      <c r="S670" s="6">
        <f t="shared" si="30"/>
        <v>16.5</v>
      </c>
      <c r="T670" s="5">
        <f t="shared" si="31"/>
        <v>9.2164572669456726E-2</v>
      </c>
      <c r="U670" s="3">
        <v>2.21</v>
      </c>
      <c r="V670" s="5">
        <f t="shared" si="32"/>
        <v>4.1703426547265485E-2</v>
      </c>
      <c r="W670" s="3">
        <v>4.1703426547265485E-2</v>
      </c>
    </row>
    <row r="671" spans="1:23" x14ac:dyDescent="0.55000000000000004">
      <c r="A671" s="3">
        <v>34</v>
      </c>
      <c r="B671" s="3" t="s">
        <v>48</v>
      </c>
      <c r="C671" s="3" t="s">
        <v>50</v>
      </c>
      <c r="D671" s="3" t="s">
        <v>10</v>
      </c>
      <c r="E671" s="2" t="s">
        <v>16</v>
      </c>
      <c r="F671" s="3">
        <v>16</v>
      </c>
      <c r="G671" s="4">
        <v>20.9</v>
      </c>
      <c r="H671" s="4">
        <v>87</v>
      </c>
      <c r="I671" s="6">
        <v>7.4061528142431881</v>
      </c>
      <c r="J671" s="5">
        <v>4.3999999999999997E-2</v>
      </c>
      <c r="K671" s="4">
        <v>19.7</v>
      </c>
      <c r="L671" s="4">
        <v>68.2</v>
      </c>
      <c r="M671" s="6">
        <v>5.9461608442616214</v>
      </c>
      <c r="N671" s="5">
        <v>4.2999999999999997E-2</v>
      </c>
      <c r="O671" s="5">
        <v>1.4599919699815667</v>
      </c>
      <c r="P671" s="5">
        <v>1.4599919699815667</v>
      </c>
      <c r="Q671" s="8">
        <v>0.20833333333333334</v>
      </c>
      <c r="R671" s="8">
        <v>0.86805555555555547</v>
      </c>
      <c r="S671" s="6">
        <f t="shared" si="30"/>
        <v>15.83333333333333</v>
      </c>
      <c r="T671" s="5">
        <f t="shared" si="31"/>
        <v>9.2210019156730549E-2</v>
      </c>
      <c r="U671" s="3">
        <v>2.21</v>
      </c>
      <c r="V671" s="5">
        <f t="shared" si="32"/>
        <v>4.1723990568656354E-2</v>
      </c>
      <c r="W671" s="3">
        <v>4.1723990568656354E-2</v>
      </c>
    </row>
    <row r="672" spans="1:23" x14ac:dyDescent="0.55000000000000004">
      <c r="A672" s="3">
        <v>4</v>
      </c>
      <c r="B672" s="3" t="s">
        <v>48</v>
      </c>
      <c r="C672" s="3" t="s">
        <v>49</v>
      </c>
      <c r="D672" s="3" t="s">
        <v>38</v>
      </c>
      <c r="E672" s="2" t="s">
        <v>24</v>
      </c>
      <c r="F672" s="3">
        <v>44</v>
      </c>
      <c r="G672" s="4">
        <v>24.8</v>
      </c>
      <c r="H672" s="4">
        <v>90.3</v>
      </c>
      <c r="I672" s="6">
        <v>7.1326079951396455</v>
      </c>
      <c r="J672" s="5">
        <v>6.3E-2</v>
      </c>
      <c r="K672" s="4">
        <v>21</v>
      </c>
      <c r="L672" s="4">
        <v>65.7</v>
      </c>
      <c r="M672" s="6">
        <v>5.5819013695996933</v>
      </c>
      <c r="N672" s="5">
        <v>5.8000000000000003E-2</v>
      </c>
      <c r="O672" s="5">
        <v>1.5507066255399522</v>
      </c>
      <c r="P672" s="5">
        <v>1.5507066255399522</v>
      </c>
      <c r="Q672" s="8">
        <v>0.20277777777777781</v>
      </c>
      <c r="R672" s="8">
        <v>0.90277777777777779</v>
      </c>
      <c r="S672" s="6">
        <f t="shared" si="30"/>
        <v>16.799999999999997</v>
      </c>
      <c r="T672" s="5">
        <f t="shared" si="31"/>
        <v>9.2303965805949545E-2</v>
      </c>
      <c r="U672" s="3">
        <v>2.21</v>
      </c>
      <c r="V672" s="5">
        <f t="shared" si="32"/>
        <v>4.1766500364683053E-2</v>
      </c>
      <c r="W672" s="3">
        <v>4.1766500364683053E-2</v>
      </c>
    </row>
    <row r="673" spans="1:23" x14ac:dyDescent="0.55000000000000004">
      <c r="A673" s="3">
        <v>62</v>
      </c>
      <c r="B673" s="3" t="s">
        <v>52</v>
      </c>
      <c r="C673" s="3" t="s">
        <v>49</v>
      </c>
      <c r="D673" s="3" t="s">
        <v>40</v>
      </c>
      <c r="E673" s="2" t="s">
        <v>16</v>
      </c>
      <c r="F673" s="3">
        <v>16</v>
      </c>
      <c r="G673" s="4">
        <v>21.1</v>
      </c>
      <c r="H673" s="4">
        <v>95.8</v>
      </c>
      <c r="I673" s="6">
        <v>8.1231958759504899</v>
      </c>
      <c r="J673" s="5">
        <v>2.8000000000000001E-2</v>
      </c>
      <c r="K673" s="4">
        <v>19.8</v>
      </c>
      <c r="L673" s="4">
        <v>76.5</v>
      </c>
      <c r="M673" s="6">
        <v>6.6564353057264976</v>
      </c>
      <c r="N673" s="5">
        <v>2.8000000000000001E-2</v>
      </c>
      <c r="O673" s="5">
        <v>1.4667605702239923</v>
      </c>
      <c r="P673" s="5">
        <v>1.4667605702239923</v>
      </c>
      <c r="Q673" s="8">
        <v>0.20833333333333334</v>
      </c>
      <c r="R673" s="8">
        <v>0.86805555555555547</v>
      </c>
      <c r="S673" s="6">
        <f t="shared" si="30"/>
        <v>15.83333333333333</v>
      </c>
      <c r="T673" s="5">
        <f t="shared" si="31"/>
        <v>9.263750969835742E-2</v>
      </c>
      <c r="U673" s="3">
        <v>2.21</v>
      </c>
      <c r="V673" s="5">
        <f t="shared" si="32"/>
        <v>4.1917425202876661E-2</v>
      </c>
      <c r="W673" s="3">
        <v>4.1917425202876661E-2</v>
      </c>
    </row>
    <row r="674" spans="1:23" x14ac:dyDescent="0.55000000000000004">
      <c r="A674" s="3">
        <v>1</v>
      </c>
      <c r="B674" s="3" t="s">
        <v>51</v>
      </c>
      <c r="C674" s="3" t="s">
        <v>49</v>
      </c>
      <c r="D674" s="3" t="s">
        <v>39</v>
      </c>
      <c r="E674" s="3" t="s">
        <v>35</v>
      </c>
      <c r="F674" s="3">
        <v>82</v>
      </c>
      <c r="G674" s="4">
        <v>31.4</v>
      </c>
      <c r="H674" s="4">
        <v>68.2</v>
      </c>
      <c r="I674" s="6">
        <v>4.7874414928609461</v>
      </c>
      <c r="J674" s="5">
        <v>5.1999999999999998E-2</v>
      </c>
      <c r="K674" s="4">
        <v>27.3</v>
      </c>
      <c r="L674" s="4">
        <v>43.5</v>
      </c>
      <c r="M674" s="6">
        <v>3.2818294207926773</v>
      </c>
      <c r="N674" s="5">
        <v>0.05</v>
      </c>
      <c r="O674" s="5">
        <v>1.5056120720682689</v>
      </c>
      <c r="P674" s="5">
        <v>1.5056120720682689</v>
      </c>
      <c r="Q674" s="8">
        <v>0.20833333333333334</v>
      </c>
      <c r="R674" s="8">
        <v>0.88541666666666663</v>
      </c>
      <c r="S674" s="6">
        <f t="shared" si="30"/>
        <v>16.25</v>
      </c>
      <c r="T674" s="5">
        <f t="shared" si="31"/>
        <v>9.2653050588816552E-2</v>
      </c>
      <c r="U674" s="3">
        <v>2.21</v>
      </c>
      <c r="V674" s="5">
        <f t="shared" si="32"/>
        <v>4.1924457280007488E-2</v>
      </c>
      <c r="W674" s="3">
        <v>4.1924457280007488E-2</v>
      </c>
    </row>
    <row r="675" spans="1:23" x14ac:dyDescent="0.55000000000000004">
      <c r="A675" s="3">
        <v>29</v>
      </c>
      <c r="B675" s="3" t="s">
        <v>52</v>
      </c>
      <c r="C675" s="3" t="s">
        <v>50</v>
      </c>
      <c r="D675" s="3" t="s">
        <v>12</v>
      </c>
      <c r="E675" s="3" t="s">
        <v>33</v>
      </c>
      <c r="F675" s="3">
        <v>75</v>
      </c>
      <c r="G675" s="4">
        <v>28.2</v>
      </c>
      <c r="H675" s="4">
        <v>74.3</v>
      </c>
      <c r="I675" s="6">
        <v>5.5157011341299711</v>
      </c>
      <c r="J675" s="5">
        <v>6.3E-2</v>
      </c>
      <c r="K675" s="4">
        <v>24.2</v>
      </c>
      <c r="L675" s="4">
        <v>50.2</v>
      </c>
      <c r="M675" s="6">
        <v>4.010056323603977</v>
      </c>
      <c r="N675" s="5">
        <v>5.3999999999999999E-2</v>
      </c>
      <c r="O675" s="5">
        <v>1.5056448105259941</v>
      </c>
      <c r="P675" s="5">
        <v>1.5056448105259941</v>
      </c>
      <c r="Q675" s="8">
        <v>0.20833333333333334</v>
      </c>
      <c r="R675" s="8">
        <v>0.88541666666666663</v>
      </c>
      <c r="S675" s="6">
        <f t="shared" si="30"/>
        <v>16.25</v>
      </c>
      <c r="T675" s="5">
        <f t="shared" si="31"/>
        <v>9.2655065263138103E-2</v>
      </c>
      <c r="U675" s="3">
        <v>2.21</v>
      </c>
      <c r="V675" s="5">
        <f t="shared" si="32"/>
        <v>4.1925368897347555E-2</v>
      </c>
      <c r="W675" s="3">
        <v>4.1925368897347555E-2</v>
      </c>
    </row>
    <row r="676" spans="1:23" x14ac:dyDescent="0.55000000000000004">
      <c r="A676" s="3">
        <v>17</v>
      </c>
      <c r="B676" s="3" t="s">
        <v>52</v>
      </c>
      <c r="C676" s="3" t="s">
        <v>50</v>
      </c>
      <c r="D676" s="3" t="s">
        <v>12</v>
      </c>
      <c r="E676" s="3" t="s">
        <v>27</v>
      </c>
      <c r="F676" s="3">
        <v>54</v>
      </c>
      <c r="G676" s="4">
        <v>27.4</v>
      </c>
      <c r="H676" s="4">
        <v>83.1</v>
      </c>
      <c r="I676" s="6">
        <v>6.2581249982852167</v>
      </c>
      <c r="J676" s="5">
        <v>7.5999999999999998E-2</v>
      </c>
      <c r="K676" s="4">
        <v>24.2</v>
      </c>
      <c r="L676" s="4">
        <v>59.2</v>
      </c>
      <c r="M676" s="6">
        <v>4.7289907242501075</v>
      </c>
      <c r="N676" s="5">
        <v>7.2999999999999995E-2</v>
      </c>
      <c r="O676" s="5">
        <v>1.5291342740351093</v>
      </c>
      <c r="P676" s="5">
        <v>1.5291342740351093</v>
      </c>
      <c r="Q676" s="8">
        <v>0.20833333333333334</v>
      </c>
      <c r="R676" s="8">
        <v>0.89583333333333337</v>
      </c>
      <c r="S676" s="6">
        <f t="shared" si="30"/>
        <v>16.5</v>
      </c>
      <c r="T676" s="5">
        <f t="shared" si="31"/>
        <v>9.267480448697632E-2</v>
      </c>
      <c r="U676" s="3">
        <v>2.21</v>
      </c>
      <c r="V676" s="5">
        <f t="shared" si="32"/>
        <v>4.1934300672839965E-2</v>
      </c>
      <c r="W676" s="3">
        <v>4.1934300672839965E-2</v>
      </c>
    </row>
    <row r="677" spans="1:23" x14ac:dyDescent="0.55000000000000004">
      <c r="A677" s="3">
        <v>6</v>
      </c>
      <c r="B677" s="3" t="s">
        <v>51</v>
      </c>
      <c r="C677" s="3" t="s">
        <v>49</v>
      </c>
      <c r="D677" s="3" t="s">
        <v>39</v>
      </c>
      <c r="E677" s="2" t="s">
        <v>19</v>
      </c>
      <c r="F677" s="3">
        <v>26</v>
      </c>
      <c r="G677" s="4">
        <v>22.4</v>
      </c>
      <c r="H677" s="4">
        <v>93.2</v>
      </c>
      <c r="I677" s="6">
        <v>7.7049521370865071</v>
      </c>
      <c r="J677" s="5">
        <v>3.5999999999999997E-2</v>
      </c>
      <c r="K677" s="4">
        <v>22.5</v>
      </c>
      <c r="L677" s="4">
        <v>75.099999999999994</v>
      </c>
      <c r="M677" s="6">
        <v>6.1966328659676142</v>
      </c>
      <c r="N677" s="5">
        <v>3.3000000000000002E-2</v>
      </c>
      <c r="O677" s="5">
        <v>1.5083192711188929</v>
      </c>
      <c r="P677" s="5">
        <v>1.5083192711188929</v>
      </c>
      <c r="Q677" s="8">
        <v>0.20833333333333334</v>
      </c>
      <c r="R677" s="8">
        <v>0.88541666666666663</v>
      </c>
      <c r="S677" s="6">
        <f t="shared" si="30"/>
        <v>16.25</v>
      </c>
      <c r="T677" s="5">
        <f t="shared" si="31"/>
        <v>9.2819647453470336E-2</v>
      </c>
      <c r="U677" s="3">
        <v>2.21</v>
      </c>
      <c r="V677" s="5">
        <f t="shared" si="32"/>
        <v>4.1999840476683405E-2</v>
      </c>
      <c r="W677" s="3">
        <v>4.1999840476683405E-2</v>
      </c>
    </row>
    <row r="678" spans="1:23" x14ac:dyDescent="0.55000000000000004">
      <c r="A678" s="3">
        <v>28</v>
      </c>
      <c r="B678" s="3" t="s">
        <v>53</v>
      </c>
      <c r="C678" s="3" t="s">
        <v>50</v>
      </c>
      <c r="D678" s="3" t="s">
        <v>11</v>
      </c>
      <c r="E678" s="2" t="s">
        <v>18</v>
      </c>
      <c r="F678" s="3">
        <v>24</v>
      </c>
      <c r="G678" s="4">
        <v>21</v>
      </c>
      <c r="H678" s="4">
        <v>111.8</v>
      </c>
      <c r="I678" s="6">
        <v>9.4985779774923227</v>
      </c>
      <c r="J678" s="5">
        <v>4.2000000000000003E-2</v>
      </c>
      <c r="K678" s="4">
        <v>19.8</v>
      </c>
      <c r="L678" s="4">
        <v>92</v>
      </c>
      <c r="M678" s="6">
        <v>8.0051248121155272</v>
      </c>
      <c r="N678" s="5">
        <v>4.2000000000000003E-2</v>
      </c>
      <c r="O678" s="5">
        <v>1.4934531653767955</v>
      </c>
      <c r="P678" s="5">
        <v>1.4934531653767955</v>
      </c>
      <c r="Q678" s="8">
        <v>0.21180555555555555</v>
      </c>
      <c r="R678" s="8">
        <v>0.88194444444444453</v>
      </c>
      <c r="S678" s="6">
        <f t="shared" si="30"/>
        <v>16.083333333333336</v>
      </c>
      <c r="T678" s="5">
        <f t="shared" si="31"/>
        <v>9.28571916296453E-2</v>
      </c>
      <c r="U678" s="3">
        <v>2.21</v>
      </c>
      <c r="V678" s="5">
        <f t="shared" si="32"/>
        <v>4.2016828791694709E-2</v>
      </c>
      <c r="W678" s="3">
        <v>4.2016828791694709E-2</v>
      </c>
    </row>
    <row r="679" spans="1:23" x14ac:dyDescent="0.55000000000000004">
      <c r="A679" s="3">
        <v>56</v>
      </c>
      <c r="B679" s="3" t="s">
        <v>53</v>
      </c>
      <c r="C679" s="3" t="s">
        <v>49</v>
      </c>
      <c r="D679" s="3" t="s">
        <v>41</v>
      </c>
      <c r="E679" s="2" t="s">
        <v>22</v>
      </c>
      <c r="F679" s="3">
        <v>37</v>
      </c>
      <c r="G679" s="4">
        <v>30.4</v>
      </c>
      <c r="H679" s="4">
        <v>94.9</v>
      </c>
      <c r="I679" s="6">
        <v>6.7775267857266579</v>
      </c>
      <c r="J679" s="5">
        <v>5.8000000000000003E-2</v>
      </c>
      <c r="K679" s="4">
        <v>25.2</v>
      </c>
      <c r="L679" s="4">
        <v>67</v>
      </c>
      <c r="M679" s="6">
        <v>5.252915009301736</v>
      </c>
      <c r="N679" s="5">
        <v>5.3999999999999999E-2</v>
      </c>
      <c r="O679" s="5">
        <v>1.5246117764249218</v>
      </c>
      <c r="P679" s="5">
        <v>1.5246117764249218</v>
      </c>
      <c r="Q679" s="8">
        <v>0.20138888888888887</v>
      </c>
      <c r="R679" s="8">
        <v>0.88541666666666663</v>
      </c>
      <c r="S679" s="6">
        <f t="shared" si="30"/>
        <v>16.416666666666668</v>
      </c>
      <c r="T679" s="5">
        <f t="shared" si="31"/>
        <v>9.2869752878675438E-2</v>
      </c>
      <c r="U679" s="3">
        <v>2.21</v>
      </c>
      <c r="V679" s="5">
        <f t="shared" si="32"/>
        <v>4.2022512614785269E-2</v>
      </c>
      <c r="W679" s="3">
        <v>4.2022512614785269E-2</v>
      </c>
    </row>
    <row r="680" spans="1:23" x14ac:dyDescent="0.55000000000000004">
      <c r="A680" s="3">
        <v>4</v>
      </c>
      <c r="B680" s="3" t="s">
        <v>48</v>
      </c>
      <c r="C680" s="3" t="s">
        <v>49</v>
      </c>
      <c r="D680" s="3" t="s">
        <v>38</v>
      </c>
      <c r="E680" s="2" t="s">
        <v>17</v>
      </c>
      <c r="F680" s="3">
        <v>19</v>
      </c>
      <c r="G680" s="4">
        <v>22.1</v>
      </c>
      <c r="H680" s="4">
        <v>75.3</v>
      </c>
      <c r="I680" s="6">
        <v>6.2613913184682364</v>
      </c>
      <c r="J680" s="5">
        <v>3.1E-2</v>
      </c>
      <c r="K680" s="4">
        <v>17.100000000000001</v>
      </c>
      <c r="L680" s="4">
        <v>51.7</v>
      </c>
      <c r="M680" s="6">
        <v>4.7542940378725742</v>
      </c>
      <c r="N680" s="5">
        <v>2.9000000000000001E-2</v>
      </c>
      <c r="O680" s="5">
        <v>1.5070972805956622</v>
      </c>
      <c r="P680" s="5">
        <v>1.5070972805956622</v>
      </c>
      <c r="Q680" s="8">
        <v>0.19930555555555554</v>
      </c>
      <c r="R680" s="8">
        <v>0.875</v>
      </c>
      <c r="S680" s="6">
        <f t="shared" si="30"/>
        <v>16.216666666666669</v>
      </c>
      <c r="T680" s="5">
        <f t="shared" si="31"/>
        <v>9.2935084106618424E-2</v>
      </c>
      <c r="U680" s="3">
        <v>2.21</v>
      </c>
      <c r="V680" s="5">
        <f t="shared" si="32"/>
        <v>4.2052074256388419E-2</v>
      </c>
      <c r="W680" s="3">
        <v>4.2052074256388419E-2</v>
      </c>
    </row>
    <row r="681" spans="1:23" x14ac:dyDescent="0.55000000000000004">
      <c r="A681" s="3">
        <v>15</v>
      </c>
      <c r="B681" s="3" t="s">
        <v>48</v>
      </c>
      <c r="C681" s="3" t="s">
        <v>49</v>
      </c>
      <c r="D681" s="3" t="s">
        <v>38</v>
      </c>
      <c r="E681" s="3" t="s">
        <v>26</v>
      </c>
      <c r="F681" s="3">
        <v>51</v>
      </c>
      <c r="G681" s="4">
        <v>27.1</v>
      </c>
      <c r="H681" s="4">
        <v>72.3</v>
      </c>
      <c r="I681" s="6">
        <v>5.4743837281868046</v>
      </c>
      <c r="J681" s="5">
        <v>7.5999999999999998E-2</v>
      </c>
      <c r="K681" s="4">
        <v>24</v>
      </c>
      <c r="L681" s="4">
        <v>49.7</v>
      </c>
      <c r="M681" s="6">
        <v>3.9851156410546249</v>
      </c>
      <c r="N681" s="5">
        <v>7.2999999999999995E-2</v>
      </c>
      <c r="O681" s="5">
        <v>1.4892680871321797</v>
      </c>
      <c r="P681" s="5">
        <v>1.4892680871321797</v>
      </c>
      <c r="Q681" s="8">
        <v>0.20833333333333334</v>
      </c>
      <c r="R681" s="8">
        <v>0.875</v>
      </c>
      <c r="S681" s="6">
        <f t="shared" si="30"/>
        <v>16</v>
      </c>
      <c r="T681" s="5">
        <f t="shared" si="31"/>
        <v>9.3079255445761233E-2</v>
      </c>
      <c r="U681" s="3">
        <v>2.21</v>
      </c>
      <c r="V681" s="5">
        <f t="shared" si="32"/>
        <v>4.211731015645305E-2</v>
      </c>
      <c r="W681" s="3">
        <v>4.211731015645305E-2</v>
      </c>
    </row>
    <row r="682" spans="1:23" x14ac:dyDescent="0.55000000000000004">
      <c r="A682" s="3">
        <v>25</v>
      </c>
      <c r="B682" s="3" t="s">
        <v>53</v>
      </c>
      <c r="C682" s="3" t="s">
        <v>49</v>
      </c>
      <c r="D682" s="3" t="s">
        <v>41</v>
      </c>
      <c r="E682" s="2" t="s">
        <v>21</v>
      </c>
      <c r="F682" s="3">
        <v>33</v>
      </c>
      <c r="G682" s="4">
        <v>29.3</v>
      </c>
      <c r="H682" s="4">
        <v>61.9</v>
      </c>
      <c r="I682" s="6">
        <v>4.5065051734206101</v>
      </c>
      <c r="J682" s="5">
        <v>7.0999999999999994E-2</v>
      </c>
      <c r="K682" s="4">
        <v>25.8</v>
      </c>
      <c r="L682" s="4">
        <v>38.700000000000003</v>
      </c>
      <c r="M682" s="6">
        <v>3.0006618163664087</v>
      </c>
      <c r="N682" s="5">
        <v>6.4000000000000001E-2</v>
      </c>
      <c r="O682" s="5">
        <v>1.5058433570542014</v>
      </c>
      <c r="P682" s="5">
        <v>1.5058433570542014</v>
      </c>
      <c r="Q682" s="8">
        <v>0.20833333333333334</v>
      </c>
      <c r="R682" s="8">
        <v>0.88194444444444453</v>
      </c>
      <c r="S682" s="6">
        <f t="shared" si="30"/>
        <v>16.166666666666668</v>
      </c>
      <c r="T682" s="5">
        <f t="shared" si="31"/>
        <v>9.3144949920878434E-2</v>
      </c>
      <c r="U682" s="3">
        <v>2.21</v>
      </c>
      <c r="V682" s="5">
        <f t="shared" si="32"/>
        <v>4.2147036163293405E-2</v>
      </c>
      <c r="W682" s="3">
        <v>4.2147036163293405E-2</v>
      </c>
    </row>
    <row r="683" spans="1:23" x14ac:dyDescent="0.55000000000000004">
      <c r="A683" s="3">
        <v>25</v>
      </c>
      <c r="B683" s="3" t="s">
        <v>53</v>
      </c>
      <c r="C683" s="3" t="s">
        <v>49</v>
      </c>
      <c r="D683" s="3" t="s">
        <v>41</v>
      </c>
      <c r="E683" s="2" t="s">
        <v>25</v>
      </c>
      <c r="F683" s="3">
        <v>47</v>
      </c>
      <c r="G683" s="4">
        <v>28.2</v>
      </c>
      <c r="H683" s="4">
        <v>61.2</v>
      </c>
      <c r="I683" s="6">
        <v>4.5432154698351859</v>
      </c>
      <c r="J683" s="5">
        <v>7.8E-2</v>
      </c>
      <c r="K683" s="4">
        <v>25</v>
      </c>
      <c r="L683" s="4">
        <v>38.200000000000003</v>
      </c>
      <c r="M683" s="6">
        <v>3.006105577906069</v>
      </c>
      <c r="N683" s="5">
        <v>7.4999999999999997E-2</v>
      </c>
      <c r="O683" s="5">
        <v>1.5371098919291168</v>
      </c>
      <c r="P683" s="5">
        <v>1.5371098919291168</v>
      </c>
      <c r="Q683" s="8">
        <v>0.20833333333333334</v>
      </c>
      <c r="R683" s="8">
        <v>0.89583333333333337</v>
      </c>
      <c r="S683" s="6">
        <f t="shared" si="30"/>
        <v>16.5</v>
      </c>
      <c r="T683" s="5">
        <f t="shared" si="31"/>
        <v>9.3158175268431329E-2</v>
      </c>
      <c r="U683" s="3">
        <v>2.21</v>
      </c>
      <c r="V683" s="5">
        <f t="shared" si="32"/>
        <v>4.2153020483453089E-2</v>
      </c>
      <c r="W683" s="3">
        <v>4.2153020483453089E-2</v>
      </c>
    </row>
    <row r="684" spans="1:23" x14ac:dyDescent="0.55000000000000004">
      <c r="A684" s="3">
        <v>26</v>
      </c>
      <c r="B684" s="3" t="s">
        <v>52</v>
      </c>
      <c r="C684" s="3" t="s">
        <v>50</v>
      </c>
      <c r="D684" s="3" t="s">
        <v>12</v>
      </c>
      <c r="E684" s="2" t="s">
        <v>14</v>
      </c>
      <c r="F684" s="3">
        <v>10</v>
      </c>
      <c r="G684" s="4">
        <v>22.2</v>
      </c>
      <c r="H684" s="4">
        <v>103.9</v>
      </c>
      <c r="I684" s="6">
        <v>8.6228255017208166</v>
      </c>
      <c r="J684" s="5">
        <v>3.7999999999999999E-2</v>
      </c>
      <c r="K684" s="4">
        <v>20</v>
      </c>
      <c r="L684" s="4">
        <v>82.4</v>
      </c>
      <c r="M684" s="6">
        <v>7.1411376031456539</v>
      </c>
      <c r="N684" s="5">
        <v>3.5999999999999997E-2</v>
      </c>
      <c r="O684" s="5">
        <v>1.4816878985751627</v>
      </c>
      <c r="P684" s="5">
        <v>1.4816878985751627</v>
      </c>
      <c r="Q684" s="8">
        <v>0.20555555555555557</v>
      </c>
      <c r="R684" s="8">
        <v>0.86805555555555547</v>
      </c>
      <c r="S684" s="6">
        <f t="shared" si="30"/>
        <v>15.899999999999997</v>
      </c>
      <c r="T684" s="5">
        <f t="shared" si="31"/>
        <v>9.3187918149381321E-2</v>
      </c>
      <c r="U684" s="3">
        <v>2.21</v>
      </c>
      <c r="V684" s="5">
        <f t="shared" si="32"/>
        <v>4.2166478800625032E-2</v>
      </c>
      <c r="W684" s="3">
        <v>4.2166478800625032E-2</v>
      </c>
    </row>
    <row r="685" spans="1:23" x14ac:dyDescent="0.55000000000000004">
      <c r="A685" s="3">
        <v>53</v>
      </c>
      <c r="B685" s="3" t="s">
        <v>48</v>
      </c>
      <c r="C685" s="3" t="s">
        <v>49</v>
      </c>
      <c r="D685" s="3" t="s">
        <v>38</v>
      </c>
      <c r="E685" s="3" t="s">
        <v>30</v>
      </c>
      <c r="F685" s="3">
        <v>65</v>
      </c>
      <c r="G685" s="4">
        <v>27.8</v>
      </c>
      <c r="H685" s="4">
        <v>104.7</v>
      </c>
      <c r="I685" s="6">
        <v>7.8282747526286371</v>
      </c>
      <c r="J685" s="5">
        <v>0.06</v>
      </c>
      <c r="K685" s="4">
        <v>23.3</v>
      </c>
      <c r="L685" s="4">
        <v>77.7</v>
      </c>
      <c r="M685" s="6">
        <v>6.3135561785423047</v>
      </c>
      <c r="N685" s="5">
        <v>5.5E-2</v>
      </c>
      <c r="O685" s="5">
        <v>1.5147185740863325</v>
      </c>
      <c r="P685" s="5">
        <v>1.5147185740863325</v>
      </c>
      <c r="Q685" s="8">
        <v>0.20833333333333334</v>
      </c>
      <c r="R685" s="8">
        <v>0.88541666666666663</v>
      </c>
      <c r="S685" s="6">
        <f t="shared" si="30"/>
        <v>16.25</v>
      </c>
      <c r="T685" s="5">
        <f t="shared" si="31"/>
        <v>9.3213450713005075E-2</v>
      </c>
      <c r="U685" s="3">
        <v>2.21</v>
      </c>
      <c r="V685" s="5">
        <f t="shared" si="32"/>
        <v>4.2178031996834876E-2</v>
      </c>
      <c r="W685" s="3">
        <v>4.2178031996834876E-2</v>
      </c>
    </row>
    <row r="686" spans="1:23" x14ac:dyDescent="0.55000000000000004">
      <c r="A686" s="3">
        <v>28</v>
      </c>
      <c r="B686" s="3" t="s">
        <v>53</v>
      </c>
      <c r="C686" s="3" t="s">
        <v>50</v>
      </c>
      <c r="D686" s="3" t="s">
        <v>11</v>
      </c>
      <c r="E686" s="2" t="s">
        <v>14</v>
      </c>
      <c r="F686" s="3">
        <v>10</v>
      </c>
      <c r="G686" s="4">
        <v>22.2</v>
      </c>
      <c r="H686" s="4">
        <v>99</v>
      </c>
      <c r="I686" s="6">
        <v>8.2161667436993344</v>
      </c>
      <c r="J686" s="5">
        <v>3.6999999999999998E-2</v>
      </c>
      <c r="K686" s="4">
        <v>20</v>
      </c>
      <c r="L686" s="4">
        <v>77.7</v>
      </c>
      <c r="M686" s="6">
        <v>6.7338154340341907</v>
      </c>
      <c r="N686" s="5">
        <v>3.5999999999999997E-2</v>
      </c>
      <c r="O686" s="5">
        <v>1.4823513096651437</v>
      </c>
      <c r="P686" s="5">
        <v>1.4823513096651437</v>
      </c>
      <c r="Q686" s="8">
        <v>0.20555555555555557</v>
      </c>
      <c r="R686" s="8">
        <v>0.86805555555555547</v>
      </c>
      <c r="S686" s="6">
        <f t="shared" si="30"/>
        <v>15.899999999999997</v>
      </c>
      <c r="T686" s="5">
        <f t="shared" si="31"/>
        <v>9.3229642117304654E-2</v>
      </c>
      <c r="U686" s="3">
        <v>2.21</v>
      </c>
      <c r="V686" s="5">
        <f t="shared" si="32"/>
        <v>4.2185358424119759E-2</v>
      </c>
      <c r="W686" s="3">
        <v>4.2185358424119759E-2</v>
      </c>
    </row>
    <row r="687" spans="1:23" x14ac:dyDescent="0.55000000000000004">
      <c r="A687" s="3">
        <v>45</v>
      </c>
      <c r="B687" s="3" t="s">
        <v>48</v>
      </c>
      <c r="C687" s="3" t="s">
        <v>50</v>
      </c>
      <c r="D687" s="3" t="s">
        <v>10</v>
      </c>
      <c r="E687" s="2" t="s">
        <v>25</v>
      </c>
      <c r="F687" s="3">
        <v>47</v>
      </c>
      <c r="G687" s="4">
        <v>28.7</v>
      </c>
      <c r="H687" s="4">
        <v>79.3</v>
      </c>
      <c r="I687" s="6">
        <v>5.8347666532125047</v>
      </c>
      <c r="J687" s="5">
        <v>0.06</v>
      </c>
      <c r="K687" s="4">
        <v>25.5</v>
      </c>
      <c r="L687" s="4">
        <v>55.1</v>
      </c>
      <c r="M687" s="6">
        <v>4.2959824880692485</v>
      </c>
      <c r="N687" s="5">
        <v>5.8000000000000003E-2</v>
      </c>
      <c r="O687" s="5">
        <v>1.5387841651432561</v>
      </c>
      <c r="P687" s="5">
        <v>1.5387841651432561</v>
      </c>
      <c r="Q687" s="8">
        <v>0.20833333333333334</v>
      </c>
      <c r="R687" s="8">
        <v>0.89583333333333337</v>
      </c>
      <c r="S687" s="6">
        <f t="shared" si="30"/>
        <v>16.5</v>
      </c>
      <c r="T687" s="5">
        <f t="shared" si="31"/>
        <v>9.3259646372318553E-2</v>
      </c>
      <c r="U687" s="3">
        <v>2.21</v>
      </c>
      <c r="V687" s="5">
        <f t="shared" si="32"/>
        <v>4.2198935010098894E-2</v>
      </c>
      <c r="W687" s="3">
        <v>4.2198935010098894E-2</v>
      </c>
    </row>
    <row r="688" spans="1:23" x14ac:dyDescent="0.55000000000000004">
      <c r="A688" s="3">
        <v>51</v>
      </c>
      <c r="B688" s="3" t="s">
        <v>48</v>
      </c>
      <c r="C688" s="3" t="s">
        <v>50</v>
      </c>
      <c r="D688" s="3" t="s">
        <v>10</v>
      </c>
      <c r="E688" s="2" t="s">
        <v>14</v>
      </c>
      <c r="F688" s="3">
        <v>10</v>
      </c>
      <c r="G688" s="4">
        <v>22</v>
      </c>
      <c r="H688" s="4">
        <v>97.4</v>
      </c>
      <c r="I688" s="6">
        <v>8.1148007585877355</v>
      </c>
      <c r="J688" s="5">
        <v>3.7999999999999999E-2</v>
      </c>
      <c r="K688" s="4">
        <v>20</v>
      </c>
      <c r="L688" s="4">
        <v>76.5</v>
      </c>
      <c r="M688" s="6">
        <v>6.6298182844738172</v>
      </c>
      <c r="N688" s="5">
        <v>3.6999999999999998E-2</v>
      </c>
      <c r="O688" s="5">
        <v>1.4849824741139184</v>
      </c>
      <c r="P688" s="5">
        <v>1.4849824741139184</v>
      </c>
      <c r="Q688" s="8">
        <v>0.20555555555555557</v>
      </c>
      <c r="R688" s="8">
        <v>0.86805555555555547</v>
      </c>
      <c r="S688" s="6">
        <f t="shared" si="30"/>
        <v>15.899999999999997</v>
      </c>
      <c r="T688" s="5">
        <f t="shared" si="31"/>
        <v>9.3395124158108092E-2</v>
      </c>
      <c r="U688" s="3">
        <v>2.21</v>
      </c>
      <c r="V688" s="5">
        <f t="shared" si="32"/>
        <v>4.2260237175614522E-2</v>
      </c>
      <c r="W688" s="3">
        <v>4.2260237175614522E-2</v>
      </c>
    </row>
    <row r="689" spans="1:23" x14ac:dyDescent="0.55000000000000004">
      <c r="A689" s="3">
        <v>62</v>
      </c>
      <c r="B689" s="3" t="s">
        <v>52</v>
      </c>
      <c r="C689" s="3" t="s">
        <v>49</v>
      </c>
      <c r="D689" s="3" t="s">
        <v>40</v>
      </c>
      <c r="E689" s="2" t="s">
        <v>13</v>
      </c>
      <c r="F689" s="3">
        <v>8</v>
      </c>
      <c r="G689" s="4">
        <v>22.3</v>
      </c>
      <c r="H689" s="4">
        <v>114</v>
      </c>
      <c r="I689" s="6">
        <v>9.4427456118372124</v>
      </c>
      <c r="J689" s="5">
        <v>2.3E-2</v>
      </c>
      <c r="K689" s="4">
        <v>19.3</v>
      </c>
      <c r="L689" s="4">
        <v>90.7</v>
      </c>
      <c r="M689" s="6">
        <v>7.9718784862788716</v>
      </c>
      <c r="N689" s="5">
        <v>2.1999999999999999E-2</v>
      </c>
      <c r="O689" s="5">
        <v>1.4708671255583408</v>
      </c>
      <c r="P689" s="5">
        <v>1.4708671255583408</v>
      </c>
      <c r="Q689" s="8">
        <v>0.20833333333333334</v>
      </c>
      <c r="R689" s="8">
        <v>0.86319444444444438</v>
      </c>
      <c r="S689" s="6">
        <f t="shared" si="30"/>
        <v>15.716666666666665</v>
      </c>
      <c r="T689" s="5">
        <f t="shared" si="31"/>
        <v>9.358645549681914E-2</v>
      </c>
      <c r="U689" s="3">
        <v>2.21</v>
      </c>
      <c r="V689" s="5">
        <f t="shared" si="32"/>
        <v>4.2346812441999615E-2</v>
      </c>
      <c r="W689" s="3">
        <v>4.2346812441999615E-2</v>
      </c>
    </row>
    <row r="690" spans="1:23" x14ac:dyDescent="0.55000000000000004">
      <c r="A690" s="3">
        <v>29</v>
      </c>
      <c r="B690" s="3" t="s">
        <v>52</v>
      </c>
      <c r="C690" s="3" t="s">
        <v>50</v>
      </c>
      <c r="D690" s="3" t="s">
        <v>12</v>
      </c>
      <c r="E690" s="2" t="s">
        <v>14</v>
      </c>
      <c r="F690" s="3">
        <v>10</v>
      </c>
      <c r="G690" s="4">
        <v>22.1</v>
      </c>
      <c r="H690" s="4">
        <v>105.1</v>
      </c>
      <c r="I690" s="6">
        <v>8.7393390115672194</v>
      </c>
      <c r="J690" s="5">
        <v>4.5999999999999999E-2</v>
      </c>
      <c r="K690" s="4">
        <v>19.899999999999999</v>
      </c>
      <c r="L690" s="4">
        <v>83.5</v>
      </c>
      <c r="M690" s="6">
        <v>7.250969211627603</v>
      </c>
      <c r="N690" s="5">
        <v>4.2999999999999997E-2</v>
      </c>
      <c r="O690" s="5">
        <v>1.4883697999396164</v>
      </c>
      <c r="P690" s="5">
        <v>1.4883697999396164</v>
      </c>
      <c r="Q690" s="8">
        <v>0.20555555555555557</v>
      </c>
      <c r="R690" s="8">
        <v>0.86805555555555547</v>
      </c>
      <c r="S690" s="6">
        <f t="shared" si="30"/>
        <v>15.899999999999997</v>
      </c>
      <c r="T690" s="5">
        <f t="shared" si="31"/>
        <v>9.3608163518214882E-2</v>
      </c>
      <c r="U690" s="3">
        <v>2.21</v>
      </c>
      <c r="V690" s="5">
        <f t="shared" si="32"/>
        <v>4.2356635076115333E-2</v>
      </c>
      <c r="W690" s="3">
        <v>4.2356635076115333E-2</v>
      </c>
    </row>
    <row r="691" spans="1:23" x14ac:dyDescent="0.55000000000000004">
      <c r="A691" s="3">
        <v>14</v>
      </c>
      <c r="B691" s="3" t="s">
        <v>48</v>
      </c>
      <c r="C691" s="3" t="s">
        <v>50</v>
      </c>
      <c r="D691" s="3" t="s">
        <v>10</v>
      </c>
      <c r="E691" s="2" t="s">
        <v>20</v>
      </c>
      <c r="F691" s="3">
        <v>30</v>
      </c>
      <c r="G691" s="4">
        <v>27.1</v>
      </c>
      <c r="H691" s="4">
        <v>87.6</v>
      </c>
      <c r="I691" s="6">
        <v>6.6328632723259204</v>
      </c>
      <c r="J691" s="5">
        <v>0.05</v>
      </c>
      <c r="K691" s="4">
        <v>23.8</v>
      </c>
      <c r="L691" s="4">
        <v>63.5</v>
      </c>
      <c r="M691" s="6">
        <v>5.110938188367534</v>
      </c>
      <c r="N691" s="5">
        <v>4.7E-2</v>
      </c>
      <c r="O691" s="5">
        <v>1.5219250839583864</v>
      </c>
      <c r="P691" s="5">
        <v>1.5219250839583864</v>
      </c>
      <c r="Q691" s="8">
        <v>0.20833333333333334</v>
      </c>
      <c r="R691" s="8">
        <v>0.88541666666666663</v>
      </c>
      <c r="S691" s="6">
        <f t="shared" si="30"/>
        <v>16.25</v>
      </c>
      <c r="T691" s="5">
        <f t="shared" si="31"/>
        <v>9.3656928243593007E-2</v>
      </c>
      <c r="U691" s="3">
        <v>2.21</v>
      </c>
      <c r="V691" s="5">
        <f t="shared" si="32"/>
        <v>4.2378700562711771E-2</v>
      </c>
      <c r="W691" s="3">
        <v>4.2378700562711771E-2</v>
      </c>
    </row>
    <row r="692" spans="1:23" x14ac:dyDescent="0.55000000000000004">
      <c r="A692" s="3">
        <v>31</v>
      </c>
      <c r="B692" s="3" t="s">
        <v>52</v>
      </c>
      <c r="C692" s="3" t="s">
        <v>49</v>
      </c>
      <c r="D692" s="3" t="s">
        <v>40</v>
      </c>
      <c r="E692" s="2" t="s">
        <v>25</v>
      </c>
      <c r="F692" s="3">
        <v>47</v>
      </c>
      <c r="G692" s="4">
        <v>28.4</v>
      </c>
      <c r="H692" s="4">
        <v>66.7</v>
      </c>
      <c r="I692" s="6">
        <v>4.9338971361821509</v>
      </c>
      <c r="J692" s="5">
        <v>7.0999999999999994E-2</v>
      </c>
      <c r="K692" s="4">
        <v>25.1</v>
      </c>
      <c r="L692" s="4">
        <v>43.1</v>
      </c>
      <c r="M692" s="6">
        <v>3.3853995744231531</v>
      </c>
      <c r="N692" s="5">
        <v>6.9000000000000006E-2</v>
      </c>
      <c r="O692" s="5">
        <v>1.5484975617589978</v>
      </c>
      <c r="P692" s="5">
        <v>1.5484975617589978</v>
      </c>
      <c r="Q692" s="8">
        <v>0.20833333333333334</v>
      </c>
      <c r="R692" s="8">
        <v>0.89583333333333337</v>
      </c>
      <c r="S692" s="6">
        <f t="shared" si="30"/>
        <v>16.5</v>
      </c>
      <c r="T692" s="5">
        <f t="shared" si="31"/>
        <v>9.3848337076302898E-2</v>
      </c>
      <c r="U692" s="3">
        <v>2.21</v>
      </c>
      <c r="V692" s="5">
        <f t="shared" si="32"/>
        <v>4.2465310894254704E-2</v>
      </c>
      <c r="W692" s="3">
        <v>4.2465310894254704E-2</v>
      </c>
    </row>
    <row r="693" spans="1:23" x14ac:dyDescent="0.55000000000000004">
      <c r="A693" s="3">
        <v>37</v>
      </c>
      <c r="B693" s="3" t="s">
        <v>53</v>
      </c>
      <c r="C693" s="3" t="s">
        <v>50</v>
      </c>
      <c r="D693" s="3" t="s">
        <v>11</v>
      </c>
      <c r="E693" s="2" t="s">
        <v>13</v>
      </c>
      <c r="F693" s="3">
        <v>8</v>
      </c>
      <c r="G693" s="4">
        <v>22.1</v>
      </c>
      <c r="H693" s="4">
        <v>120.1</v>
      </c>
      <c r="I693" s="6">
        <v>9.9866281188318098</v>
      </c>
      <c r="J693" s="5">
        <v>3.5000000000000003E-2</v>
      </c>
      <c r="K693" s="4">
        <v>19.3</v>
      </c>
      <c r="L693" s="4">
        <v>96.8</v>
      </c>
      <c r="M693" s="6">
        <v>8.508024668928277</v>
      </c>
      <c r="N693" s="5">
        <v>3.1E-2</v>
      </c>
      <c r="O693" s="5">
        <v>1.4786034499035328</v>
      </c>
      <c r="P693" s="5">
        <v>1.4786034499035328</v>
      </c>
      <c r="Q693" s="8">
        <v>0.20833333333333334</v>
      </c>
      <c r="R693" s="8">
        <v>0.86319444444444438</v>
      </c>
      <c r="S693" s="6">
        <f t="shared" si="30"/>
        <v>15.716666666666665</v>
      </c>
      <c r="T693" s="5">
        <f t="shared" si="31"/>
        <v>9.4078692464699867E-2</v>
      </c>
      <c r="U693" s="3">
        <v>2.21</v>
      </c>
      <c r="V693" s="5">
        <f t="shared" si="32"/>
        <v>4.2569544101674149E-2</v>
      </c>
      <c r="W693" s="3">
        <v>4.2569544101674149E-2</v>
      </c>
    </row>
    <row r="694" spans="1:23" x14ac:dyDescent="0.55000000000000004">
      <c r="A694" s="3">
        <v>31</v>
      </c>
      <c r="B694" s="3" t="s">
        <v>52</v>
      </c>
      <c r="C694" s="3" t="s">
        <v>49</v>
      </c>
      <c r="D694" s="3" t="s">
        <v>40</v>
      </c>
      <c r="E694" s="3" t="s">
        <v>27</v>
      </c>
      <c r="F694" s="3">
        <v>54</v>
      </c>
      <c r="G694" s="4">
        <v>26.9</v>
      </c>
      <c r="H694" s="4">
        <v>77.2</v>
      </c>
      <c r="I694" s="6">
        <v>5.8666287604266287</v>
      </c>
      <c r="J694" s="5">
        <v>6.7000000000000004E-2</v>
      </c>
      <c r="K694" s="4">
        <v>24.4</v>
      </c>
      <c r="L694" s="4">
        <v>54.2</v>
      </c>
      <c r="M694" s="6">
        <v>4.3133312291883552</v>
      </c>
      <c r="N694" s="5">
        <v>6.5000000000000002E-2</v>
      </c>
      <c r="O694" s="5">
        <v>1.5532975312382735</v>
      </c>
      <c r="P694" s="5">
        <v>1.5532975312382735</v>
      </c>
      <c r="Q694" s="8">
        <v>0.20833333333333334</v>
      </c>
      <c r="R694" s="8">
        <v>0.89583333333333337</v>
      </c>
      <c r="S694" s="6">
        <f t="shared" si="30"/>
        <v>16.5</v>
      </c>
      <c r="T694" s="5">
        <f t="shared" si="31"/>
        <v>9.4139244317471116E-2</v>
      </c>
      <c r="U694" s="3">
        <v>2.21</v>
      </c>
      <c r="V694" s="5">
        <f t="shared" si="32"/>
        <v>4.2596943130077433E-2</v>
      </c>
      <c r="W694" s="3">
        <v>4.2596943130077433E-2</v>
      </c>
    </row>
    <row r="695" spans="1:23" x14ac:dyDescent="0.55000000000000004">
      <c r="A695" s="3">
        <v>40</v>
      </c>
      <c r="B695" s="3" t="s">
        <v>48</v>
      </c>
      <c r="C695" s="3" t="s">
        <v>50</v>
      </c>
      <c r="D695" s="3" t="s">
        <v>10</v>
      </c>
      <c r="E695" s="3" t="s">
        <v>28</v>
      </c>
      <c r="F695" s="3">
        <v>58</v>
      </c>
      <c r="G695" s="4">
        <v>28.2</v>
      </c>
      <c r="H695" s="4">
        <v>89.2</v>
      </c>
      <c r="I695" s="6">
        <v>6.621810782831675</v>
      </c>
      <c r="J695" s="5">
        <v>5.8999999999999997E-2</v>
      </c>
      <c r="K695" s="4">
        <v>23.5</v>
      </c>
      <c r="L695" s="4">
        <v>62.8</v>
      </c>
      <c r="M695" s="6">
        <v>5.0834521494839899</v>
      </c>
      <c r="N695" s="5">
        <v>5.5E-2</v>
      </c>
      <c r="O695" s="5">
        <v>1.5383586333476851</v>
      </c>
      <c r="P695" s="5">
        <v>1.5383586333476851</v>
      </c>
      <c r="Q695" s="8">
        <v>0.20833333333333334</v>
      </c>
      <c r="R695" s="8">
        <v>0.88888888888888884</v>
      </c>
      <c r="S695" s="6">
        <f t="shared" si="30"/>
        <v>16.333333333333332</v>
      </c>
      <c r="T695" s="5">
        <f t="shared" si="31"/>
        <v>9.4185222449858275E-2</v>
      </c>
      <c r="U695" s="3">
        <v>2.21</v>
      </c>
      <c r="V695" s="5">
        <f t="shared" si="32"/>
        <v>4.2617747714868003E-2</v>
      </c>
      <c r="W695" s="3">
        <v>4.2617747714868003E-2</v>
      </c>
    </row>
    <row r="696" spans="1:23" x14ac:dyDescent="0.55000000000000004">
      <c r="A696" s="3">
        <v>64</v>
      </c>
      <c r="B696" s="3" t="s">
        <v>53</v>
      </c>
      <c r="C696" s="3" t="s">
        <v>50</v>
      </c>
      <c r="D696" s="3" t="s">
        <v>11</v>
      </c>
      <c r="E696" s="3" t="s">
        <v>27</v>
      </c>
      <c r="F696" s="3">
        <v>54</v>
      </c>
      <c r="G696" s="4">
        <v>28.1</v>
      </c>
      <c r="H696" s="4">
        <v>82</v>
      </c>
      <c r="I696" s="6">
        <v>6.0981921888702617</v>
      </c>
      <c r="J696" s="5">
        <v>6.2E-2</v>
      </c>
      <c r="K696" s="4">
        <v>24.6</v>
      </c>
      <c r="L696" s="4">
        <v>57.3</v>
      </c>
      <c r="M696" s="6">
        <v>4.5429654886697781</v>
      </c>
      <c r="N696" s="5">
        <v>5.8999999999999997E-2</v>
      </c>
      <c r="O696" s="5">
        <v>1.5552267002004836</v>
      </c>
      <c r="P696" s="5">
        <v>1.5552267002004836</v>
      </c>
      <c r="Q696" s="8">
        <v>0.20833333333333334</v>
      </c>
      <c r="R696" s="8">
        <v>0.89583333333333337</v>
      </c>
      <c r="S696" s="6">
        <f t="shared" si="30"/>
        <v>16.5</v>
      </c>
      <c r="T696" s="5">
        <f t="shared" si="31"/>
        <v>9.4256163648514163E-2</v>
      </c>
      <c r="U696" s="3">
        <v>2.21</v>
      </c>
      <c r="V696" s="5">
        <f t="shared" si="32"/>
        <v>4.2649847804757543E-2</v>
      </c>
      <c r="W696" s="3">
        <v>4.2649847804757543E-2</v>
      </c>
    </row>
    <row r="697" spans="1:23" x14ac:dyDescent="0.55000000000000004">
      <c r="A697" s="3">
        <v>16</v>
      </c>
      <c r="B697" s="3" t="s">
        <v>52</v>
      </c>
      <c r="C697" s="3" t="s">
        <v>50</v>
      </c>
      <c r="D697" s="3" t="s">
        <v>12</v>
      </c>
      <c r="E697" s="2" t="s">
        <v>20</v>
      </c>
      <c r="F697" s="3">
        <v>30</v>
      </c>
      <c r="G697" s="4">
        <v>26.9</v>
      </c>
      <c r="H697" s="4">
        <v>90.2</v>
      </c>
      <c r="I697" s="6">
        <v>6.8545325672342221</v>
      </c>
      <c r="J697" s="5">
        <v>5.8999999999999997E-2</v>
      </c>
      <c r="K697" s="4">
        <v>23.3</v>
      </c>
      <c r="L697" s="4">
        <v>65.5</v>
      </c>
      <c r="M697" s="6">
        <v>5.3222384774069624</v>
      </c>
      <c r="N697" s="5">
        <v>5.5E-2</v>
      </c>
      <c r="O697" s="5">
        <v>1.5322940898272597</v>
      </c>
      <c r="P697" s="5">
        <v>1.5322940898272597</v>
      </c>
      <c r="Q697" s="8">
        <v>0.20833333333333334</v>
      </c>
      <c r="R697" s="8">
        <v>0.88541666666666663</v>
      </c>
      <c r="S697" s="6">
        <f t="shared" si="30"/>
        <v>16.25</v>
      </c>
      <c r="T697" s="5">
        <f t="shared" si="31"/>
        <v>9.429502091244675E-2</v>
      </c>
      <c r="U697" s="3">
        <v>2.21</v>
      </c>
      <c r="V697" s="5">
        <f t="shared" si="32"/>
        <v>4.2667430277125225E-2</v>
      </c>
      <c r="W697" s="3">
        <v>4.2667430277125225E-2</v>
      </c>
    </row>
    <row r="698" spans="1:23" x14ac:dyDescent="0.55000000000000004">
      <c r="A698" s="3">
        <v>26</v>
      </c>
      <c r="B698" s="3" t="s">
        <v>52</v>
      </c>
      <c r="C698" s="3" t="s">
        <v>50</v>
      </c>
      <c r="D698" s="3" t="s">
        <v>12</v>
      </c>
      <c r="E698" s="2" t="s">
        <v>13</v>
      </c>
      <c r="F698" s="3">
        <v>8</v>
      </c>
      <c r="G698" s="4">
        <v>21.9</v>
      </c>
      <c r="H698" s="4">
        <v>118.1</v>
      </c>
      <c r="I698" s="6">
        <v>9.8585502028705871</v>
      </c>
      <c r="J698" s="5">
        <v>3.9E-2</v>
      </c>
      <c r="K698" s="4">
        <v>19.2</v>
      </c>
      <c r="L698" s="4">
        <v>95.1</v>
      </c>
      <c r="M698" s="6">
        <v>8.3755334155687624</v>
      </c>
      <c r="N698" s="5">
        <v>3.5999999999999997E-2</v>
      </c>
      <c r="O698" s="5">
        <v>1.4830167873018247</v>
      </c>
      <c r="P698" s="5">
        <v>1.4830167873018247</v>
      </c>
      <c r="Q698" s="8">
        <v>0.20833333333333334</v>
      </c>
      <c r="R698" s="8">
        <v>0.86319444444444438</v>
      </c>
      <c r="S698" s="6">
        <f t="shared" si="30"/>
        <v>15.716666666666665</v>
      </c>
      <c r="T698" s="5">
        <f t="shared" si="31"/>
        <v>9.4359498661834032E-2</v>
      </c>
      <c r="U698" s="3">
        <v>2.21</v>
      </c>
      <c r="V698" s="5">
        <f t="shared" si="32"/>
        <v>4.2696605729336666E-2</v>
      </c>
      <c r="W698" s="3">
        <v>4.2696605729336666E-2</v>
      </c>
    </row>
    <row r="699" spans="1:23" x14ac:dyDescent="0.55000000000000004">
      <c r="A699" s="3">
        <v>58</v>
      </c>
      <c r="B699" s="3" t="s">
        <v>53</v>
      </c>
      <c r="C699" s="3" t="s">
        <v>49</v>
      </c>
      <c r="D699" s="3" t="s">
        <v>41</v>
      </c>
      <c r="E699" s="2" t="s">
        <v>24</v>
      </c>
      <c r="F699" s="3">
        <v>44</v>
      </c>
      <c r="G699" s="4">
        <v>25.2</v>
      </c>
      <c r="H699" s="4">
        <v>97.9</v>
      </c>
      <c r="I699" s="6">
        <v>7.6755280509050738</v>
      </c>
      <c r="J699" s="5">
        <v>5.8000000000000003E-2</v>
      </c>
      <c r="K699" s="4">
        <v>20.8</v>
      </c>
      <c r="L699" s="4">
        <v>71.400000000000006</v>
      </c>
      <c r="M699" s="6">
        <v>6.0901713827976485</v>
      </c>
      <c r="N699" s="5">
        <v>5.2999999999999999E-2</v>
      </c>
      <c r="O699" s="5">
        <v>1.5853566681074254</v>
      </c>
      <c r="P699" s="5">
        <v>1.5853566681074254</v>
      </c>
      <c r="Q699" s="8">
        <v>0.20277777777777781</v>
      </c>
      <c r="R699" s="8">
        <v>0.90277777777777779</v>
      </c>
      <c r="S699" s="6">
        <f t="shared" si="30"/>
        <v>16.799999999999997</v>
      </c>
      <c r="T699" s="5">
        <f t="shared" si="31"/>
        <v>9.4366468339727713E-2</v>
      </c>
      <c r="U699" s="3">
        <v>2.21</v>
      </c>
      <c r="V699" s="5">
        <f t="shared" si="32"/>
        <v>4.2699759429741052E-2</v>
      </c>
      <c r="W699" s="3">
        <v>4.2699759429741052E-2</v>
      </c>
    </row>
    <row r="700" spans="1:23" x14ac:dyDescent="0.55000000000000004">
      <c r="A700" s="3">
        <v>54</v>
      </c>
      <c r="B700" s="3" t="s">
        <v>48</v>
      </c>
      <c r="C700" s="3" t="s">
        <v>50</v>
      </c>
      <c r="D700" s="3" t="s">
        <v>10</v>
      </c>
      <c r="E700" s="2" t="s">
        <v>14</v>
      </c>
      <c r="F700" s="3">
        <v>10</v>
      </c>
      <c r="G700" s="4">
        <v>22</v>
      </c>
      <c r="H700" s="4">
        <v>104</v>
      </c>
      <c r="I700" s="6">
        <v>8.6646743212846467</v>
      </c>
      <c r="J700" s="5">
        <v>3.3000000000000002E-2</v>
      </c>
      <c r="K700" s="4">
        <v>19.899999999999999</v>
      </c>
      <c r="L700" s="4">
        <v>82.5</v>
      </c>
      <c r="M700" s="6">
        <v>7.1641312569973321</v>
      </c>
      <c r="N700" s="5">
        <v>3.2000000000000001E-2</v>
      </c>
      <c r="O700" s="5">
        <v>1.5005430642873145</v>
      </c>
      <c r="P700" s="5">
        <v>1.5005430642873145</v>
      </c>
      <c r="Q700" s="8">
        <v>0.20555555555555557</v>
      </c>
      <c r="R700" s="8">
        <v>0.86805555555555547</v>
      </c>
      <c r="S700" s="6">
        <f t="shared" si="30"/>
        <v>15.899999999999997</v>
      </c>
      <c r="T700" s="5">
        <f t="shared" si="31"/>
        <v>9.437377762813301E-2</v>
      </c>
      <c r="U700" s="3">
        <v>2.21</v>
      </c>
      <c r="V700" s="5">
        <f t="shared" si="32"/>
        <v>4.270306680006019E-2</v>
      </c>
      <c r="W700" s="3">
        <v>4.270306680006019E-2</v>
      </c>
    </row>
    <row r="701" spans="1:23" x14ac:dyDescent="0.55000000000000004">
      <c r="A701" s="3">
        <v>53</v>
      </c>
      <c r="B701" s="3" t="s">
        <v>48</v>
      </c>
      <c r="C701" s="3" t="s">
        <v>49</v>
      </c>
      <c r="D701" s="3" t="s">
        <v>38</v>
      </c>
      <c r="E701" s="3" t="s">
        <v>28</v>
      </c>
      <c r="F701" s="3">
        <v>58</v>
      </c>
      <c r="G701" s="4">
        <v>28.7</v>
      </c>
      <c r="H701" s="4">
        <v>104.6</v>
      </c>
      <c r="I701" s="6">
        <v>7.6963000242878694</v>
      </c>
      <c r="J701" s="5">
        <v>6.5000000000000002E-2</v>
      </c>
      <c r="K701" s="4">
        <v>24.1</v>
      </c>
      <c r="L701" s="4">
        <v>76.900000000000006</v>
      </c>
      <c r="M701" s="6">
        <v>6.1544807357481055</v>
      </c>
      <c r="N701" s="5">
        <v>0.06</v>
      </c>
      <c r="O701" s="5">
        <v>1.5418192885397639</v>
      </c>
      <c r="P701" s="5">
        <v>1.5418192885397639</v>
      </c>
      <c r="Q701" s="8">
        <v>0.20833333333333334</v>
      </c>
      <c r="R701" s="8">
        <v>0.88888888888888884</v>
      </c>
      <c r="S701" s="6">
        <f t="shared" si="30"/>
        <v>16.333333333333332</v>
      </c>
      <c r="T701" s="5">
        <f t="shared" si="31"/>
        <v>9.4397099298352896E-2</v>
      </c>
      <c r="U701" s="3">
        <v>2.21</v>
      </c>
      <c r="V701" s="5">
        <f t="shared" si="32"/>
        <v>4.2713619592014883E-2</v>
      </c>
      <c r="W701" s="3">
        <v>4.2713619592014883E-2</v>
      </c>
    </row>
    <row r="702" spans="1:23" x14ac:dyDescent="0.55000000000000004">
      <c r="A702" s="3">
        <v>23</v>
      </c>
      <c r="B702" s="3" t="s">
        <v>52</v>
      </c>
      <c r="C702" s="3" t="s">
        <v>49</v>
      </c>
      <c r="D702" s="3" t="s">
        <v>40</v>
      </c>
      <c r="E702" s="3" t="s">
        <v>26</v>
      </c>
      <c r="F702" s="3">
        <v>51</v>
      </c>
      <c r="G702" s="4">
        <v>26.4</v>
      </c>
      <c r="H702" s="4">
        <v>67.7</v>
      </c>
      <c r="I702" s="6">
        <v>5.1917566437724556</v>
      </c>
      <c r="J702" s="5">
        <v>7.9000000000000001E-2</v>
      </c>
      <c r="K702" s="4">
        <v>24</v>
      </c>
      <c r="L702" s="4">
        <v>45.9</v>
      </c>
      <c r="M702" s="6">
        <v>3.6804186705112123</v>
      </c>
      <c r="N702" s="5">
        <v>7.4999999999999997E-2</v>
      </c>
      <c r="O702" s="5">
        <v>1.5113379732612433</v>
      </c>
      <c r="P702" s="5">
        <v>1.5113379732612433</v>
      </c>
      <c r="Q702" s="8">
        <v>0.20833333333333334</v>
      </c>
      <c r="R702" s="8">
        <v>0.875</v>
      </c>
      <c r="S702" s="6">
        <f t="shared" si="30"/>
        <v>16</v>
      </c>
      <c r="T702" s="5">
        <f t="shared" si="31"/>
        <v>9.4458623328827707E-2</v>
      </c>
      <c r="U702" s="3">
        <v>2.21</v>
      </c>
      <c r="V702" s="5">
        <f t="shared" si="32"/>
        <v>4.2741458519831542E-2</v>
      </c>
      <c r="W702" s="3">
        <v>4.2741458519831542E-2</v>
      </c>
    </row>
    <row r="703" spans="1:23" x14ac:dyDescent="0.55000000000000004">
      <c r="A703" s="3">
        <v>10</v>
      </c>
      <c r="B703" s="3" t="s">
        <v>51</v>
      </c>
      <c r="C703" s="3" t="s">
        <v>49</v>
      </c>
      <c r="D703" s="3" t="s">
        <v>39</v>
      </c>
      <c r="E703" s="2" t="s">
        <v>13</v>
      </c>
      <c r="F703" s="3">
        <v>8</v>
      </c>
      <c r="G703" s="4">
        <v>22</v>
      </c>
      <c r="H703" s="4">
        <v>111.5</v>
      </c>
      <c r="I703" s="6">
        <v>9.289530642531135</v>
      </c>
      <c r="J703" s="5">
        <v>2.4E-2</v>
      </c>
      <c r="K703" s="4">
        <v>19.2</v>
      </c>
      <c r="L703" s="4">
        <v>88.6</v>
      </c>
      <c r="M703" s="6">
        <v>7.8030731926329384</v>
      </c>
      <c r="N703" s="5">
        <v>2.3E-2</v>
      </c>
      <c r="O703" s="5">
        <v>1.4864574498981966</v>
      </c>
      <c r="P703" s="5">
        <v>1.4864574498981966</v>
      </c>
      <c r="Q703" s="8">
        <v>0.20833333333333334</v>
      </c>
      <c r="R703" s="8">
        <v>0.86319444444444438</v>
      </c>
      <c r="S703" s="6">
        <f t="shared" si="30"/>
        <v>15.716666666666665</v>
      </c>
      <c r="T703" s="5">
        <f t="shared" si="31"/>
        <v>9.4578416748559713E-2</v>
      </c>
      <c r="U703" s="3">
        <v>2.21</v>
      </c>
      <c r="V703" s="5">
        <f t="shared" si="32"/>
        <v>4.2795663687131093E-2</v>
      </c>
      <c r="W703" s="3">
        <v>4.2795663687131093E-2</v>
      </c>
    </row>
    <row r="704" spans="1:23" x14ac:dyDescent="0.55000000000000004">
      <c r="A704" s="3">
        <v>30</v>
      </c>
      <c r="B704" s="3" t="s">
        <v>52</v>
      </c>
      <c r="C704" s="3" t="s">
        <v>49</v>
      </c>
      <c r="D704" s="3" t="s">
        <v>40</v>
      </c>
      <c r="E704" s="3" t="s">
        <v>27</v>
      </c>
      <c r="F704" s="3">
        <v>54</v>
      </c>
      <c r="G704" s="4">
        <v>27.7</v>
      </c>
      <c r="H704" s="4">
        <v>87.8</v>
      </c>
      <c r="I704" s="6">
        <v>6.5764770701410304</v>
      </c>
      <c r="J704" s="5">
        <v>6.8000000000000005E-2</v>
      </c>
      <c r="K704" s="4">
        <v>24.4</v>
      </c>
      <c r="L704" s="4">
        <v>63</v>
      </c>
      <c r="M704" s="6">
        <v>5.0136506907539919</v>
      </c>
      <c r="N704" s="5">
        <v>6.7000000000000004E-2</v>
      </c>
      <c r="O704" s="5">
        <v>1.5628263793870385</v>
      </c>
      <c r="P704" s="5">
        <v>1.5628263793870385</v>
      </c>
      <c r="Q704" s="8">
        <v>0.20833333333333334</v>
      </c>
      <c r="R704" s="8">
        <v>0.89583333333333337</v>
      </c>
      <c r="S704" s="6">
        <f t="shared" si="30"/>
        <v>16.5</v>
      </c>
      <c r="T704" s="5">
        <f t="shared" si="31"/>
        <v>9.4716750265881125E-2</v>
      </c>
      <c r="U704" s="3">
        <v>2.21</v>
      </c>
      <c r="V704" s="5">
        <f t="shared" si="32"/>
        <v>4.2858258038860231E-2</v>
      </c>
      <c r="W704" s="3">
        <v>4.2858258038860231E-2</v>
      </c>
    </row>
    <row r="705" spans="1:23" x14ac:dyDescent="0.55000000000000004">
      <c r="A705" s="3">
        <v>52</v>
      </c>
      <c r="B705" s="3" t="s">
        <v>48</v>
      </c>
      <c r="C705" s="3" t="s">
        <v>49</v>
      </c>
      <c r="D705" s="3" t="s">
        <v>38</v>
      </c>
      <c r="E705" s="2" t="s">
        <v>25</v>
      </c>
      <c r="F705" s="3">
        <v>47</v>
      </c>
      <c r="G705" s="4">
        <v>28.6</v>
      </c>
      <c r="H705" s="4">
        <v>71.400000000000006</v>
      </c>
      <c r="I705" s="6">
        <v>5.2628238458049452</v>
      </c>
      <c r="J705" s="5">
        <v>7.0000000000000007E-2</v>
      </c>
      <c r="K705" s="4">
        <v>25.4</v>
      </c>
      <c r="L705" s="4">
        <v>47.3</v>
      </c>
      <c r="M705" s="6">
        <v>3.6946715347182018</v>
      </c>
      <c r="N705" s="5">
        <v>6.6000000000000003E-2</v>
      </c>
      <c r="O705" s="5">
        <v>1.5681523110867435</v>
      </c>
      <c r="P705" s="5">
        <v>1.5681523110867435</v>
      </c>
      <c r="Q705" s="8">
        <v>0.20833333333333334</v>
      </c>
      <c r="R705" s="8">
        <v>0.89583333333333337</v>
      </c>
      <c r="S705" s="6">
        <f t="shared" si="30"/>
        <v>16.5</v>
      </c>
      <c r="T705" s="5">
        <f t="shared" si="31"/>
        <v>9.5039534005257179E-2</v>
      </c>
      <c r="U705" s="3">
        <v>2.21</v>
      </c>
      <c r="V705" s="5">
        <f t="shared" si="32"/>
        <v>4.3004314029528132E-2</v>
      </c>
      <c r="W705" s="3">
        <v>4.3004314029528132E-2</v>
      </c>
    </row>
    <row r="706" spans="1:23" x14ac:dyDescent="0.55000000000000004">
      <c r="A706" s="3">
        <v>50</v>
      </c>
      <c r="B706" s="3" t="s">
        <v>53</v>
      </c>
      <c r="C706" s="3" t="s">
        <v>50</v>
      </c>
      <c r="D706" s="3" t="s">
        <v>11</v>
      </c>
      <c r="E706" s="2" t="s">
        <v>14</v>
      </c>
      <c r="F706" s="3">
        <v>10</v>
      </c>
      <c r="G706" s="4">
        <v>22</v>
      </c>
      <c r="H706" s="4">
        <v>97.7</v>
      </c>
      <c r="I706" s="6">
        <v>8.1397950114375952</v>
      </c>
      <c r="J706" s="5">
        <v>3.7999999999999999E-2</v>
      </c>
      <c r="K706" s="4">
        <v>19.899999999999999</v>
      </c>
      <c r="L706" s="4">
        <v>76.3</v>
      </c>
      <c r="M706" s="6">
        <v>6.6257359382896537</v>
      </c>
      <c r="N706" s="5">
        <v>3.7999999999999999E-2</v>
      </c>
      <c r="O706" s="5">
        <v>1.5140590731479415</v>
      </c>
      <c r="P706" s="5">
        <v>1.5140590731479415</v>
      </c>
      <c r="Q706" s="8">
        <v>0.20555555555555557</v>
      </c>
      <c r="R706" s="8">
        <v>0.86805555555555547</v>
      </c>
      <c r="S706" s="6">
        <f t="shared" ref="S706:S769" si="33">(R706-Q706)*24</f>
        <v>15.899999999999997</v>
      </c>
      <c r="T706" s="5">
        <f t="shared" ref="T706:T769" si="34">P706/S706</f>
        <v>9.5223841078486901E-2</v>
      </c>
      <c r="U706" s="3">
        <v>2.21</v>
      </c>
      <c r="V706" s="5">
        <f t="shared" ref="V706:V769" si="35">(I706-M706)/U706/S706</f>
        <v>4.3087710895242944E-2</v>
      </c>
      <c r="W706" s="3">
        <v>4.3087710895242944E-2</v>
      </c>
    </row>
    <row r="707" spans="1:23" x14ac:dyDescent="0.55000000000000004">
      <c r="A707" s="3">
        <v>9</v>
      </c>
      <c r="B707" s="3" t="s">
        <v>48</v>
      </c>
      <c r="C707" s="3" t="s">
        <v>50</v>
      </c>
      <c r="D707" s="3" t="s">
        <v>10</v>
      </c>
      <c r="E707" s="3" t="s">
        <v>35</v>
      </c>
      <c r="F707" s="3">
        <v>82</v>
      </c>
      <c r="G707" s="4">
        <v>32.299999999999997</v>
      </c>
      <c r="H707" s="4">
        <v>77.400000000000006</v>
      </c>
      <c r="I707" s="6">
        <v>5.3505893728410179</v>
      </c>
      <c r="J707" s="5">
        <v>8.5000000000000006E-2</v>
      </c>
      <c r="K707" s="4">
        <v>27.9</v>
      </c>
      <c r="L707" s="4">
        <v>50.9</v>
      </c>
      <c r="M707" s="6">
        <v>3.7989079222668027</v>
      </c>
      <c r="N707" s="5">
        <v>7.4999999999999997E-2</v>
      </c>
      <c r="O707" s="5">
        <v>1.5516814505742151</v>
      </c>
      <c r="P707" s="5">
        <v>1.5516814505742151</v>
      </c>
      <c r="Q707" s="8">
        <v>0.20833333333333334</v>
      </c>
      <c r="R707" s="8">
        <v>0.88541666666666663</v>
      </c>
      <c r="S707" s="6">
        <f t="shared" si="33"/>
        <v>16.25</v>
      </c>
      <c r="T707" s="5">
        <f t="shared" si="34"/>
        <v>9.5488089266105552E-2</v>
      </c>
      <c r="U707" s="3">
        <v>2.21</v>
      </c>
      <c r="V707" s="5">
        <f t="shared" si="35"/>
        <v>4.3207280210907487E-2</v>
      </c>
      <c r="W707" s="3">
        <v>4.3207280210907487E-2</v>
      </c>
    </row>
    <row r="708" spans="1:23" x14ac:dyDescent="0.55000000000000004">
      <c r="A708" s="3">
        <v>14</v>
      </c>
      <c r="B708" s="3" t="s">
        <v>48</v>
      </c>
      <c r="C708" s="3" t="s">
        <v>50</v>
      </c>
      <c r="D708" s="3" t="s">
        <v>10</v>
      </c>
      <c r="E708" s="2" t="s">
        <v>17</v>
      </c>
      <c r="F708" s="3">
        <v>19</v>
      </c>
      <c r="G708" s="4">
        <v>22.2</v>
      </c>
      <c r="H708" s="4">
        <v>70.400000000000006</v>
      </c>
      <c r="I708" s="6">
        <v>5.8426074621861934</v>
      </c>
      <c r="J708" s="5">
        <v>4.1000000000000002E-2</v>
      </c>
      <c r="K708" s="4">
        <v>17.100000000000001</v>
      </c>
      <c r="L708" s="4">
        <v>46.6</v>
      </c>
      <c r="M708" s="6">
        <v>4.2853017826859174</v>
      </c>
      <c r="N708" s="5">
        <v>3.6999999999999998E-2</v>
      </c>
      <c r="O708" s="5">
        <v>1.557305679500276</v>
      </c>
      <c r="P708" s="5">
        <v>1.557305679500276</v>
      </c>
      <c r="Q708" s="8">
        <v>0.19930555555555554</v>
      </c>
      <c r="R708" s="8">
        <v>0.875</v>
      </c>
      <c r="S708" s="6">
        <f t="shared" si="33"/>
        <v>16.216666666666669</v>
      </c>
      <c r="T708" s="5">
        <f t="shared" si="34"/>
        <v>9.6031182702997486E-2</v>
      </c>
      <c r="U708" s="3">
        <v>2.21</v>
      </c>
      <c r="V708" s="5">
        <f t="shared" si="35"/>
        <v>4.3453023847510173E-2</v>
      </c>
      <c r="W708" s="3">
        <v>4.3453023847510173E-2</v>
      </c>
    </row>
    <row r="709" spans="1:23" x14ac:dyDescent="0.55000000000000004">
      <c r="A709" s="3">
        <v>41</v>
      </c>
      <c r="B709" s="3" t="s">
        <v>51</v>
      </c>
      <c r="C709" s="3" t="s">
        <v>50</v>
      </c>
      <c r="D709" s="3" t="s">
        <v>9</v>
      </c>
      <c r="E709" s="2" t="s">
        <v>19</v>
      </c>
      <c r="F709" s="3">
        <v>26</v>
      </c>
      <c r="G709" s="4">
        <v>26.2</v>
      </c>
      <c r="H709" s="4">
        <v>102.3</v>
      </c>
      <c r="I709" s="6">
        <v>7.8739104564116493</v>
      </c>
      <c r="J709" s="5">
        <v>4.2999999999999997E-2</v>
      </c>
      <c r="K709" s="4">
        <v>23.1</v>
      </c>
      <c r="L709" s="4">
        <v>77.400000000000006</v>
      </c>
      <c r="M709" s="6">
        <v>6.3132444100813485</v>
      </c>
      <c r="N709" s="5">
        <v>0.04</v>
      </c>
      <c r="O709" s="5">
        <v>1.5606660463303008</v>
      </c>
      <c r="P709" s="5">
        <v>1.5606660463303008</v>
      </c>
      <c r="Q709" s="8">
        <v>0.20833333333333334</v>
      </c>
      <c r="R709" s="8">
        <v>0.88541666666666663</v>
      </c>
      <c r="S709" s="6">
        <f t="shared" si="33"/>
        <v>16.25</v>
      </c>
      <c r="T709" s="5">
        <f t="shared" si="34"/>
        <v>9.6040987466480043E-2</v>
      </c>
      <c r="U709" s="3">
        <v>2.21</v>
      </c>
      <c r="V709" s="5">
        <f t="shared" si="35"/>
        <v>4.345746039207242E-2</v>
      </c>
      <c r="W709" s="3">
        <v>4.345746039207242E-2</v>
      </c>
    </row>
    <row r="710" spans="1:23" x14ac:dyDescent="0.55000000000000004">
      <c r="A710" s="3">
        <v>19</v>
      </c>
      <c r="B710" s="3" t="s">
        <v>53</v>
      </c>
      <c r="C710" s="3" t="s">
        <v>49</v>
      </c>
      <c r="D710" s="3" t="s">
        <v>41</v>
      </c>
      <c r="E710" s="2" t="s">
        <v>16</v>
      </c>
      <c r="F710" s="3">
        <v>16</v>
      </c>
      <c r="G710" s="4">
        <v>20.8</v>
      </c>
      <c r="H710" s="4">
        <v>93.1</v>
      </c>
      <c r="I710" s="6">
        <v>7.9411058226675211</v>
      </c>
      <c r="J710" s="5">
        <v>2.9000000000000001E-2</v>
      </c>
      <c r="K710" s="4">
        <v>19.7</v>
      </c>
      <c r="L710" s="4">
        <v>73.599999999999994</v>
      </c>
      <c r="M710" s="6">
        <v>6.41697123368996</v>
      </c>
      <c r="N710" s="5">
        <v>0.03</v>
      </c>
      <c r="O710" s="5">
        <v>1.524134588977561</v>
      </c>
      <c r="P710" s="5">
        <v>1.524134588977561</v>
      </c>
      <c r="Q710" s="8">
        <v>0.20833333333333334</v>
      </c>
      <c r="R710" s="8">
        <v>0.86805555555555547</v>
      </c>
      <c r="S710" s="6">
        <f t="shared" si="33"/>
        <v>15.83333333333333</v>
      </c>
      <c r="T710" s="5">
        <f t="shared" si="34"/>
        <v>9.6261131935424932E-2</v>
      </c>
      <c r="U710" s="3">
        <v>2.21</v>
      </c>
      <c r="V710" s="5">
        <f t="shared" si="35"/>
        <v>4.3557073273947929E-2</v>
      </c>
      <c r="W710" s="3">
        <v>4.3557073273947929E-2</v>
      </c>
    </row>
    <row r="711" spans="1:23" x14ac:dyDescent="0.55000000000000004">
      <c r="A711" s="3">
        <v>47</v>
      </c>
      <c r="B711" s="3" t="s">
        <v>52</v>
      </c>
      <c r="C711" s="3" t="s">
        <v>50</v>
      </c>
      <c r="D711" s="3" t="s">
        <v>12</v>
      </c>
      <c r="E711" s="2" t="s">
        <v>13</v>
      </c>
      <c r="F711" s="3">
        <v>8</v>
      </c>
      <c r="G711" s="4">
        <v>22.2</v>
      </c>
      <c r="H711" s="4">
        <v>117.6</v>
      </c>
      <c r="I711" s="6">
        <v>9.7598101925155714</v>
      </c>
      <c r="J711" s="5">
        <v>3.6999999999999998E-2</v>
      </c>
      <c r="K711" s="4">
        <v>19.3</v>
      </c>
      <c r="L711" s="4">
        <v>93.8</v>
      </c>
      <c r="M711" s="6">
        <v>8.2443462184449636</v>
      </c>
      <c r="N711" s="5">
        <v>3.4000000000000002E-2</v>
      </c>
      <c r="O711" s="5">
        <v>1.5154639740706077</v>
      </c>
      <c r="P711" s="5">
        <v>1.5154639740706077</v>
      </c>
      <c r="Q711" s="8">
        <v>0.20833333333333334</v>
      </c>
      <c r="R711" s="8">
        <v>0.86319444444444438</v>
      </c>
      <c r="S711" s="6">
        <f t="shared" si="33"/>
        <v>15.716666666666665</v>
      </c>
      <c r="T711" s="5">
        <f t="shared" si="34"/>
        <v>9.6424006833760845E-2</v>
      </c>
      <c r="U711" s="3">
        <v>2.21</v>
      </c>
      <c r="V711" s="5">
        <f t="shared" si="35"/>
        <v>4.3630772322968706E-2</v>
      </c>
      <c r="W711" s="3">
        <v>4.3630772322968706E-2</v>
      </c>
    </row>
    <row r="712" spans="1:23" x14ac:dyDescent="0.55000000000000004">
      <c r="A712" s="3">
        <v>31</v>
      </c>
      <c r="B712" s="3" t="s">
        <v>52</v>
      </c>
      <c r="C712" s="3" t="s">
        <v>49</v>
      </c>
      <c r="D712" s="3" t="s">
        <v>40</v>
      </c>
      <c r="E712" s="2" t="s">
        <v>16</v>
      </c>
      <c r="F712" s="3">
        <v>16</v>
      </c>
      <c r="G712" s="4">
        <v>20.9</v>
      </c>
      <c r="H712" s="4">
        <v>88.2</v>
      </c>
      <c r="I712" s="6">
        <v>7.508306646163784</v>
      </c>
      <c r="J712" s="5">
        <v>2.8000000000000001E-2</v>
      </c>
      <c r="K712" s="4">
        <v>19.7</v>
      </c>
      <c r="L712" s="4">
        <v>68.599999999999994</v>
      </c>
      <c r="M712" s="6">
        <v>5.9810356879229793</v>
      </c>
      <c r="N712" s="5">
        <v>2.9000000000000001E-2</v>
      </c>
      <c r="O712" s="5">
        <v>1.5272709582408046</v>
      </c>
      <c r="P712" s="5">
        <v>1.5272709582408046</v>
      </c>
      <c r="Q712" s="8">
        <v>0.20833333333333334</v>
      </c>
      <c r="R712" s="8">
        <v>0.86805555555555547</v>
      </c>
      <c r="S712" s="6">
        <f t="shared" si="33"/>
        <v>15.83333333333333</v>
      </c>
      <c r="T712" s="5">
        <f t="shared" si="34"/>
        <v>9.6459218415208728E-2</v>
      </c>
      <c r="U712" s="3">
        <v>2.21</v>
      </c>
      <c r="V712" s="5">
        <f t="shared" si="35"/>
        <v>4.3646705165252819E-2</v>
      </c>
      <c r="W712" s="3">
        <v>4.3646705165252819E-2</v>
      </c>
    </row>
    <row r="713" spans="1:23" x14ac:dyDescent="0.55000000000000004">
      <c r="A713" s="3">
        <v>19</v>
      </c>
      <c r="B713" s="3" t="s">
        <v>53</v>
      </c>
      <c r="C713" s="3" t="s">
        <v>49</v>
      </c>
      <c r="D713" s="3" t="s">
        <v>41</v>
      </c>
      <c r="E713" s="3" t="s">
        <v>35</v>
      </c>
      <c r="F713" s="3">
        <v>82</v>
      </c>
      <c r="G713" s="4">
        <v>31.9</v>
      </c>
      <c r="H713" s="4">
        <v>74.7</v>
      </c>
      <c r="I713" s="6">
        <v>5.1991395735295702</v>
      </c>
      <c r="J713" s="5">
        <v>6.4000000000000001E-2</v>
      </c>
      <c r="K713" s="4">
        <v>27.5</v>
      </c>
      <c r="L713" s="4">
        <v>48.3</v>
      </c>
      <c r="M713" s="6">
        <v>3.6308460733342707</v>
      </c>
      <c r="N713" s="5">
        <v>6.0999999999999999E-2</v>
      </c>
      <c r="O713" s="5">
        <v>1.5682935001952996</v>
      </c>
      <c r="P713" s="5">
        <v>1.5682935001952996</v>
      </c>
      <c r="Q713" s="8">
        <v>0.20833333333333334</v>
      </c>
      <c r="R713" s="8">
        <v>0.88541666666666663</v>
      </c>
      <c r="S713" s="6">
        <f t="shared" si="33"/>
        <v>16.25</v>
      </c>
      <c r="T713" s="5">
        <f t="shared" si="34"/>
        <v>9.6510369242787664E-2</v>
      </c>
      <c r="U713" s="3">
        <v>2.21</v>
      </c>
      <c r="V713" s="5">
        <f t="shared" si="35"/>
        <v>4.3669850336103017E-2</v>
      </c>
      <c r="W713" s="3">
        <v>4.3669850336103017E-2</v>
      </c>
    </row>
    <row r="714" spans="1:23" x14ac:dyDescent="0.55000000000000004">
      <c r="A714" s="3">
        <v>11</v>
      </c>
      <c r="B714" s="3" t="s">
        <v>53</v>
      </c>
      <c r="C714" s="3" t="s">
        <v>49</v>
      </c>
      <c r="D714" s="3" t="s">
        <v>41</v>
      </c>
      <c r="E714" s="2" t="s">
        <v>23</v>
      </c>
      <c r="F714" s="3">
        <v>40</v>
      </c>
      <c r="G714" s="4">
        <v>28.1</v>
      </c>
      <c r="H714" s="4">
        <v>94.8</v>
      </c>
      <c r="I714" s="6">
        <v>7.050105115913424</v>
      </c>
      <c r="J714" s="5">
        <v>5.3999999999999999E-2</v>
      </c>
      <c r="K714" s="4">
        <v>23.6</v>
      </c>
      <c r="L714" s="4">
        <v>67.7</v>
      </c>
      <c r="M714" s="6">
        <v>5.4696878587121498</v>
      </c>
      <c r="N714" s="5">
        <v>5.8000000000000003E-2</v>
      </c>
      <c r="O714" s="5">
        <v>1.5804172572012742</v>
      </c>
      <c r="P714" s="5">
        <v>1.5804172572012742</v>
      </c>
      <c r="Q714" s="8">
        <v>0.20833333333333334</v>
      </c>
      <c r="R714" s="8">
        <v>0.89027777777777783</v>
      </c>
      <c r="S714" s="6">
        <f t="shared" si="33"/>
        <v>16.366666666666667</v>
      </c>
      <c r="T714" s="5">
        <f t="shared" si="34"/>
        <v>9.6563172537756065E-2</v>
      </c>
      <c r="U714" s="3">
        <v>2.21</v>
      </c>
      <c r="V714" s="5">
        <f t="shared" si="35"/>
        <v>4.3693743229753876E-2</v>
      </c>
      <c r="W714" s="3">
        <v>4.3693743229753876E-2</v>
      </c>
    </row>
    <row r="715" spans="1:23" x14ac:dyDescent="0.55000000000000004">
      <c r="A715" s="3">
        <v>42</v>
      </c>
      <c r="B715" s="3" t="s">
        <v>53</v>
      </c>
      <c r="C715" s="3" t="s">
        <v>49</v>
      </c>
      <c r="D715" s="3" t="s">
        <v>41</v>
      </c>
      <c r="E715" s="3" t="s">
        <v>34</v>
      </c>
      <c r="F715" s="3">
        <v>79</v>
      </c>
      <c r="G715" s="4">
        <v>27.6</v>
      </c>
      <c r="H715" s="4">
        <v>58.2</v>
      </c>
      <c r="I715" s="6">
        <v>4.3671913479153712</v>
      </c>
      <c r="J715" s="5">
        <v>7.9000000000000001E-2</v>
      </c>
      <c r="K715" s="4">
        <v>24.4</v>
      </c>
      <c r="L715" s="4">
        <v>35.1</v>
      </c>
      <c r="M715" s="6">
        <v>2.7933196705629384</v>
      </c>
      <c r="N715" s="5">
        <v>7.5999999999999998E-2</v>
      </c>
      <c r="O715" s="5">
        <v>1.5738716773524328</v>
      </c>
      <c r="P715" s="5">
        <v>1.5738716773524328</v>
      </c>
      <c r="Q715" s="8">
        <v>0.20833333333333334</v>
      </c>
      <c r="R715" s="8">
        <v>0.88541666666666663</v>
      </c>
      <c r="S715" s="6">
        <f t="shared" si="33"/>
        <v>16.25</v>
      </c>
      <c r="T715" s="5">
        <f t="shared" si="34"/>
        <v>9.6853641683226632E-2</v>
      </c>
      <c r="U715" s="3">
        <v>2.21</v>
      </c>
      <c r="V715" s="5">
        <f t="shared" si="35"/>
        <v>4.382517723222925E-2</v>
      </c>
      <c r="W715" s="3">
        <v>4.382517723222925E-2</v>
      </c>
    </row>
    <row r="716" spans="1:23" x14ac:dyDescent="0.55000000000000004">
      <c r="A716" s="3">
        <v>30</v>
      </c>
      <c r="B716" s="3" t="s">
        <v>52</v>
      </c>
      <c r="C716" s="3" t="s">
        <v>49</v>
      </c>
      <c r="D716" s="3" t="s">
        <v>40</v>
      </c>
      <c r="E716" s="2" t="s">
        <v>16</v>
      </c>
      <c r="F716" s="3">
        <v>16</v>
      </c>
      <c r="G716" s="4">
        <v>20.9</v>
      </c>
      <c r="H716" s="4">
        <v>93.2</v>
      </c>
      <c r="I716" s="6">
        <v>7.9339476124995985</v>
      </c>
      <c r="J716" s="5">
        <v>2.9000000000000001E-2</v>
      </c>
      <c r="K716" s="4">
        <v>19.7</v>
      </c>
      <c r="L716" s="4">
        <v>73.400000000000006</v>
      </c>
      <c r="M716" s="6">
        <v>6.3995338118592828</v>
      </c>
      <c r="N716" s="5">
        <v>2.9000000000000001E-2</v>
      </c>
      <c r="O716" s="5">
        <v>1.5344138006403156</v>
      </c>
      <c r="P716" s="5">
        <v>1.5344138006403156</v>
      </c>
      <c r="Q716" s="8">
        <v>0.20833333333333334</v>
      </c>
      <c r="R716" s="8">
        <v>0.86805555555555547</v>
      </c>
      <c r="S716" s="6">
        <f t="shared" si="33"/>
        <v>15.83333333333333</v>
      </c>
      <c r="T716" s="5">
        <f t="shared" si="34"/>
        <v>9.6910345303598905E-2</v>
      </c>
      <c r="U716" s="3">
        <v>2.21</v>
      </c>
      <c r="V716" s="5">
        <f t="shared" si="35"/>
        <v>4.3850834979004029E-2</v>
      </c>
      <c r="W716" s="3">
        <v>4.3850834979004029E-2</v>
      </c>
    </row>
    <row r="717" spans="1:23" x14ac:dyDescent="0.55000000000000004">
      <c r="A717" s="3">
        <v>5</v>
      </c>
      <c r="B717" s="3" t="s">
        <v>48</v>
      </c>
      <c r="C717" s="3" t="s">
        <v>49</v>
      </c>
      <c r="D717" s="3" t="s">
        <v>38</v>
      </c>
      <c r="E717" s="2" t="s">
        <v>19</v>
      </c>
      <c r="F717" s="3">
        <v>26</v>
      </c>
      <c r="G717" s="4">
        <v>25.4</v>
      </c>
      <c r="H717" s="4">
        <v>93.3</v>
      </c>
      <c r="I717" s="6">
        <v>7.2877981858183558</v>
      </c>
      <c r="J717" s="5">
        <v>3.9E-2</v>
      </c>
      <c r="K717" s="4">
        <v>22.4</v>
      </c>
      <c r="L717" s="4">
        <v>69.099999999999994</v>
      </c>
      <c r="M717" s="6">
        <v>5.7125771745995451</v>
      </c>
      <c r="N717" s="5">
        <v>3.5999999999999997E-2</v>
      </c>
      <c r="O717" s="5">
        <v>1.5752210112188108</v>
      </c>
      <c r="P717" s="5">
        <v>1.5752210112188108</v>
      </c>
      <c r="Q717" s="8">
        <v>0.20833333333333334</v>
      </c>
      <c r="R717" s="8">
        <v>0.88541666666666663</v>
      </c>
      <c r="S717" s="6">
        <f t="shared" si="33"/>
        <v>16.25</v>
      </c>
      <c r="T717" s="5">
        <f t="shared" si="34"/>
        <v>9.6936677613465277E-2</v>
      </c>
      <c r="U717" s="3">
        <v>2.21</v>
      </c>
      <c r="V717" s="5">
        <f t="shared" si="35"/>
        <v>4.3862750051341756E-2</v>
      </c>
      <c r="W717" s="3">
        <v>4.3862750051341756E-2</v>
      </c>
    </row>
    <row r="718" spans="1:23" x14ac:dyDescent="0.55000000000000004">
      <c r="A718" s="3">
        <v>28</v>
      </c>
      <c r="B718" s="3" t="s">
        <v>53</v>
      </c>
      <c r="C718" s="3" t="s">
        <v>50</v>
      </c>
      <c r="D718" s="3" t="s">
        <v>11</v>
      </c>
      <c r="E718" s="2" t="s">
        <v>24</v>
      </c>
      <c r="F718" s="3">
        <v>44</v>
      </c>
      <c r="G718" s="4">
        <v>25.4</v>
      </c>
      <c r="H718" s="4">
        <v>108.2</v>
      </c>
      <c r="I718" s="6">
        <v>8.4516587749790588</v>
      </c>
      <c r="J718" s="5">
        <v>0.06</v>
      </c>
      <c r="K718" s="4">
        <v>21.5</v>
      </c>
      <c r="L718" s="4">
        <v>81.099999999999994</v>
      </c>
      <c r="M718" s="6">
        <v>6.8229667366800619</v>
      </c>
      <c r="N718" s="5">
        <v>5.1999999999999998E-2</v>
      </c>
      <c r="O718" s="5">
        <v>1.6286920382989969</v>
      </c>
      <c r="P718" s="5">
        <v>1.6286920382989969</v>
      </c>
      <c r="Q718" s="8">
        <v>0.20277777777777781</v>
      </c>
      <c r="R718" s="8">
        <v>0.90277777777777779</v>
      </c>
      <c r="S718" s="6">
        <f t="shared" si="33"/>
        <v>16.799999999999997</v>
      </c>
      <c r="T718" s="5">
        <f t="shared" si="34"/>
        <v>9.6945954660654587E-2</v>
      </c>
      <c r="U718" s="3">
        <v>2.21</v>
      </c>
      <c r="V718" s="5">
        <f t="shared" si="35"/>
        <v>4.3866947810250953E-2</v>
      </c>
      <c r="W718" s="3">
        <v>4.3866947810250953E-2</v>
      </c>
    </row>
    <row r="719" spans="1:23" x14ac:dyDescent="0.55000000000000004">
      <c r="A719" s="3">
        <v>25</v>
      </c>
      <c r="B719" s="3" t="s">
        <v>53</v>
      </c>
      <c r="C719" s="3" t="s">
        <v>49</v>
      </c>
      <c r="D719" s="3" t="s">
        <v>41</v>
      </c>
      <c r="E719" s="3" t="s">
        <v>28</v>
      </c>
      <c r="F719" s="3">
        <v>58</v>
      </c>
      <c r="G719" s="4">
        <v>26.9</v>
      </c>
      <c r="H719" s="4">
        <v>66.2</v>
      </c>
      <c r="I719" s="6">
        <v>5.0307101546663588</v>
      </c>
      <c r="J719" s="5">
        <v>7.1999999999999995E-2</v>
      </c>
      <c r="K719" s="4">
        <v>22.9</v>
      </c>
      <c r="L719" s="4">
        <v>42.1</v>
      </c>
      <c r="M719" s="6">
        <v>3.4471251883802587</v>
      </c>
      <c r="N719" s="5">
        <v>6.7000000000000004E-2</v>
      </c>
      <c r="O719" s="5">
        <v>1.5835849662861001</v>
      </c>
      <c r="P719" s="5">
        <v>1.5835849662861001</v>
      </c>
      <c r="Q719" s="8">
        <v>0.20833333333333334</v>
      </c>
      <c r="R719" s="8">
        <v>0.88888888888888884</v>
      </c>
      <c r="S719" s="6">
        <f t="shared" si="33"/>
        <v>16.333333333333332</v>
      </c>
      <c r="T719" s="5">
        <f t="shared" si="34"/>
        <v>9.6954181609353082E-2</v>
      </c>
      <c r="U719" s="3">
        <v>2.21</v>
      </c>
      <c r="V719" s="5">
        <f t="shared" si="35"/>
        <v>4.3870670411471975E-2</v>
      </c>
      <c r="W719" s="3">
        <v>4.3870670411471975E-2</v>
      </c>
    </row>
    <row r="720" spans="1:23" x14ac:dyDescent="0.55000000000000004">
      <c r="A720" s="3">
        <v>55</v>
      </c>
      <c r="B720" s="3" t="s">
        <v>52</v>
      </c>
      <c r="C720" s="3" t="s">
        <v>49</v>
      </c>
      <c r="D720" s="3" t="s">
        <v>40</v>
      </c>
      <c r="E720" s="2" t="s">
        <v>21</v>
      </c>
      <c r="F720" s="3">
        <v>33</v>
      </c>
      <c r="G720" s="4">
        <v>30.3</v>
      </c>
      <c r="H720" s="4">
        <v>81.400000000000006</v>
      </c>
      <c r="I720" s="6">
        <v>5.8234882055950026</v>
      </c>
      <c r="J720" s="5">
        <v>6.3E-2</v>
      </c>
      <c r="K720" s="4">
        <v>26.5</v>
      </c>
      <c r="L720" s="4">
        <v>55.6</v>
      </c>
      <c r="M720" s="6">
        <v>4.2560572463417561</v>
      </c>
      <c r="N720" s="5">
        <v>5.1999999999999998E-2</v>
      </c>
      <c r="O720" s="5">
        <v>1.5674309592532465</v>
      </c>
      <c r="P720" s="5">
        <v>1.5674309592532465</v>
      </c>
      <c r="Q720" s="8">
        <v>0.20833333333333334</v>
      </c>
      <c r="R720" s="8">
        <v>0.88194444444444453</v>
      </c>
      <c r="S720" s="6">
        <f t="shared" si="33"/>
        <v>16.166666666666668</v>
      </c>
      <c r="T720" s="5">
        <f t="shared" si="34"/>
        <v>9.6954492324943076E-2</v>
      </c>
      <c r="U720" s="3">
        <v>2.21</v>
      </c>
      <c r="V720" s="5">
        <f t="shared" si="35"/>
        <v>4.3870811006761573E-2</v>
      </c>
      <c r="W720" s="3">
        <v>4.3870811006761573E-2</v>
      </c>
    </row>
    <row r="721" spans="1:23" x14ac:dyDescent="0.55000000000000004">
      <c r="A721" s="3">
        <v>48</v>
      </c>
      <c r="B721" s="3" t="s">
        <v>52</v>
      </c>
      <c r="C721" s="3" t="s">
        <v>49</v>
      </c>
      <c r="D721" s="3" t="s">
        <v>40</v>
      </c>
      <c r="E721" s="2" t="s">
        <v>24</v>
      </c>
      <c r="F721" s="3">
        <v>44</v>
      </c>
      <c r="G721" s="4">
        <v>25.1</v>
      </c>
      <c r="H721" s="4">
        <v>81.599999999999994</v>
      </c>
      <c r="I721" s="6">
        <v>6.4094804007640196</v>
      </c>
      <c r="J721" s="5">
        <v>6.9000000000000006E-2</v>
      </c>
      <c r="K721" s="4">
        <v>20.6</v>
      </c>
      <c r="L721" s="4">
        <v>55.8</v>
      </c>
      <c r="M721" s="6">
        <v>4.7784282198115049</v>
      </c>
      <c r="N721" s="5">
        <v>6.3E-2</v>
      </c>
      <c r="O721" s="5">
        <v>1.6310521809525147</v>
      </c>
      <c r="P721" s="5">
        <v>1.6310521809525147</v>
      </c>
      <c r="Q721" s="8">
        <v>0.20277777777777781</v>
      </c>
      <c r="R721" s="8">
        <v>0.90277777777777779</v>
      </c>
      <c r="S721" s="6">
        <f t="shared" si="33"/>
        <v>16.799999999999997</v>
      </c>
      <c r="T721" s="5">
        <f t="shared" si="34"/>
        <v>9.708643934241161E-2</v>
      </c>
      <c r="U721" s="3">
        <v>2.21</v>
      </c>
      <c r="V721" s="5">
        <f t="shared" si="35"/>
        <v>4.393051553955276E-2</v>
      </c>
      <c r="W721" s="3">
        <v>4.393051553955276E-2</v>
      </c>
    </row>
    <row r="722" spans="1:23" x14ac:dyDescent="0.55000000000000004">
      <c r="A722" s="3">
        <v>8</v>
      </c>
      <c r="B722" s="3" t="s">
        <v>51</v>
      </c>
      <c r="C722" s="3" t="s">
        <v>50</v>
      </c>
      <c r="D722" s="3" t="s">
        <v>9</v>
      </c>
      <c r="E722" s="2" t="s">
        <v>24</v>
      </c>
      <c r="F722" s="3">
        <v>44</v>
      </c>
      <c r="G722" s="4">
        <v>26</v>
      </c>
      <c r="H722" s="4">
        <v>92.7</v>
      </c>
      <c r="I722" s="6">
        <v>7.1612368804682891</v>
      </c>
      <c r="J722" s="5">
        <v>4.2000000000000003E-2</v>
      </c>
      <c r="K722" s="4">
        <v>21.4</v>
      </c>
      <c r="L722" s="4">
        <v>65.599999999999994</v>
      </c>
      <c r="M722" s="6">
        <v>5.5297644248727389</v>
      </c>
      <c r="N722" s="5">
        <v>3.5000000000000003E-2</v>
      </c>
      <c r="O722" s="5">
        <v>1.6314724555955502</v>
      </c>
      <c r="P722" s="5">
        <v>1.6314724555955502</v>
      </c>
      <c r="Q722" s="8">
        <v>0.20277777777777781</v>
      </c>
      <c r="R722" s="8">
        <v>0.90277777777777779</v>
      </c>
      <c r="S722" s="6">
        <f t="shared" si="33"/>
        <v>16.799999999999997</v>
      </c>
      <c r="T722" s="5">
        <f t="shared" si="34"/>
        <v>9.7111455690211332E-2</v>
      </c>
      <c r="U722" s="3">
        <v>2.21</v>
      </c>
      <c r="V722" s="5">
        <f t="shared" si="35"/>
        <v>4.3941835153941781E-2</v>
      </c>
      <c r="W722" s="3">
        <v>4.3941835153941781E-2</v>
      </c>
    </row>
    <row r="723" spans="1:23" x14ac:dyDescent="0.55000000000000004">
      <c r="A723" s="3">
        <v>11</v>
      </c>
      <c r="B723" s="3" t="s">
        <v>53</v>
      </c>
      <c r="C723" s="3" t="s">
        <v>49</v>
      </c>
      <c r="D723" s="3" t="s">
        <v>41</v>
      </c>
      <c r="E723" s="2" t="s">
        <v>16</v>
      </c>
      <c r="F723" s="3">
        <v>16</v>
      </c>
      <c r="G723" s="4">
        <v>20.7</v>
      </c>
      <c r="H723" s="4">
        <v>92.7</v>
      </c>
      <c r="I723" s="6">
        <v>7.9226448064265789</v>
      </c>
      <c r="J723" s="5">
        <v>2.8000000000000001E-2</v>
      </c>
      <c r="K723" s="4">
        <v>19.7</v>
      </c>
      <c r="L723" s="4">
        <v>73.2</v>
      </c>
      <c r="M723" s="6">
        <v>6.382096390028603</v>
      </c>
      <c r="N723" s="5">
        <v>2.8000000000000001E-2</v>
      </c>
      <c r="O723" s="5">
        <v>1.5405484163979759</v>
      </c>
      <c r="P723" s="5">
        <v>1.5405484163979759</v>
      </c>
      <c r="Q723" s="8">
        <v>0.20833333333333334</v>
      </c>
      <c r="R723" s="8">
        <v>0.86805555555555547</v>
      </c>
      <c r="S723" s="6">
        <f t="shared" si="33"/>
        <v>15.83333333333333</v>
      </c>
      <c r="T723" s="5">
        <f t="shared" si="34"/>
        <v>9.7297794719872183E-2</v>
      </c>
      <c r="U723" s="3">
        <v>2.21</v>
      </c>
      <c r="V723" s="5">
        <f t="shared" si="35"/>
        <v>4.4026151456955737E-2</v>
      </c>
      <c r="W723" s="3">
        <v>4.4026151456955737E-2</v>
      </c>
    </row>
    <row r="724" spans="1:23" x14ac:dyDescent="0.55000000000000004">
      <c r="A724" s="3">
        <v>8</v>
      </c>
      <c r="B724" s="3" t="s">
        <v>51</v>
      </c>
      <c r="C724" s="3" t="s">
        <v>50</v>
      </c>
      <c r="D724" s="3" t="s">
        <v>9</v>
      </c>
      <c r="E724" s="2" t="s">
        <v>19</v>
      </c>
      <c r="F724" s="3">
        <v>26</v>
      </c>
      <c r="G724" s="4">
        <v>24</v>
      </c>
      <c r="H724" s="4">
        <v>99.3</v>
      </c>
      <c r="I724" s="6">
        <v>7.9622129407791586</v>
      </c>
      <c r="J724" s="5">
        <v>3.6999999999999998E-2</v>
      </c>
      <c r="K724" s="4">
        <v>22.5</v>
      </c>
      <c r="L724" s="4">
        <v>77.3</v>
      </c>
      <c r="M724" s="6">
        <v>6.3781587288854409</v>
      </c>
      <c r="N724" s="5">
        <v>3.5999999999999997E-2</v>
      </c>
      <c r="O724" s="5">
        <v>1.5840542118937178</v>
      </c>
      <c r="P724" s="5">
        <v>1.5840542118937178</v>
      </c>
      <c r="Q724" s="8">
        <v>0.20833333333333334</v>
      </c>
      <c r="R724" s="8">
        <v>0.88541666666666663</v>
      </c>
      <c r="S724" s="6">
        <f t="shared" si="33"/>
        <v>16.25</v>
      </c>
      <c r="T724" s="5">
        <f t="shared" si="34"/>
        <v>9.7480259193459554E-2</v>
      </c>
      <c r="U724" s="3">
        <v>2.21</v>
      </c>
      <c r="V724" s="5">
        <f t="shared" si="35"/>
        <v>4.4108714567176271E-2</v>
      </c>
      <c r="W724" s="3">
        <v>4.4108714567176271E-2</v>
      </c>
    </row>
    <row r="725" spans="1:23" x14ac:dyDescent="0.55000000000000004">
      <c r="A725" s="3">
        <v>22</v>
      </c>
      <c r="B725" s="3" t="s">
        <v>48</v>
      </c>
      <c r="C725" s="3" t="s">
        <v>49</v>
      </c>
      <c r="D725" s="3" t="s">
        <v>38</v>
      </c>
      <c r="E725" s="2" t="s">
        <v>23</v>
      </c>
      <c r="F725" s="3">
        <v>40</v>
      </c>
      <c r="G725" s="4">
        <v>28.1</v>
      </c>
      <c r="H725" s="4">
        <v>88.9</v>
      </c>
      <c r="I725" s="6">
        <v>6.6113327511044666</v>
      </c>
      <c r="J725" s="5">
        <v>5.5E-2</v>
      </c>
      <c r="K725" s="4">
        <v>23.8</v>
      </c>
      <c r="L725" s="4">
        <v>62.3</v>
      </c>
      <c r="M725" s="6">
        <v>5.014353529689723</v>
      </c>
      <c r="N725" s="5">
        <v>5.6000000000000001E-2</v>
      </c>
      <c r="O725" s="5">
        <v>1.5969792214147436</v>
      </c>
      <c r="P725" s="5">
        <v>1.5969792214147436</v>
      </c>
      <c r="Q725" s="8">
        <v>0.20833333333333334</v>
      </c>
      <c r="R725" s="8">
        <v>0.89027777777777783</v>
      </c>
      <c r="S725" s="6">
        <f t="shared" si="33"/>
        <v>16.366666666666667</v>
      </c>
      <c r="T725" s="5">
        <f t="shared" si="34"/>
        <v>9.7575105178090232E-2</v>
      </c>
      <c r="U725" s="3">
        <v>2.21</v>
      </c>
      <c r="V725" s="5">
        <f t="shared" si="35"/>
        <v>4.4151631302303276E-2</v>
      </c>
      <c r="W725" s="3">
        <v>4.4151631302303276E-2</v>
      </c>
    </row>
    <row r="726" spans="1:23" x14ac:dyDescent="0.55000000000000004">
      <c r="A726" s="3">
        <v>25</v>
      </c>
      <c r="B726" s="3" t="s">
        <v>53</v>
      </c>
      <c r="C726" s="3" t="s">
        <v>49</v>
      </c>
      <c r="D726" s="3" t="s">
        <v>41</v>
      </c>
      <c r="E726" s="3" t="s">
        <v>30</v>
      </c>
      <c r="F726" s="3">
        <v>65</v>
      </c>
      <c r="G726" s="4">
        <v>26.9</v>
      </c>
      <c r="H726" s="4">
        <v>73</v>
      </c>
      <c r="I726" s="6">
        <v>5.5474598382272529</v>
      </c>
      <c r="J726" s="5">
        <v>7.4999999999999997E-2</v>
      </c>
      <c r="K726" s="4">
        <v>22.2</v>
      </c>
      <c r="L726" s="4">
        <v>47.7</v>
      </c>
      <c r="M726" s="6">
        <v>3.9586985219642248</v>
      </c>
      <c r="N726" s="5">
        <v>6.5000000000000002E-2</v>
      </c>
      <c r="O726" s="5">
        <v>1.5887613162630281</v>
      </c>
      <c r="P726" s="5">
        <v>1.5887613162630281</v>
      </c>
      <c r="Q726" s="8">
        <v>0.20833333333333334</v>
      </c>
      <c r="R726" s="8">
        <v>0.88541666666666663</v>
      </c>
      <c r="S726" s="6">
        <f t="shared" si="33"/>
        <v>16.25</v>
      </c>
      <c r="T726" s="5">
        <f t="shared" si="34"/>
        <v>9.7769927154647884E-2</v>
      </c>
      <c r="U726" s="3">
        <v>2.21</v>
      </c>
      <c r="V726" s="5">
        <f t="shared" si="35"/>
        <v>4.4239786042827099E-2</v>
      </c>
      <c r="W726" s="3">
        <v>4.4239786042827099E-2</v>
      </c>
    </row>
    <row r="727" spans="1:23" x14ac:dyDescent="0.55000000000000004">
      <c r="A727" s="3">
        <v>42</v>
      </c>
      <c r="B727" s="3" t="s">
        <v>53</v>
      </c>
      <c r="C727" s="3" t="s">
        <v>49</v>
      </c>
      <c r="D727" s="3" t="s">
        <v>41</v>
      </c>
      <c r="E727" s="3" t="s">
        <v>35</v>
      </c>
      <c r="F727" s="3">
        <v>82</v>
      </c>
      <c r="G727" s="4">
        <v>30.3</v>
      </c>
      <c r="H727" s="4">
        <v>62.6</v>
      </c>
      <c r="I727" s="6">
        <v>4.4785056716246574</v>
      </c>
      <c r="J727" s="5">
        <v>8.2000000000000003E-2</v>
      </c>
      <c r="K727" s="4">
        <v>26.5</v>
      </c>
      <c r="L727" s="4">
        <v>37.700000000000003</v>
      </c>
      <c r="M727" s="6">
        <v>2.8858517659547522</v>
      </c>
      <c r="N727" s="5">
        <v>8.5999999999999993E-2</v>
      </c>
      <c r="O727" s="5">
        <v>1.5926539056699052</v>
      </c>
      <c r="P727" s="5">
        <v>1.5926539056699052</v>
      </c>
      <c r="Q727" s="8">
        <v>0.20833333333333334</v>
      </c>
      <c r="R727" s="8">
        <v>0.88541666666666663</v>
      </c>
      <c r="S727" s="6">
        <f t="shared" si="33"/>
        <v>16.25</v>
      </c>
      <c r="T727" s="5">
        <f t="shared" si="34"/>
        <v>9.8009471118148006E-2</v>
      </c>
      <c r="U727" s="3">
        <v>2.21</v>
      </c>
      <c r="V727" s="5">
        <f t="shared" si="35"/>
        <v>4.4348176976537562E-2</v>
      </c>
      <c r="W727" s="3">
        <v>4.4348176976537562E-2</v>
      </c>
    </row>
    <row r="728" spans="1:23" x14ac:dyDescent="0.55000000000000004">
      <c r="A728" s="3">
        <v>23</v>
      </c>
      <c r="B728" s="3" t="s">
        <v>52</v>
      </c>
      <c r="C728" s="3" t="s">
        <v>49</v>
      </c>
      <c r="D728" s="3" t="s">
        <v>40</v>
      </c>
      <c r="E728" s="3" t="s">
        <v>35</v>
      </c>
      <c r="F728" s="3">
        <v>82</v>
      </c>
      <c r="G728" s="4">
        <v>30</v>
      </c>
      <c r="H728" s="4">
        <v>60.3</v>
      </c>
      <c r="I728" s="6">
        <v>4.3365376543172189</v>
      </c>
      <c r="J728" s="5">
        <v>7.8E-2</v>
      </c>
      <c r="K728" s="4">
        <v>26.3</v>
      </c>
      <c r="L728" s="4">
        <v>35.700000000000003</v>
      </c>
      <c r="M728" s="6">
        <v>2.7427607753377923</v>
      </c>
      <c r="N728" s="5">
        <v>7.5999999999999998E-2</v>
      </c>
      <c r="O728" s="5">
        <v>1.5937768789794267</v>
      </c>
      <c r="P728" s="5">
        <v>1.5937768789794267</v>
      </c>
      <c r="Q728" s="8">
        <v>0.20833333333333334</v>
      </c>
      <c r="R728" s="8">
        <v>0.88541666666666663</v>
      </c>
      <c r="S728" s="6">
        <f t="shared" si="33"/>
        <v>16.25</v>
      </c>
      <c r="T728" s="5">
        <f t="shared" si="34"/>
        <v>9.8078577167964712E-2</v>
      </c>
      <c r="U728" s="3">
        <v>2.21</v>
      </c>
      <c r="V728" s="5">
        <f t="shared" si="35"/>
        <v>4.4379446682336975E-2</v>
      </c>
      <c r="W728" s="3">
        <v>4.4379446682336975E-2</v>
      </c>
    </row>
    <row r="729" spans="1:23" x14ac:dyDescent="0.55000000000000004">
      <c r="A729" s="3">
        <v>20</v>
      </c>
      <c r="B729" s="3" t="s">
        <v>52</v>
      </c>
      <c r="C729" s="3" t="s">
        <v>50</v>
      </c>
      <c r="D729" s="3" t="s">
        <v>12</v>
      </c>
      <c r="E729" s="2" t="s">
        <v>16</v>
      </c>
      <c r="F729" s="3">
        <v>16</v>
      </c>
      <c r="G729" s="4">
        <v>20.9</v>
      </c>
      <c r="H729" s="4">
        <v>92.1</v>
      </c>
      <c r="I729" s="6">
        <v>7.8403065999057189</v>
      </c>
      <c r="J729" s="5">
        <v>3.7999999999999999E-2</v>
      </c>
      <c r="K729" s="4">
        <v>19.7</v>
      </c>
      <c r="L729" s="4">
        <v>72.099999999999994</v>
      </c>
      <c r="M729" s="6">
        <v>6.2861905699598664</v>
      </c>
      <c r="N729" s="5">
        <v>3.9E-2</v>
      </c>
      <c r="O729" s="5">
        <v>1.5541160299458525</v>
      </c>
      <c r="P729" s="5">
        <v>1.5541160299458525</v>
      </c>
      <c r="Q729" s="8">
        <v>0.20833333333333334</v>
      </c>
      <c r="R729" s="8">
        <v>0.86805555555555547</v>
      </c>
      <c r="S729" s="6">
        <f t="shared" si="33"/>
        <v>15.83333333333333</v>
      </c>
      <c r="T729" s="5">
        <f t="shared" si="34"/>
        <v>9.8154696628159122E-2</v>
      </c>
      <c r="U729" s="3">
        <v>2.21</v>
      </c>
      <c r="V729" s="5">
        <f t="shared" si="35"/>
        <v>4.4413889876995079E-2</v>
      </c>
      <c r="W729" s="3">
        <v>4.4413889876995079E-2</v>
      </c>
    </row>
    <row r="730" spans="1:23" x14ac:dyDescent="0.55000000000000004">
      <c r="A730" s="3">
        <v>35</v>
      </c>
      <c r="B730" s="3" t="s">
        <v>51</v>
      </c>
      <c r="C730" s="3" t="s">
        <v>50</v>
      </c>
      <c r="D730" s="3" t="s">
        <v>9</v>
      </c>
      <c r="E730" s="2" t="s">
        <v>19</v>
      </c>
      <c r="F730" s="3">
        <v>26</v>
      </c>
      <c r="G730" s="4">
        <v>25.7</v>
      </c>
      <c r="H730" s="4">
        <v>110.4</v>
      </c>
      <c r="I730" s="6">
        <v>8.5758203891981868</v>
      </c>
      <c r="J730" s="5">
        <v>4.2000000000000003E-2</v>
      </c>
      <c r="K730" s="4">
        <v>22.9</v>
      </c>
      <c r="L730" s="4">
        <v>85.2</v>
      </c>
      <c r="M730" s="6">
        <v>6.9761298349168177</v>
      </c>
      <c r="N730" s="5">
        <v>3.7999999999999999E-2</v>
      </c>
      <c r="O730" s="5">
        <v>1.5996905542813691</v>
      </c>
      <c r="P730" s="5">
        <v>1.5996905542813691</v>
      </c>
      <c r="Q730" s="8">
        <v>0.20833333333333334</v>
      </c>
      <c r="R730" s="8">
        <v>0.88541666666666663</v>
      </c>
      <c r="S730" s="6">
        <f t="shared" si="33"/>
        <v>16.25</v>
      </c>
      <c r="T730" s="5">
        <f t="shared" si="34"/>
        <v>9.8442495648084258E-2</v>
      </c>
      <c r="U730" s="3">
        <v>2.21</v>
      </c>
      <c r="V730" s="5">
        <f t="shared" si="35"/>
        <v>4.4544115677866182E-2</v>
      </c>
      <c r="W730" s="3">
        <v>4.4544115677866182E-2</v>
      </c>
    </row>
    <row r="731" spans="1:23" x14ac:dyDescent="0.55000000000000004">
      <c r="A731" s="3">
        <v>61</v>
      </c>
      <c r="B731" s="3" t="s">
        <v>53</v>
      </c>
      <c r="C731" s="3" t="s">
        <v>50</v>
      </c>
      <c r="D731" s="3" t="s">
        <v>11</v>
      </c>
      <c r="E731" s="2" t="s">
        <v>14</v>
      </c>
      <c r="F731" s="3">
        <v>10</v>
      </c>
      <c r="G731" s="4">
        <v>21.9</v>
      </c>
      <c r="H731" s="4">
        <v>103.4</v>
      </c>
      <c r="I731" s="6">
        <v>8.6314486958240373</v>
      </c>
      <c r="J731" s="5">
        <v>4.3999999999999997E-2</v>
      </c>
      <c r="K731" s="4">
        <v>19.8</v>
      </c>
      <c r="L731" s="4">
        <v>81.2</v>
      </c>
      <c r="M731" s="6">
        <v>7.0653927689541387</v>
      </c>
      <c r="N731" s="5">
        <v>4.2000000000000003E-2</v>
      </c>
      <c r="O731" s="5">
        <v>1.5660559268698986</v>
      </c>
      <c r="P731" s="5">
        <v>1.5660559268698986</v>
      </c>
      <c r="Q731" s="8">
        <v>0.20555555555555557</v>
      </c>
      <c r="R731" s="8">
        <v>0.86805555555555547</v>
      </c>
      <c r="S731" s="6">
        <f t="shared" si="33"/>
        <v>15.899999999999997</v>
      </c>
      <c r="T731" s="5">
        <f t="shared" si="34"/>
        <v>9.8494083450937034E-2</v>
      </c>
      <c r="U731" s="3">
        <v>2.21</v>
      </c>
      <c r="V731" s="5">
        <f t="shared" si="35"/>
        <v>4.4567458575084637E-2</v>
      </c>
      <c r="W731" s="3">
        <v>4.4567458575084637E-2</v>
      </c>
    </row>
    <row r="732" spans="1:23" x14ac:dyDescent="0.55000000000000004">
      <c r="A732" s="3">
        <v>38</v>
      </c>
      <c r="B732" s="3" t="s">
        <v>51</v>
      </c>
      <c r="C732" s="3" t="s">
        <v>49</v>
      </c>
      <c r="D732" s="3" t="s">
        <v>39</v>
      </c>
      <c r="E732" s="2" t="s">
        <v>19</v>
      </c>
      <c r="F732" s="3">
        <v>26</v>
      </c>
      <c r="G732" s="4">
        <v>23.9</v>
      </c>
      <c r="H732" s="4">
        <v>92.4</v>
      </c>
      <c r="I732" s="6">
        <v>7.4229599703675717</v>
      </c>
      <c r="J732" s="5">
        <v>3.5999999999999997E-2</v>
      </c>
      <c r="K732" s="4">
        <v>22.9</v>
      </c>
      <c r="L732" s="4">
        <v>71.099999999999994</v>
      </c>
      <c r="M732" s="6">
        <v>5.8216294749129771</v>
      </c>
      <c r="N732" s="5">
        <v>3.4000000000000002E-2</v>
      </c>
      <c r="O732" s="5">
        <v>1.6013304954545946</v>
      </c>
      <c r="P732" s="5">
        <v>1.6013304954545946</v>
      </c>
      <c r="Q732" s="8">
        <v>0.20833333333333334</v>
      </c>
      <c r="R732" s="8">
        <v>0.88541666666666663</v>
      </c>
      <c r="S732" s="6">
        <f t="shared" si="33"/>
        <v>16.25</v>
      </c>
      <c r="T732" s="5">
        <f t="shared" si="34"/>
        <v>9.8543415104898127E-2</v>
      </c>
      <c r="U732" s="3">
        <v>2.21</v>
      </c>
      <c r="V732" s="5">
        <f t="shared" si="35"/>
        <v>4.4589780590451641E-2</v>
      </c>
      <c r="W732" s="3">
        <v>4.4589780590451641E-2</v>
      </c>
    </row>
    <row r="733" spans="1:23" x14ac:dyDescent="0.55000000000000004">
      <c r="A733" s="3">
        <v>27</v>
      </c>
      <c r="B733" s="3" t="s">
        <v>48</v>
      </c>
      <c r="C733" s="3" t="s">
        <v>50</v>
      </c>
      <c r="D733" s="3" t="s">
        <v>10</v>
      </c>
      <c r="E733" s="2" t="s">
        <v>13</v>
      </c>
      <c r="F733" s="3">
        <v>8</v>
      </c>
      <c r="G733" s="4">
        <v>22</v>
      </c>
      <c r="H733" s="4">
        <v>118.3</v>
      </c>
      <c r="I733" s="6">
        <v>9.8560670404612853</v>
      </c>
      <c r="J733" s="5">
        <v>0.04</v>
      </c>
      <c r="K733" s="4">
        <v>19.399999999999999</v>
      </c>
      <c r="L733" s="4">
        <v>94.7</v>
      </c>
      <c r="M733" s="6">
        <v>8.3066537987635769</v>
      </c>
      <c r="N733" s="5">
        <v>3.6999999999999998E-2</v>
      </c>
      <c r="O733" s="5">
        <v>1.5494132416977084</v>
      </c>
      <c r="P733" s="5">
        <v>1.5494132416977084</v>
      </c>
      <c r="Q733" s="8">
        <v>0.20833333333333334</v>
      </c>
      <c r="R733" s="8">
        <v>0.86319444444444438</v>
      </c>
      <c r="S733" s="6">
        <f t="shared" si="33"/>
        <v>15.716666666666665</v>
      </c>
      <c r="T733" s="5">
        <f t="shared" si="34"/>
        <v>9.8584087488719524E-2</v>
      </c>
      <c r="U733" s="3">
        <v>2.21</v>
      </c>
      <c r="V733" s="5">
        <f t="shared" si="35"/>
        <v>4.4608184384035986E-2</v>
      </c>
      <c r="W733" s="3">
        <v>4.4608184384035986E-2</v>
      </c>
    </row>
    <row r="734" spans="1:23" x14ac:dyDescent="0.55000000000000004">
      <c r="A734" s="3">
        <v>22</v>
      </c>
      <c r="B734" s="3" t="s">
        <v>48</v>
      </c>
      <c r="C734" s="3" t="s">
        <v>49</v>
      </c>
      <c r="D734" s="3" t="s">
        <v>38</v>
      </c>
      <c r="E734" s="3" t="s">
        <v>34</v>
      </c>
      <c r="F734" s="3">
        <v>79</v>
      </c>
      <c r="G734" s="4">
        <v>28.1</v>
      </c>
      <c r="H734" s="4">
        <v>61.5</v>
      </c>
      <c r="I734" s="6">
        <v>4.5736441416526965</v>
      </c>
      <c r="J734" s="5">
        <v>8.6999999999999994E-2</v>
      </c>
      <c r="K734" s="4">
        <v>24.7</v>
      </c>
      <c r="L734" s="4">
        <v>37.5</v>
      </c>
      <c r="M734" s="6">
        <v>2.9675867130312774</v>
      </c>
      <c r="N734" s="5">
        <v>8.2000000000000003E-2</v>
      </c>
      <c r="O734" s="5">
        <v>1.6060574286214191</v>
      </c>
      <c r="P734" s="5">
        <v>1.6060574286214191</v>
      </c>
      <c r="Q734" s="8">
        <v>0.20833333333333334</v>
      </c>
      <c r="R734" s="8">
        <v>0.88541666666666663</v>
      </c>
      <c r="S734" s="6">
        <f t="shared" si="33"/>
        <v>16.25</v>
      </c>
      <c r="T734" s="5">
        <f t="shared" si="34"/>
        <v>9.883430329977963E-2</v>
      </c>
      <c r="U734" s="3">
        <v>2.21</v>
      </c>
      <c r="V734" s="5">
        <f t="shared" si="35"/>
        <v>4.472140420804508E-2</v>
      </c>
      <c r="W734" s="3">
        <v>4.472140420804508E-2</v>
      </c>
    </row>
    <row r="735" spans="1:23" x14ac:dyDescent="0.55000000000000004">
      <c r="A735" s="3">
        <v>27</v>
      </c>
      <c r="B735" s="3" t="s">
        <v>48</v>
      </c>
      <c r="C735" s="3" t="s">
        <v>50</v>
      </c>
      <c r="D735" s="3" t="s">
        <v>10</v>
      </c>
      <c r="E735" s="2" t="s">
        <v>16</v>
      </c>
      <c r="F735" s="3">
        <v>16</v>
      </c>
      <c r="G735" s="4">
        <v>20.9</v>
      </c>
      <c r="H735" s="4">
        <v>90.4</v>
      </c>
      <c r="I735" s="6">
        <v>7.6955886713515431</v>
      </c>
      <c r="J735" s="5">
        <v>4.4999999999999998E-2</v>
      </c>
      <c r="K735" s="4">
        <v>19.7</v>
      </c>
      <c r="L735" s="4">
        <v>70.3</v>
      </c>
      <c r="M735" s="6">
        <v>6.1292537734837529</v>
      </c>
      <c r="N735" s="5">
        <v>4.4999999999999998E-2</v>
      </c>
      <c r="O735" s="5">
        <v>1.5663348978677902</v>
      </c>
      <c r="P735" s="5">
        <v>1.5663348978677902</v>
      </c>
      <c r="Q735" s="8">
        <v>0.20833333333333334</v>
      </c>
      <c r="R735" s="8">
        <v>0.86805555555555547</v>
      </c>
      <c r="S735" s="6">
        <f t="shared" si="33"/>
        <v>15.83333333333333</v>
      </c>
      <c r="T735" s="5">
        <f t="shared" si="34"/>
        <v>9.8926414602176244E-2</v>
      </c>
      <c r="U735" s="3">
        <v>2.21</v>
      </c>
      <c r="V735" s="5">
        <f t="shared" si="35"/>
        <v>4.4763083530396493E-2</v>
      </c>
      <c r="W735" s="3">
        <v>4.4763083530396493E-2</v>
      </c>
    </row>
    <row r="736" spans="1:23" x14ac:dyDescent="0.55000000000000004">
      <c r="A736" s="3">
        <v>47</v>
      </c>
      <c r="B736" s="3" t="s">
        <v>52</v>
      </c>
      <c r="C736" s="3" t="s">
        <v>50</v>
      </c>
      <c r="D736" s="3" t="s">
        <v>12</v>
      </c>
      <c r="E736" s="2" t="s">
        <v>19</v>
      </c>
      <c r="F736" s="3">
        <v>26</v>
      </c>
      <c r="G736" s="4">
        <v>25.2</v>
      </c>
      <c r="H736" s="4">
        <v>93</v>
      </c>
      <c r="I736" s="6">
        <v>7.2913596397770357</v>
      </c>
      <c r="J736" s="5">
        <v>5.3999999999999999E-2</v>
      </c>
      <c r="K736" s="4">
        <v>22.3</v>
      </c>
      <c r="L736" s="4">
        <v>68.599999999999994</v>
      </c>
      <c r="M736" s="6">
        <v>5.6822135874739708</v>
      </c>
      <c r="N736" s="5">
        <v>0.05</v>
      </c>
      <c r="O736" s="5">
        <v>1.609146052303065</v>
      </c>
      <c r="P736" s="5">
        <v>1.609146052303065</v>
      </c>
      <c r="Q736" s="8">
        <v>0.20833333333333334</v>
      </c>
      <c r="R736" s="8">
        <v>0.88541666666666663</v>
      </c>
      <c r="S736" s="6">
        <f t="shared" si="33"/>
        <v>16.25</v>
      </c>
      <c r="T736" s="5">
        <f t="shared" si="34"/>
        <v>9.9024372449419376E-2</v>
      </c>
      <c r="U736" s="3">
        <v>2.21</v>
      </c>
      <c r="V736" s="5">
        <f t="shared" si="35"/>
        <v>4.4807408348153568E-2</v>
      </c>
      <c r="W736" s="3">
        <v>4.4807408348153568E-2</v>
      </c>
    </row>
    <row r="737" spans="1:23" x14ac:dyDescent="0.55000000000000004">
      <c r="A737" s="3">
        <v>25</v>
      </c>
      <c r="B737" s="3" t="s">
        <v>53</v>
      </c>
      <c r="C737" s="3" t="s">
        <v>49</v>
      </c>
      <c r="D737" s="3" t="s">
        <v>41</v>
      </c>
      <c r="E737" s="2" t="s">
        <v>18</v>
      </c>
      <c r="F737" s="3">
        <v>24</v>
      </c>
      <c r="G737" s="4">
        <v>22.5</v>
      </c>
      <c r="H737" s="4">
        <v>106.4</v>
      </c>
      <c r="I737" s="6">
        <v>8.779250824753051</v>
      </c>
      <c r="J737" s="5">
        <v>4.2999999999999997E-2</v>
      </c>
      <c r="K737" s="4">
        <v>19.7</v>
      </c>
      <c r="L737" s="4">
        <v>82.4</v>
      </c>
      <c r="M737" s="6">
        <v>7.1842177942398484</v>
      </c>
      <c r="N737" s="5">
        <v>4.1000000000000002E-2</v>
      </c>
      <c r="O737" s="5">
        <v>1.5950330305132026</v>
      </c>
      <c r="P737" s="5">
        <v>1.5950330305132026</v>
      </c>
      <c r="Q737" s="8">
        <v>0.21180555555555555</v>
      </c>
      <c r="R737" s="8">
        <v>0.88194444444444453</v>
      </c>
      <c r="S737" s="6">
        <f t="shared" si="33"/>
        <v>16.083333333333336</v>
      </c>
      <c r="T737" s="5">
        <f t="shared" si="34"/>
        <v>9.9173038166623984E-2</v>
      </c>
      <c r="U737" s="3">
        <v>2.21</v>
      </c>
      <c r="V737" s="5">
        <f t="shared" si="35"/>
        <v>4.4874677903449768E-2</v>
      </c>
      <c r="W737" s="3">
        <v>4.4874677903449768E-2</v>
      </c>
    </row>
    <row r="738" spans="1:23" x14ac:dyDescent="0.55000000000000004">
      <c r="A738" s="3">
        <v>32</v>
      </c>
      <c r="B738" s="3" t="s">
        <v>53</v>
      </c>
      <c r="C738" s="3" t="s">
        <v>50</v>
      </c>
      <c r="D738" s="3" t="s">
        <v>11</v>
      </c>
      <c r="E738" s="3" t="s">
        <v>35</v>
      </c>
      <c r="F738" s="3">
        <v>82</v>
      </c>
      <c r="G738" s="4">
        <v>31.5</v>
      </c>
      <c r="H738" s="4">
        <v>70.400000000000006</v>
      </c>
      <c r="I738" s="6">
        <v>4.9334222137399273</v>
      </c>
      <c r="J738" s="5">
        <v>6.8000000000000005E-2</v>
      </c>
      <c r="K738" s="4">
        <v>27.3</v>
      </c>
      <c r="L738" s="4">
        <v>44</v>
      </c>
      <c r="M738" s="6">
        <v>3.319551598043168</v>
      </c>
      <c r="N738" s="5">
        <v>6.7000000000000004E-2</v>
      </c>
      <c r="O738" s="5">
        <v>1.6138706156967593</v>
      </c>
      <c r="P738" s="5">
        <v>1.6138706156967593</v>
      </c>
      <c r="Q738" s="8">
        <v>0.20833333333333334</v>
      </c>
      <c r="R738" s="8">
        <v>0.88541666666666663</v>
      </c>
      <c r="S738" s="6">
        <f t="shared" si="33"/>
        <v>16.25</v>
      </c>
      <c r="T738" s="5">
        <f t="shared" si="34"/>
        <v>9.9315114812108266E-2</v>
      </c>
      <c r="U738" s="3">
        <v>2.21</v>
      </c>
      <c r="V738" s="5">
        <f t="shared" si="35"/>
        <v>4.4938965978329533E-2</v>
      </c>
      <c r="W738" s="3">
        <v>4.4938965978329533E-2</v>
      </c>
    </row>
    <row r="739" spans="1:23" x14ac:dyDescent="0.55000000000000004">
      <c r="A739" s="3">
        <v>58</v>
      </c>
      <c r="B739" s="3" t="s">
        <v>53</v>
      </c>
      <c r="C739" s="3" t="s">
        <v>49</v>
      </c>
      <c r="D739" s="3" t="s">
        <v>41</v>
      </c>
      <c r="E739" s="2" t="s">
        <v>21</v>
      </c>
      <c r="F739" s="3">
        <v>33</v>
      </c>
      <c r="G739" s="4">
        <v>29.4</v>
      </c>
      <c r="H739" s="4">
        <v>83</v>
      </c>
      <c r="I739" s="6">
        <v>6.0320358557627989</v>
      </c>
      <c r="J739" s="5">
        <v>5.8999999999999997E-2</v>
      </c>
      <c r="K739" s="4">
        <v>26.1</v>
      </c>
      <c r="L739" s="4">
        <v>57.4</v>
      </c>
      <c r="M739" s="6">
        <v>4.4261173726787995</v>
      </c>
      <c r="N739" s="5">
        <v>5.7000000000000002E-2</v>
      </c>
      <c r="O739" s="5">
        <v>1.6059184830839994</v>
      </c>
      <c r="P739" s="5">
        <v>1.6059184830839994</v>
      </c>
      <c r="Q739" s="8">
        <v>0.20833333333333334</v>
      </c>
      <c r="R739" s="8">
        <v>0.88194444444444453</v>
      </c>
      <c r="S739" s="6">
        <f t="shared" si="33"/>
        <v>16.166666666666668</v>
      </c>
      <c r="T739" s="5">
        <f t="shared" si="34"/>
        <v>9.9335163902103049E-2</v>
      </c>
      <c r="U739" s="3">
        <v>2.21</v>
      </c>
      <c r="V739" s="5">
        <f t="shared" si="35"/>
        <v>4.494803796475251E-2</v>
      </c>
      <c r="W739" s="3">
        <v>4.494803796475251E-2</v>
      </c>
    </row>
    <row r="740" spans="1:23" x14ac:dyDescent="0.55000000000000004">
      <c r="A740" s="3">
        <v>3</v>
      </c>
      <c r="B740" s="3" t="s">
        <v>51</v>
      </c>
      <c r="C740" s="3" t="s">
        <v>50</v>
      </c>
      <c r="D740" s="3" t="s">
        <v>9</v>
      </c>
      <c r="E740" s="2" t="s">
        <v>20</v>
      </c>
      <c r="F740" s="3">
        <v>30</v>
      </c>
      <c r="G740" s="4">
        <v>27.1</v>
      </c>
      <c r="H740" s="4">
        <v>94.6</v>
      </c>
      <c r="I740" s="6">
        <v>7.1628865931738828</v>
      </c>
      <c r="J740" s="5">
        <v>0.05</v>
      </c>
      <c r="K740" s="4">
        <v>23.8</v>
      </c>
      <c r="L740" s="4">
        <v>68.900000000000006</v>
      </c>
      <c r="M740" s="6">
        <v>5.5455691524176869</v>
      </c>
      <c r="N740" s="5">
        <v>4.7E-2</v>
      </c>
      <c r="O740" s="5">
        <v>1.6173174407561959</v>
      </c>
      <c r="P740" s="5">
        <v>1.6173174407561959</v>
      </c>
      <c r="Q740" s="8">
        <v>0.20833333333333334</v>
      </c>
      <c r="R740" s="8">
        <v>0.88541666666666663</v>
      </c>
      <c r="S740" s="6">
        <f t="shared" si="33"/>
        <v>16.25</v>
      </c>
      <c r="T740" s="5">
        <f t="shared" si="34"/>
        <v>9.9527227123458212E-2</v>
      </c>
      <c r="U740" s="3">
        <v>2.21</v>
      </c>
      <c r="V740" s="5">
        <f t="shared" si="35"/>
        <v>4.5034944399754848E-2</v>
      </c>
      <c r="W740" s="3">
        <v>4.5034944399754848E-2</v>
      </c>
    </row>
    <row r="741" spans="1:23" x14ac:dyDescent="0.55000000000000004">
      <c r="A741" s="3">
        <v>40</v>
      </c>
      <c r="B741" s="3" t="s">
        <v>48</v>
      </c>
      <c r="C741" s="3" t="s">
        <v>50</v>
      </c>
      <c r="D741" s="3" t="s">
        <v>10</v>
      </c>
      <c r="E741" s="2" t="s">
        <v>20</v>
      </c>
      <c r="F741" s="3">
        <v>30</v>
      </c>
      <c r="G741" s="4">
        <v>27.7</v>
      </c>
      <c r="H741" s="4">
        <v>85.1</v>
      </c>
      <c r="I741" s="6">
        <v>6.3742391647950081</v>
      </c>
      <c r="J741" s="5">
        <v>5.3999999999999999E-2</v>
      </c>
      <c r="K741" s="4">
        <v>23.8</v>
      </c>
      <c r="L741" s="4">
        <v>59.1</v>
      </c>
      <c r="M741" s="6">
        <v>4.7567944398822251</v>
      </c>
      <c r="N741" s="5">
        <v>4.9000000000000002E-2</v>
      </c>
      <c r="O741" s="5">
        <v>1.617444724912783</v>
      </c>
      <c r="P741" s="5">
        <v>1.617444724912783</v>
      </c>
      <c r="Q741" s="8">
        <v>0.20833333333333334</v>
      </c>
      <c r="R741" s="8">
        <v>0.88541666666666663</v>
      </c>
      <c r="S741" s="6">
        <f t="shared" si="33"/>
        <v>16.25</v>
      </c>
      <c r="T741" s="5">
        <f t="shared" si="34"/>
        <v>9.9535059994632802E-2</v>
      </c>
      <c r="U741" s="3">
        <v>2.21</v>
      </c>
      <c r="V741" s="5">
        <f t="shared" si="35"/>
        <v>4.5038488685354205E-2</v>
      </c>
      <c r="W741" s="3">
        <v>4.5038488685354205E-2</v>
      </c>
    </row>
    <row r="742" spans="1:23" x14ac:dyDescent="0.55000000000000004">
      <c r="A742" s="3">
        <v>26</v>
      </c>
      <c r="B742" s="3" t="s">
        <v>52</v>
      </c>
      <c r="C742" s="3" t="s">
        <v>50</v>
      </c>
      <c r="D742" s="3" t="s">
        <v>12</v>
      </c>
      <c r="E742" s="2" t="s">
        <v>20</v>
      </c>
      <c r="F742" s="3">
        <v>30</v>
      </c>
      <c r="G742" s="4">
        <v>27.3</v>
      </c>
      <c r="H742" s="4">
        <v>106</v>
      </c>
      <c r="I742" s="6">
        <v>7.9971015771039955</v>
      </c>
      <c r="J742" s="5">
        <v>4.8000000000000001E-2</v>
      </c>
      <c r="K742" s="4">
        <v>24.2</v>
      </c>
      <c r="L742" s="4">
        <v>79.8</v>
      </c>
      <c r="M742" s="6">
        <v>6.3745516857290294</v>
      </c>
      <c r="N742" s="5">
        <v>4.3999999999999997E-2</v>
      </c>
      <c r="O742" s="5">
        <v>1.6225498913749661</v>
      </c>
      <c r="P742" s="5">
        <v>1.6225498913749661</v>
      </c>
      <c r="Q742" s="8">
        <v>0.20833333333333334</v>
      </c>
      <c r="R742" s="8">
        <v>0.88541666666666663</v>
      </c>
      <c r="S742" s="6">
        <f t="shared" si="33"/>
        <v>16.25</v>
      </c>
      <c r="T742" s="5">
        <f t="shared" si="34"/>
        <v>9.9849224084613303E-2</v>
      </c>
      <c r="U742" s="3">
        <v>2.21</v>
      </c>
      <c r="V742" s="5">
        <f t="shared" si="35"/>
        <v>4.5180644382177962E-2</v>
      </c>
      <c r="W742" s="3">
        <v>4.5180644382177962E-2</v>
      </c>
    </row>
    <row r="743" spans="1:23" x14ac:dyDescent="0.55000000000000004">
      <c r="A743" s="3">
        <v>28</v>
      </c>
      <c r="B743" s="3" t="s">
        <v>53</v>
      </c>
      <c r="C743" s="3" t="s">
        <v>50</v>
      </c>
      <c r="D743" s="3" t="s">
        <v>11</v>
      </c>
      <c r="E743" s="2" t="s">
        <v>21</v>
      </c>
      <c r="F743" s="3">
        <v>33</v>
      </c>
      <c r="G743" s="4">
        <v>29.4</v>
      </c>
      <c r="H743" s="4">
        <v>82.3</v>
      </c>
      <c r="I743" s="6">
        <v>5.981163264208174</v>
      </c>
      <c r="J743" s="5">
        <v>6.7000000000000004E-2</v>
      </c>
      <c r="K743" s="4">
        <v>26.3</v>
      </c>
      <c r="L743" s="4">
        <v>56.8</v>
      </c>
      <c r="M743" s="6">
        <v>4.3638322700052266</v>
      </c>
      <c r="N743" s="5">
        <v>6.2E-2</v>
      </c>
      <c r="O743" s="5">
        <v>1.6173309942029475</v>
      </c>
      <c r="P743" s="5">
        <v>1.6173309942029475</v>
      </c>
      <c r="Q743" s="8">
        <v>0.20833333333333334</v>
      </c>
      <c r="R743" s="8">
        <v>0.88194444444444453</v>
      </c>
      <c r="S743" s="6">
        <f t="shared" si="33"/>
        <v>16.166666666666668</v>
      </c>
      <c r="T743" s="5">
        <f t="shared" si="34"/>
        <v>0.10004109242492458</v>
      </c>
      <c r="U743" s="3">
        <v>2.21</v>
      </c>
      <c r="V743" s="5">
        <f t="shared" si="35"/>
        <v>4.5267462635712477E-2</v>
      </c>
      <c r="W743" s="3">
        <v>4.5267462635712477E-2</v>
      </c>
    </row>
    <row r="744" spans="1:23" x14ac:dyDescent="0.55000000000000004">
      <c r="A744" s="3">
        <v>5</v>
      </c>
      <c r="B744" s="3" t="s">
        <v>48</v>
      </c>
      <c r="C744" s="3" t="s">
        <v>49</v>
      </c>
      <c r="D744" s="3" t="s">
        <v>38</v>
      </c>
      <c r="E744" s="3" t="s">
        <v>32</v>
      </c>
      <c r="F744" s="3">
        <v>72</v>
      </c>
      <c r="G744" s="4">
        <v>28.6</v>
      </c>
      <c r="H744" s="4">
        <v>76.900000000000006</v>
      </c>
      <c r="I744" s="6">
        <v>5.6682234417703112</v>
      </c>
      <c r="J744" s="5">
        <v>7.4999999999999997E-2</v>
      </c>
      <c r="K744" s="4">
        <v>24.1</v>
      </c>
      <c r="L744" s="4">
        <v>50.5</v>
      </c>
      <c r="M744" s="6">
        <v>4.041629091746155</v>
      </c>
      <c r="N744" s="5">
        <v>7.1999999999999995E-2</v>
      </c>
      <c r="O744" s="5">
        <v>1.6265943500241562</v>
      </c>
      <c r="P744" s="5">
        <v>1.6265943500241562</v>
      </c>
      <c r="Q744" s="8">
        <v>0.20833333333333334</v>
      </c>
      <c r="R744" s="8">
        <v>0.88541666666666663</v>
      </c>
      <c r="S744" s="6">
        <f t="shared" si="33"/>
        <v>16.25</v>
      </c>
      <c r="T744" s="5">
        <f t="shared" si="34"/>
        <v>0.10009811384764038</v>
      </c>
      <c r="U744" s="3">
        <v>2.21</v>
      </c>
      <c r="V744" s="5">
        <f t="shared" si="35"/>
        <v>4.5293264184452661E-2</v>
      </c>
      <c r="W744" s="3">
        <v>4.5293264184452661E-2</v>
      </c>
    </row>
    <row r="745" spans="1:23" x14ac:dyDescent="0.55000000000000004">
      <c r="A745" s="3">
        <v>50</v>
      </c>
      <c r="B745" s="3" t="s">
        <v>53</v>
      </c>
      <c r="C745" s="3" t="s">
        <v>50</v>
      </c>
      <c r="D745" s="3" t="s">
        <v>11</v>
      </c>
      <c r="E745" s="2" t="s">
        <v>16</v>
      </c>
      <c r="F745" s="3">
        <v>16</v>
      </c>
      <c r="G745" s="4">
        <v>21</v>
      </c>
      <c r="H745" s="4">
        <v>100.9</v>
      </c>
      <c r="I745" s="6">
        <v>8.5725091049103348</v>
      </c>
      <c r="J745" s="5">
        <v>0.04</v>
      </c>
      <c r="K745" s="4">
        <v>19.8</v>
      </c>
      <c r="L745" s="4">
        <v>80.3</v>
      </c>
      <c r="M745" s="6">
        <v>6.9870817653573569</v>
      </c>
      <c r="N745" s="5">
        <v>3.9E-2</v>
      </c>
      <c r="O745" s="5">
        <v>1.5854273395529779</v>
      </c>
      <c r="P745" s="5">
        <v>1.5854273395529779</v>
      </c>
      <c r="Q745" s="8">
        <v>0.20833333333333334</v>
      </c>
      <c r="R745" s="8">
        <v>0.86805555555555547</v>
      </c>
      <c r="S745" s="6">
        <f t="shared" si="33"/>
        <v>15.83333333333333</v>
      </c>
      <c r="T745" s="5">
        <f t="shared" si="34"/>
        <v>0.10013225302439863</v>
      </c>
      <c r="U745" s="3">
        <v>2.21</v>
      </c>
      <c r="V745" s="5">
        <f t="shared" si="35"/>
        <v>4.5308711775745983E-2</v>
      </c>
      <c r="W745" s="3">
        <v>4.5308711775745983E-2</v>
      </c>
    </row>
    <row r="746" spans="1:23" x14ac:dyDescent="0.55000000000000004">
      <c r="A746" s="3">
        <v>34</v>
      </c>
      <c r="B746" s="3" t="s">
        <v>48</v>
      </c>
      <c r="C746" s="3" t="s">
        <v>50</v>
      </c>
      <c r="D746" s="3" t="s">
        <v>10</v>
      </c>
      <c r="E746" s="3" t="s">
        <v>33</v>
      </c>
      <c r="F746" s="3">
        <v>75</v>
      </c>
      <c r="G746" s="4">
        <v>27.8</v>
      </c>
      <c r="H746" s="4">
        <v>79.5</v>
      </c>
      <c r="I746" s="6">
        <v>5.9441054711936632</v>
      </c>
      <c r="J746" s="5">
        <v>6.8000000000000005E-2</v>
      </c>
      <c r="K746" s="4">
        <v>23.8</v>
      </c>
      <c r="L746" s="4">
        <v>53.6</v>
      </c>
      <c r="M746" s="6">
        <v>4.3141147542755878</v>
      </c>
      <c r="N746" s="5">
        <v>6.2E-2</v>
      </c>
      <c r="O746" s="5">
        <v>1.6299907169180754</v>
      </c>
      <c r="P746" s="5">
        <v>1.6299907169180754</v>
      </c>
      <c r="Q746" s="8">
        <v>0.20833333333333334</v>
      </c>
      <c r="R746" s="8">
        <v>0.88541666666666663</v>
      </c>
      <c r="S746" s="6">
        <f t="shared" si="33"/>
        <v>16.25</v>
      </c>
      <c r="T746" s="5">
        <f t="shared" si="34"/>
        <v>0.10030712104111233</v>
      </c>
      <c r="U746" s="3">
        <v>2.21</v>
      </c>
      <c r="V746" s="5">
        <f t="shared" si="35"/>
        <v>4.5387837575163958E-2</v>
      </c>
      <c r="W746" s="3">
        <v>4.5387837575163958E-2</v>
      </c>
    </row>
    <row r="747" spans="1:23" x14ac:dyDescent="0.55000000000000004">
      <c r="A747" s="3">
        <v>20</v>
      </c>
      <c r="B747" s="3" t="s">
        <v>52</v>
      </c>
      <c r="C747" s="3" t="s">
        <v>50</v>
      </c>
      <c r="D747" s="3" t="s">
        <v>12</v>
      </c>
      <c r="E747" s="2" t="s">
        <v>20</v>
      </c>
      <c r="F747" s="3">
        <v>30</v>
      </c>
      <c r="G747" s="4">
        <v>27.1</v>
      </c>
      <c r="H747" s="4">
        <v>98.2</v>
      </c>
      <c r="I747" s="6">
        <v>7.4354700153242632</v>
      </c>
      <c r="J747" s="5">
        <v>4.3999999999999997E-2</v>
      </c>
      <c r="K747" s="4">
        <v>23.8</v>
      </c>
      <c r="L747" s="4">
        <v>72.099999999999994</v>
      </c>
      <c r="M747" s="6">
        <v>5.803128242225184</v>
      </c>
      <c r="N747" s="5">
        <v>4.1000000000000002E-2</v>
      </c>
      <c r="O747" s="5">
        <v>1.6323417730990792</v>
      </c>
      <c r="P747" s="5">
        <v>1.6323417730990792</v>
      </c>
      <c r="Q747" s="8">
        <v>0.20833333333333334</v>
      </c>
      <c r="R747" s="8">
        <v>0.88541666666666663</v>
      </c>
      <c r="S747" s="6">
        <f t="shared" si="33"/>
        <v>16.25</v>
      </c>
      <c r="T747" s="5">
        <f t="shared" si="34"/>
        <v>0.1004518014214818</v>
      </c>
      <c r="U747" s="3">
        <v>2.21</v>
      </c>
      <c r="V747" s="5">
        <f t="shared" si="35"/>
        <v>4.5453303810625248E-2</v>
      </c>
      <c r="W747" s="3">
        <v>4.5453303810625248E-2</v>
      </c>
    </row>
    <row r="748" spans="1:23" x14ac:dyDescent="0.55000000000000004">
      <c r="A748" s="3">
        <v>3</v>
      </c>
      <c r="B748" s="3" t="s">
        <v>51</v>
      </c>
      <c r="C748" s="3" t="s">
        <v>50</v>
      </c>
      <c r="D748" s="3" t="s">
        <v>9</v>
      </c>
      <c r="E748" s="3" t="s">
        <v>31</v>
      </c>
      <c r="F748" s="3">
        <v>68</v>
      </c>
      <c r="G748" s="4">
        <v>25.2</v>
      </c>
      <c r="H748" s="4">
        <v>70.7</v>
      </c>
      <c r="I748" s="6">
        <v>5.5430013605616821</v>
      </c>
      <c r="J748" s="5">
        <v>5.8000000000000003E-2</v>
      </c>
      <c r="K748" s="4">
        <v>24.1</v>
      </c>
      <c r="L748" s="4">
        <v>48.8</v>
      </c>
      <c r="M748" s="6">
        <v>3.9055742510339075</v>
      </c>
      <c r="N748" s="5">
        <v>5.8000000000000003E-2</v>
      </c>
      <c r="O748" s="5">
        <v>1.6374271095277746</v>
      </c>
      <c r="P748" s="5">
        <v>1.6374271095277746</v>
      </c>
      <c r="Q748" s="8">
        <v>0.20833333333333334</v>
      </c>
      <c r="R748" s="8">
        <v>0.88541666666666663</v>
      </c>
      <c r="S748" s="6">
        <f t="shared" si="33"/>
        <v>16.25</v>
      </c>
      <c r="T748" s="5">
        <f t="shared" si="34"/>
        <v>0.10076474520170921</v>
      </c>
      <c r="U748" s="3">
        <v>2.21</v>
      </c>
      <c r="V748" s="5">
        <f t="shared" si="35"/>
        <v>4.5594907331090138E-2</v>
      </c>
      <c r="W748" s="3">
        <v>4.5594907331090138E-2</v>
      </c>
    </row>
    <row r="749" spans="1:23" x14ac:dyDescent="0.55000000000000004">
      <c r="A749" s="3">
        <v>5</v>
      </c>
      <c r="B749" s="3" t="s">
        <v>48</v>
      </c>
      <c r="C749" s="3" t="s">
        <v>49</v>
      </c>
      <c r="D749" s="3" t="s">
        <v>38</v>
      </c>
      <c r="E749" s="3" t="s">
        <v>27</v>
      </c>
      <c r="F749" s="3">
        <v>54</v>
      </c>
      <c r="G749" s="4">
        <v>27.4</v>
      </c>
      <c r="H749" s="4">
        <v>86.6</v>
      </c>
      <c r="I749" s="6">
        <v>6.521704270174487</v>
      </c>
      <c r="J749" s="5">
        <v>7.2999999999999995E-2</v>
      </c>
      <c r="K749" s="4">
        <v>24.2</v>
      </c>
      <c r="L749" s="4">
        <v>60.8</v>
      </c>
      <c r="M749" s="6">
        <v>4.856801284364975</v>
      </c>
      <c r="N749" s="5">
        <v>6.9000000000000006E-2</v>
      </c>
      <c r="O749" s="5">
        <v>1.6649029858095119</v>
      </c>
      <c r="P749" s="5">
        <v>1.6649029858095119</v>
      </c>
      <c r="Q749" s="8">
        <v>0.20833333333333334</v>
      </c>
      <c r="R749" s="8">
        <v>0.89583333333333337</v>
      </c>
      <c r="S749" s="6">
        <f t="shared" si="33"/>
        <v>16.5</v>
      </c>
      <c r="T749" s="5">
        <f t="shared" si="34"/>
        <v>0.10090321126118254</v>
      </c>
      <c r="U749" s="3">
        <v>2.21</v>
      </c>
      <c r="V749" s="5">
        <f t="shared" si="35"/>
        <v>4.5657561656643683E-2</v>
      </c>
      <c r="W749" s="3">
        <v>4.5657561656643683E-2</v>
      </c>
    </row>
    <row r="750" spans="1:23" x14ac:dyDescent="0.55000000000000004">
      <c r="A750" s="3">
        <v>1</v>
      </c>
      <c r="B750" s="3" t="s">
        <v>51</v>
      </c>
      <c r="C750" s="3" t="s">
        <v>49</v>
      </c>
      <c r="D750" s="3" t="s">
        <v>39</v>
      </c>
      <c r="E750" s="2" t="s">
        <v>17</v>
      </c>
      <c r="F750" s="3">
        <v>19</v>
      </c>
      <c r="G750" s="4">
        <v>22.2</v>
      </c>
      <c r="H750" s="4">
        <v>87.7</v>
      </c>
      <c r="I750" s="6">
        <v>7.2783618527518339</v>
      </c>
      <c r="J750" s="5">
        <v>0.03</v>
      </c>
      <c r="K750" s="4">
        <v>17.3</v>
      </c>
      <c r="L750" s="4">
        <v>61.6</v>
      </c>
      <c r="M750" s="6">
        <v>5.6410878544932537</v>
      </c>
      <c r="N750" s="5">
        <v>2.7E-2</v>
      </c>
      <c r="O750" s="5">
        <v>1.6372739982585802</v>
      </c>
      <c r="P750" s="5">
        <v>1.6372739982585802</v>
      </c>
      <c r="Q750" s="8">
        <v>0.19930555555555554</v>
      </c>
      <c r="R750" s="8">
        <v>0.875</v>
      </c>
      <c r="S750" s="6">
        <f t="shared" si="33"/>
        <v>16.216666666666669</v>
      </c>
      <c r="T750" s="5">
        <f t="shared" si="34"/>
        <v>0.10096242538079631</v>
      </c>
      <c r="U750" s="3">
        <v>2.21</v>
      </c>
      <c r="V750" s="5">
        <f t="shared" si="35"/>
        <v>4.5684355375925925E-2</v>
      </c>
      <c r="W750" s="3">
        <v>4.5684355375925925E-2</v>
      </c>
    </row>
    <row r="751" spans="1:23" x14ac:dyDescent="0.55000000000000004">
      <c r="A751" s="3">
        <v>52</v>
      </c>
      <c r="B751" s="3" t="s">
        <v>48</v>
      </c>
      <c r="C751" s="3" t="s">
        <v>49</v>
      </c>
      <c r="D751" s="3" t="s">
        <v>38</v>
      </c>
      <c r="E751" s="2" t="s">
        <v>20</v>
      </c>
      <c r="F751" s="3">
        <v>30</v>
      </c>
      <c r="G751" s="4">
        <v>26.9</v>
      </c>
      <c r="H751" s="4">
        <v>73.3</v>
      </c>
      <c r="I751" s="6">
        <v>5.5702576183843506</v>
      </c>
      <c r="J751" s="5">
        <v>4.5999999999999999E-2</v>
      </c>
      <c r="K751" s="4">
        <v>23.5</v>
      </c>
      <c r="L751" s="4">
        <v>48.5</v>
      </c>
      <c r="M751" s="6">
        <v>3.9259144785027629</v>
      </c>
      <c r="N751" s="5">
        <v>4.3999999999999997E-2</v>
      </c>
      <c r="O751" s="5">
        <v>1.6443431398815878</v>
      </c>
      <c r="P751" s="5">
        <v>1.6443431398815878</v>
      </c>
      <c r="Q751" s="8">
        <v>0.20833333333333334</v>
      </c>
      <c r="R751" s="8">
        <v>0.88541666666666663</v>
      </c>
      <c r="S751" s="6">
        <f t="shared" si="33"/>
        <v>16.25</v>
      </c>
      <c r="T751" s="5">
        <f t="shared" si="34"/>
        <v>0.10119034706963617</v>
      </c>
      <c r="U751" s="3">
        <v>2.21</v>
      </c>
      <c r="V751" s="5">
        <f t="shared" si="35"/>
        <v>4.5787487361826321E-2</v>
      </c>
      <c r="W751" s="3">
        <v>4.5787487361826321E-2</v>
      </c>
    </row>
    <row r="752" spans="1:23" x14ac:dyDescent="0.55000000000000004">
      <c r="A752" s="3">
        <v>42</v>
      </c>
      <c r="B752" s="3" t="s">
        <v>53</v>
      </c>
      <c r="C752" s="3" t="s">
        <v>49</v>
      </c>
      <c r="D752" s="3" t="s">
        <v>41</v>
      </c>
      <c r="E752" s="2" t="s">
        <v>20</v>
      </c>
      <c r="F752" s="3">
        <v>30</v>
      </c>
      <c r="G752" s="4">
        <v>27.5</v>
      </c>
      <c r="H752" s="4">
        <v>84.7</v>
      </c>
      <c r="I752" s="6">
        <v>6.3671358677311138</v>
      </c>
      <c r="J752" s="5">
        <v>5.3999999999999999E-2</v>
      </c>
      <c r="K752" s="4">
        <v>23.3</v>
      </c>
      <c r="L752" s="4">
        <v>58.1</v>
      </c>
      <c r="M752" s="6">
        <v>4.7209474127838851</v>
      </c>
      <c r="N752" s="5">
        <v>5.1999999999999998E-2</v>
      </c>
      <c r="O752" s="5">
        <v>1.6461884549472288</v>
      </c>
      <c r="P752" s="5">
        <v>1.6461884549472288</v>
      </c>
      <c r="Q752" s="8">
        <v>0.20833333333333334</v>
      </c>
      <c r="R752" s="8">
        <v>0.88541666666666663</v>
      </c>
      <c r="S752" s="6">
        <f t="shared" si="33"/>
        <v>16.25</v>
      </c>
      <c r="T752" s="5">
        <f t="shared" si="34"/>
        <v>0.10130390491982946</v>
      </c>
      <c r="U752" s="3">
        <v>2.21</v>
      </c>
      <c r="V752" s="5">
        <f t="shared" si="35"/>
        <v>4.5838871004447723E-2</v>
      </c>
      <c r="W752" s="3">
        <v>4.5838871004447723E-2</v>
      </c>
    </row>
    <row r="753" spans="1:23" x14ac:dyDescent="0.55000000000000004">
      <c r="A753" s="3">
        <v>21</v>
      </c>
      <c r="B753" s="3" t="s">
        <v>48</v>
      </c>
      <c r="C753" s="3" t="s">
        <v>49</v>
      </c>
      <c r="D753" s="3" t="s">
        <v>38</v>
      </c>
      <c r="E753" s="3" t="s">
        <v>27</v>
      </c>
      <c r="F753" s="3">
        <v>54</v>
      </c>
      <c r="G753" s="4">
        <v>27.2</v>
      </c>
      <c r="H753" s="4">
        <v>79.400000000000006</v>
      </c>
      <c r="I753" s="6">
        <v>6.0011132813196024</v>
      </c>
      <c r="J753" s="5">
        <v>7.9000000000000001E-2</v>
      </c>
      <c r="K753" s="4">
        <v>24.2</v>
      </c>
      <c r="L753" s="4">
        <v>54.2</v>
      </c>
      <c r="M753" s="6">
        <v>4.3295827238911464</v>
      </c>
      <c r="N753" s="5">
        <v>7.9000000000000001E-2</v>
      </c>
      <c r="O753" s="5">
        <v>1.671530557428456</v>
      </c>
      <c r="P753" s="5">
        <v>1.671530557428456</v>
      </c>
      <c r="Q753" s="8">
        <v>0.20833333333333334</v>
      </c>
      <c r="R753" s="8">
        <v>0.89583333333333337</v>
      </c>
      <c r="S753" s="6">
        <f t="shared" si="33"/>
        <v>16.5</v>
      </c>
      <c r="T753" s="5">
        <f t="shared" si="34"/>
        <v>0.10130488226839128</v>
      </c>
      <c r="U753" s="3">
        <v>2.21</v>
      </c>
      <c r="V753" s="5">
        <f t="shared" si="35"/>
        <v>4.5839313243615967E-2</v>
      </c>
      <c r="W753" s="3">
        <v>4.5839313243615967E-2</v>
      </c>
    </row>
    <row r="754" spans="1:23" x14ac:dyDescent="0.55000000000000004">
      <c r="A754" s="3">
        <v>11</v>
      </c>
      <c r="B754" s="3" t="s">
        <v>53</v>
      </c>
      <c r="C754" s="3" t="s">
        <v>49</v>
      </c>
      <c r="D754" s="3" t="s">
        <v>41</v>
      </c>
      <c r="E754" s="3" t="s">
        <v>26</v>
      </c>
      <c r="F754" s="3">
        <v>51</v>
      </c>
      <c r="G754" s="4">
        <v>27.2</v>
      </c>
      <c r="H754" s="4">
        <v>76</v>
      </c>
      <c r="I754" s="6">
        <v>5.7441386571824911</v>
      </c>
      <c r="J754" s="5">
        <v>7.0999999999999994E-2</v>
      </c>
      <c r="K754" s="4">
        <v>24.3</v>
      </c>
      <c r="L754" s="4">
        <v>51.7</v>
      </c>
      <c r="M754" s="6">
        <v>4.1221151086336469</v>
      </c>
      <c r="N754" s="5">
        <v>6.9000000000000006E-2</v>
      </c>
      <c r="O754" s="5">
        <v>1.6220235485488441</v>
      </c>
      <c r="P754" s="5">
        <v>1.6220235485488441</v>
      </c>
      <c r="Q754" s="8">
        <v>0.20833333333333334</v>
      </c>
      <c r="R754" s="8">
        <v>0.875</v>
      </c>
      <c r="S754" s="6">
        <f t="shared" si="33"/>
        <v>16</v>
      </c>
      <c r="T754" s="5">
        <f t="shared" si="34"/>
        <v>0.10137647178430276</v>
      </c>
      <c r="U754" s="3">
        <v>2.21</v>
      </c>
      <c r="V754" s="5">
        <f t="shared" si="35"/>
        <v>4.5871706689729758E-2</v>
      </c>
      <c r="W754" s="3">
        <v>4.5871706689729758E-2</v>
      </c>
    </row>
    <row r="755" spans="1:23" x14ac:dyDescent="0.55000000000000004">
      <c r="A755" s="3">
        <v>47</v>
      </c>
      <c r="B755" s="3" t="s">
        <v>52</v>
      </c>
      <c r="C755" s="3" t="s">
        <v>50</v>
      </c>
      <c r="D755" s="3" t="s">
        <v>12</v>
      </c>
      <c r="E755" s="2" t="s">
        <v>20</v>
      </c>
      <c r="F755" s="3">
        <v>30</v>
      </c>
      <c r="G755" s="4">
        <v>27.1</v>
      </c>
      <c r="H755" s="4">
        <v>94.3</v>
      </c>
      <c r="I755" s="6">
        <v>7.1401713079946845</v>
      </c>
      <c r="J755" s="5">
        <v>6.2E-2</v>
      </c>
      <c r="K755" s="4">
        <v>23.7</v>
      </c>
      <c r="L755" s="4">
        <v>68.099999999999994</v>
      </c>
      <c r="M755" s="6">
        <v>5.4915750481822094</v>
      </c>
      <c r="N755" s="5">
        <v>5.8000000000000003E-2</v>
      </c>
      <c r="O755" s="5">
        <v>1.648596259812475</v>
      </c>
      <c r="P755" s="5">
        <v>1.648596259812475</v>
      </c>
      <c r="Q755" s="8">
        <v>0.20833333333333334</v>
      </c>
      <c r="R755" s="8">
        <v>0.88541666666666663</v>
      </c>
      <c r="S755" s="6">
        <f t="shared" si="33"/>
        <v>16.25</v>
      </c>
      <c r="T755" s="5">
        <f t="shared" si="34"/>
        <v>0.10145207752692154</v>
      </c>
      <c r="U755" s="3">
        <v>2.21</v>
      </c>
      <c r="V755" s="5">
        <f t="shared" si="35"/>
        <v>4.5905917432996171E-2</v>
      </c>
      <c r="W755" s="3">
        <v>4.5905917432996171E-2</v>
      </c>
    </row>
    <row r="756" spans="1:23" x14ac:dyDescent="0.55000000000000004">
      <c r="A756" s="3">
        <v>42</v>
      </c>
      <c r="B756" s="3" t="s">
        <v>53</v>
      </c>
      <c r="C756" s="3" t="s">
        <v>49</v>
      </c>
      <c r="D756" s="3" t="s">
        <v>41</v>
      </c>
      <c r="E756" s="3" t="s">
        <v>27</v>
      </c>
      <c r="F756" s="3">
        <v>54</v>
      </c>
      <c r="G756" s="4">
        <v>27.3</v>
      </c>
      <c r="H756" s="4">
        <v>76.400000000000006</v>
      </c>
      <c r="I756" s="6">
        <v>5.763948683874955</v>
      </c>
      <c r="J756" s="5">
        <v>6.4000000000000001E-2</v>
      </c>
      <c r="K756" s="4">
        <v>24.2</v>
      </c>
      <c r="L756" s="4">
        <v>51.2</v>
      </c>
      <c r="M756" s="6">
        <v>4.0899379236757687</v>
      </c>
      <c r="N756" s="5">
        <v>6.5000000000000002E-2</v>
      </c>
      <c r="O756" s="5">
        <v>1.6740107601991863</v>
      </c>
      <c r="P756" s="5">
        <v>1.6740107601991863</v>
      </c>
      <c r="Q756" s="8">
        <v>0.20833333333333334</v>
      </c>
      <c r="R756" s="8">
        <v>0.89583333333333337</v>
      </c>
      <c r="S756" s="6">
        <f t="shared" si="33"/>
        <v>16.5</v>
      </c>
      <c r="T756" s="5">
        <f t="shared" si="34"/>
        <v>0.10145519758782948</v>
      </c>
      <c r="U756" s="3">
        <v>2.21</v>
      </c>
      <c r="V756" s="5">
        <f t="shared" si="35"/>
        <v>4.5907329225262201E-2</v>
      </c>
      <c r="W756" s="3">
        <v>4.5907329225262201E-2</v>
      </c>
    </row>
    <row r="757" spans="1:23" x14ac:dyDescent="0.55000000000000004">
      <c r="A757" s="3">
        <v>56</v>
      </c>
      <c r="B757" s="3" t="s">
        <v>53</v>
      </c>
      <c r="C757" s="3" t="s">
        <v>49</v>
      </c>
      <c r="D757" s="3" t="s">
        <v>41</v>
      </c>
      <c r="E757" s="3" t="s">
        <v>31</v>
      </c>
      <c r="F757" s="3">
        <v>68</v>
      </c>
      <c r="G757" s="4">
        <v>25.1</v>
      </c>
      <c r="H757" s="4">
        <v>85.6</v>
      </c>
      <c r="I757" s="6">
        <v>6.7236706164877464</v>
      </c>
      <c r="J757" s="5">
        <v>5.7000000000000002E-2</v>
      </c>
      <c r="K757" s="4">
        <v>24.1</v>
      </c>
      <c r="L757" s="4">
        <v>63.4</v>
      </c>
      <c r="M757" s="6">
        <v>5.0740452359743804</v>
      </c>
      <c r="N757" s="5">
        <v>5.7000000000000002E-2</v>
      </c>
      <c r="O757" s="5">
        <v>1.649625380513366</v>
      </c>
      <c r="P757" s="5">
        <v>1.649625380513366</v>
      </c>
      <c r="Q757" s="8">
        <v>0.20833333333333334</v>
      </c>
      <c r="R757" s="8">
        <v>0.88541666666666663</v>
      </c>
      <c r="S757" s="6">
        <f t="shared" si="33"/>
        <v>16.25</v>
      </c>
      <c r="T757" s="5">
        <f t="shared" si="34"/>
        <v>0.10151540803159176</v>
      </c>
      <c r="U757" s="3">
        <v>2.21</v>
      </c>
      <c r="V757" s="5">
        <f t="shared" si="35"/>
        <v>4.5934573769951019E-2</v>
      </c>
      <c r="W757" s="3">
        <v>4.5934573769951019E-2</v>
      </c>
    </row>
    <row r="758" spans="1:23" x14ac:dyDescent="0.55000000000000004">
      <c r="A758" s="3">
        <v>38</v>
      </c>
      <c r="B758" s="3" t="s">
        <v>51</v>
      </c>
      <c r="C758" s="3" t="s">
        <v>49</v>
      </c>
      <c r="D758" s="3" t="s">
        <v>39</v>
      </c>
      <c r="E758" s="2" t="s">
        <v>24</v>
      </c>
      <c r="F758" s="3">
        <v>44</v>
      </c>
      <c r="G758" s="4">
        <v>25.6</v>
      </c>
      <c r="H758" s="4">
        <v>110.7</v>
      </c>
      <c r="I758" s="6">
        <v>8.6150108469341493</v>
      </c>
      <c r="J758" s="5">
        <v>5.6000000000000001E-2</v>
      </c>
      <c r="K758" s="4">
        <v>21.3</v>
      </c>
      <c r="L758" s="4">
        <v>81.8</v>
      </c>
      <c r="M758" s="6">
        <v>6.9088812015431769</v>
      </c>
      <c r="N758" s="5">
        <v>4.8000000000000001E-2</v>
      </c>
      <c r="O758" s="5">
        <v>1.7061296453909724</v>
      </c>
      <c r="P758" s="5">
        <v>1.7061296453909724</v>
      </c>
      <c r="Q758" s="8">
        <v>0.20277777777777781</v>
      </c>
      <c r="R758" s="8">
        <v>0.90277777777777779</v>
      </c>
      <c r="S758" s="6">
        <f t="shared" si="33"/>
        <v>16.799999999999997</v>
      </c>
      <c r="T758" s="5">
        <f t="shared" si="34"/>
        <v>0.10155533603517695</v>
      </c>
      <c r="U758" s="3">
        <v>2.21</v>
      </c>
      <c r="V758" s="5">
        <f t="shared" si="35"/>
        <v>4.5952640739899075E-2</v>
      </c>
      <c r="W758" s="3">
        <v>4.5952640739899075E-2</v>
      </c>
    </row>
    <row r="759" spans="1:23" x14ac:dyDescent="0.55000000000000004">
      <c r="A759" s="3">
        <v>40</v>
      </c>
      <c r="B759" s="3" t="s">
        <v>48</v>
      </c>
      <c r="C759" s="3" t="s">
        <v>50</v>
      </c>
      <c r="D759" s="3" t="s">
        <v>10</v>
      </c>
      <c r="E759" s="3" t="s">
        <v>34</v>
      </c>
      <c r="F759" s="3">
        <v>79</v>
      </c>
      <c r="G759" s="4">
        <v>28.2</v>
      </c>
      <c r="H759" s="4">
        <v>76.3</v>
      </c>
      <c r="I759" s="6">
        <v>5.6641722279154347</v>
      </c>
      <c r="J759" s="5">
        <v>6.6000000000000003E-2</v>
      </c>
      <c r="K759" s="4">
        <v>24.7</v>
      </c>
      <c r="L759" s="4">
        <v>50.7</v>
      </c>
      <c r="M759" s="6">
        <v>4.012177236018287</v>
      </c>
      <c r="N759" s="5">
        <v>6.3E-2</v>
      </c>
      <c r="O759" s="5">
        <v>1.6519949918971477</v>
      </c>
      <c r="P759" s="5">
        <v>1.6519949918971477</v>
      </c>
      <c r="Q759" s="8">
        <v>0.20833333333333334</v>
      </c>
      <c r="R759" s="8">
        <v>0.88541666666666663</v>
      </c>
      <c r="S759" s="6">
        <f t="shared" si="33"/>
        <v>16.25</v>
      </c>
      <c r="T759" s="5">
        <f t="shared" si="34"/>
        <v>0.10166123027059371</v>
      </c>
      <c r="U759" s="3">
        <v>2.21</v>
      </c>
      <c r="V759" s="5">
        <f t="shared" si="35"/>
        <v>4.600055668352656E-2</v>
      </c>
      <c r="W759" s="3">
        <v>4.600055668352656E-2</v>
      </c>
    </row>
    <row r="760" spans="1:23" x14ac:dyDescent="0.55000000000000004">
      <c r="A760" s="3">
        <v>3</v>
      </c>
      <c r="B760" s="3" t="s">
        <v>51</v>
      </c>
      <c r="C760" s="3" t="s">
        <v>50</v>
      </c>
      <c r="D760" s="3" t="s">
        <v>9</v>
      </c>
      <c r="E760" s="3" t="s">
        <v>32</v>
      </c>
      <c r="F760" s="3">
        <v>72</v>
      </c>
      <c r="G760" s="4">
        <v>29.6</v>
      </c>
      <c r="H760" s="4">
        <v>96.7</v>
      </c>
      <c r="I760" s="6">
        <v>7.0030691795177322</v>
      </c>
      <c r="J760" s="5">
        <v>6.6000000000000003E-2</v>
      </c>
      <c r="K760" s="4">
        <v>25.1</v>
      </c>
      <c r="L760" s="4">
        <v>68.099999999999994</v>
      </c>
      <c r="M760" s="6">
        <v>5.3490884226964432</v>
      </c>
      <c r="N760" s="5">
        <v>5.1999999999999998E-2</v>
      </c>
      <c r="O760" s="5">
        <v>1.653980756821289</v>
      </c>
      <c r="P760" s="5">
        <v>1.653980756821289</v>
      </c>
      <c r="Q760" s="8">
        <v>0.20833333333333334</v>
      </c>
      <c r="R760" s="8">
        <v>0.88541666666666663</v>
      </c>
      <c r="S760" s="6">
        <f t="shared" si="33"/>
        <v>16.25</v>
      </c>
      <c r="T760" s="5">
        <f t="shared" si="34"/>
        <v>0.1017834311890024</v>
      </c>
      <c r="U760" s="3">
        <v>2.21</v>
      </c>
      <c r="V760" s="5">
        <f t="shared" si="35"/>
        <v>4.6055851216743167E-2</v>
      </c>
      <c r="W760" s="3">
        <v>4.6055851216743167E-2</v>
      </c>
    </row>
    <row r="761" spans="1:23" x14ac:dyDescent="0.55000000000000004">
      <c r="A761" s="3">
        <v>34</v>
      </c>
      <c r="B761" s="3" t="s">
        <v>48</v>
      </c>
      <c r="C761" s="3" t="s">
        <v>50</v>
      </c>
      <c r="D761" s="3" t="s">
        <v>10</v>
      </c>
      <c r="E761" s="3" t="s">
        <v>35</v>
      </c>
      <c r="F761" s="3">
        <v>82</v>
      </c>
      <c r="G761" s="4">
        <v>31.7</v>
      </c>
      <c r="H761" s="4">
        <v>72</v>
      </c>
      <c r="I761" s="6">
        <v>5.0283317025379288</v>
      </c>
      <c r="J761" s="5">
        <v>0.08</v>
      </c>
      <c r="K761" s="4">
        <v>27.3</v>
      </c>
      <c r="L761" s="4">
        <v>44.7</v>
      </c>
      <c r="M761" s="6">
        <v>3.3723626461938552</v>
      </c>
      <c r="N761" s="5">
        <v>7.2999999999999995E-2</v>
      </c>
      <c r="O761" s="5">
        <v>1.6559690563440737</v>
      </c>
      <c r="P761" s="5">
        <v>1.6559690563440737</v>
      </c>
      <c r="Q761" s="8">
        <v>0.20833333333333334</v>
      </c>
      <c r="R761" s="8">
        <v>0.88541666666666663</v>
      </c>
      <c r="S761" s="6">
        <f t="shared" si="33"/>
        <v>16.25</v>
      </c>
      <c r="T761" s="5">
        <f t="shared" si="34"/>
        <v>0.10190578808271222</v>
      </c>
      <c r="U761" s="3">
        <v>2.21</v>
      </c>
      <c r="V761" s="5">
        <f t="shared" si="35"/>
        <v>4.6111216327019103E-2</v>
      </c>
      <c r="W761" s="3">
        <v>4.6111216327019103E-2</v>
      </c>
    </row>
    <row r="762" spans="1:23" x14ac:dyDescent="0.55000000000000004">
      <c r="A762" s="3">
        <v>6</v>
      </c>
      <c r="B762" s="3" t="s">
        <v>51</v>
      </c>
      <c r="C762" s="3" t="s">
        <v>49</v>
      </c>
      <c r="D762" s="3" t="s">
        <v>39</v>
      </c>
      <c r="E762" s="2" t="s">
        <v>22</v>
      </c>
      <c r="F762" s="3">
        <v>37</v>
      </c>
      <c r="G762" s="4">
        <v>30.3</v>
      </c>
      <c r="H762" s="4">
        <v>96.6</v>
      </c>
      <c r="I762" s="6">
        <v>6.9109208926348549</v>
      </c>
      <c r="J762" s="5">
        <v>5.2999999999999999E-2</v>
      </c>
      <c r="K762" s="4">
        <v>24.8</v>
      </c>
      <c r="L762" s="4">
        <v>66.3</v>
      </c>
      <c r="M762" s="6">
        <v>5.2368982289895731</v>
      </c>
      <c r="N762" s="5">
        <v>4.8000000000000001E-2</v>
      </c>
      <c r="O762" s="5">
        <v>1.6740226636452817</v>
      </c>
      <c r="P762" s="5">
        <v>1.6740226636452817</v>
      </c>
      <c r="Q762" s="8">
        <v>0.20138888888888887</v>
      </c>
      <c r="R762" s="8">
        <v>0.88541666666666663</v>
      </c>
      <c r="S762" s="6">
        <f t="shared" si="33"/>
        <v>16.416666666666668</v>
      </c>
      <c r="T762" s="5">
        <f t="shared" si="34"/>
        <v>0.10197092367382427</v>
      </c>
      <c r="U762" s="3">
        <v>2.21</v>
      </c>
      <c r="V762" s="5">
        <f t="shared" si="35"/>
        <v>4.6140689445169344E-2</v>
      </c>
      <c r="W762" s="3">
        <v>4.6140689445169344E-2</v>
      </c>
    </row>
    <row r="763" spans="1:23" x14ac:dyDescent="0.55000000000000004">
      <c r="A763" s="3">
        <v>10</v>
      </c>
      <c r="B763" s="3" t="s">
        <v>51</v>
      </c>
      <c r="C763" s="3" t="s">
        <v>49</v>
      </c>
      <c r="D763" s="3" t="s">
        <v>39</v>
      </c>
      <c r="E763" s="2" t="s">
        <v>21</v>
      </c>
      <c r="F763" s="3">
        <v>33</v>
      </c>
      <c r="G763" s="4">
        <v>30.2</v>
      </c>
      <c r="H763" s="4">
        <v>90</v>
      </c>
      <c r="I763" s="6">
        <v>6.4499451467154891</v>
      </c>
      <c r="J763" s="5">
        <v>6.8000000000000005E-2</v>
      </c>
      <c r="K763" s="4">
        <v>26.4</v>
      </c>
      <c r="L763" s="4">
        <v>62.6</v>
      </c>
      <c r="M763" s="6">
        <v>4.8006494224542937</v>
      </c>
      <c r="N763" s="5">
        <v>6.4000000000000001E-2</v>
      </c>
      <c r="O763" s="5">
        <v>1.6492957242611954</v>
      </c>
      <c r="P763" s="5">
        <v>1.6492957242611954</v>
      </c>
      <c r="Q763" s="8">
        <v>0.20833333333333334</v>
      </c>
      <c r="R763" s="8">
        <v>0.88194444444444453</v>
      </c>
      <c r="S763" s="6">
        <f t="shared" si="33"/>
        <v>16.166666666666668</v>
      </c>
      <c r="T763" s="5">
        <f t="shared" si="34"/>
        <v>0.10201829222234197</v>
      </c>
      <c r="U763" s="3">
        <v>2.21</v>
      </c>
      <c r="V763" s="5">
        <f t="shared" si="35"/>
        <v>4.6162123177530309E-2</v>
      </c>
      <c r="W763" s="3">
        <v>4.6162123177530309E-2</v>
      </c>
    </row>
    <row r="764" spans="1:23" x14ac:dyDescent="0.55000000000000004">
      <c r="A764" s="3">
        <v>13</v>
      </c>
      <c r="B764" s="3" t="s">
        <v>53</v>
      </c>
      <c r="C764" s="3" t="s">
        <v>50</v>
      </c>
      <c r="D764" s="3" t="s">
        <v>11</v>
      </c>
      <c r="E764" s="2" t="s">
        <v>13</v>
      </c>
      <c r="F764" s="3">
        <v>8</v>
      </c>
      <c r="G764" s="4">
        <v>21.9</v>
      </c>
      <c r="H764" s="4">
        <v>116.6</v>
      </c>
      <c r="I764" s="6">
        <v>9.73333576337604</v>
      </c>
      <c r="J764" s="5">
        <v>3.6999999999999998E-2</v>
      </c>
      <c r="K764" s="4">
        <v>19.2</v>
      </c>
      <c r="L764" s="4">
        <v>92.3</v>
      </c>
      <c r="M764" s="6">
        <v>8.1289351656887145</v>
      </c>
      <c r="N764" s="5">
        <v>3.5000000000000003E-2</v>
      </c>
      <c r="O764" s="5">
        <v>1.6044005976873255</v>
      </c>
      <c r="P764" s="5">
        <v>1.6044005976873255</v>
      </c>
      <c r="Q764" s="8">
        <v>0.20833333333333334</v>
      </c>
      <c r="R764" s="8">
        <v>0.86319444444444438</v>
      </c>
      <c r="S764" s="6">
        <f t="shared" si="33"/>
        <v>15.716666666666665</v>
      </c>
      <c r="T764" s="5">
        <f t="shared" si="34"/>
        <v>0.10208275276907693</v>
      </c>
      <c r="U764" s="3">
        <v>2.21</v>
      </c>
      <c r="V764" s="5">
        <f t="shared" si="35"/>
        <v>4.6191290845736165E-2</v>
      </c>
      <c r="W764" s="3">
        <v>4.6191290845736165E-2</v>
      </c>
    </row>
    <row r="765" spans="1:23" x14ac:dyDescent="0.55000000000000004">
      <c r="A765" s="3">
        <v>55</v>
      </c>
      <c r="B765" s="3" t="s">
        <v>52</v>
      </c>
      <c r="C765" s="3" t="s">
        <v>49</v>
      </c>
      <c r="D765" s="3" t="s">
        <v>40</v>
      </c>
      <c r="E765" s="2" t="s">
        <v>22</v>
      </c>
      <c r="F765" s="3">
        <v>37</v>
      </c>
      <c r="G765" s="4">
        <v>30.6</v>
      </c>
      <c r="H765" s="4">
        <v>94.4</v>
      </c>
      <c r="I765" s="6">
        <v>6.7185002449037734</v>
      </c>
      <c r="J765" s="5">
        <v>5.8999999999999997E-2</v>
      </c>
      <c r="K765" s="4">
        <v>25.4</v>
      </c>
      <c r="L765" s="4">
        <v>64.5</v>
      </c>
      <c r="M765" s="6">
        <v>5.0381884564339119</v>
      </c>
      <c r="N765" s="5">
        <v>5.7000000000000002E-2</v>
      </c>
      <c r="O765" s="5">
        <v>1.6803117884698615</v>
      </c>
      <c r="P765" s="5">
        <v>1.6803117884698615</v>
      </c>
      <c r="Q765" s="8">
        <v>0.20138888888888887</v>
      </c>
      <c r="R765" s="8">
        <v>0.88541666666666663</v>
      </c>
      <c r="S765" s="6">
        <f t="shared" si="33"/>
        <v>16.416666666666668</v>
      </c>
      <c r="T765" s="5">
        <f t="shared" si="34"/>
        <v>0.10235401757176821</v>
      </c>
      <c r="U765" s="3">
        <v>2.21</v>
      </c>
      <c r="V765" s="5">
        <f t="shared" si="35"/>
        <v>4.6314035100347609E-2</v>
      </c>
      <c r="W765" s="3">
        <v>4.6314035100347609E-2</v>
      </c>
    </row>
    <row r="766" spans="1:23" x14ac:dyDescent="0.55000000000000004">
      <c r="A766" s="3">
        <v>26</v>
      </c>
      <c r="B766" s="3" t="s">
        <v>52</v>
      </c>
      <c r="C766" s="3" t="s">
        <v>50</v>
      </c>
      <c r="D766" s="3" t="s">
        <v>12</v>
      </c>
      <c r="E766" s="3" t="s">
        <v>33</v>
      </c>
      <c r="F766" s="3">
        <v>75</v>
      </c>
      <c r="G766" s="4">
        <v>28.2</v>
      </c>
      <c r="H766" s="4">
        <v>77.099999999999994</v>
      </c>
      <c r="I766" s="6">
        <v>5.7235606654296198</v>
      </c>
      <c r="J766" s="5">
        <v>4.1000000000000002E-2</v>
      </c>
      <c r="K766" s="4">
        <v>24.5</v>
      </c>
      <c r="L766" s="4">
        <v>51.1</v>
      </c>
      <c r="M766" s="6">
        <v>4.0590042466789171</v>
      </c>
      <c r="N766" s="5">
        <v>3.6999999999999998E-2</v>
      </c>
      <c r="O766" s="5">
        <v>1.6645564187507027</v>
      </c>
      <c r="P766" s="5">
        <v>1.6645564187507027</v>
      </c>
      <c r="Q766" s="8">
        <v>0.20833333333333334</v>
      </c>
      <c r="R766" s="8">
        <v>0.88541666666666663</v>
      </c>
      <c r="S766" s="6">
        <f t="shared" si="33"/>
        <v>16.25</v>
      </c>
      <c r="T766" s="5">
        <f t="shared" si="34"/>
        <v>0.1024342411538894</v>
      </c>
      <c r="U766" s="3">
        <v>2.21</v>
      </c>
      <c r="V766" s="5">
        <f t="shared" si="35"/>
        <v>4.6350335363750862E-2</v>
      </c>
      <c r="W766" s="3">
        <v>4.6350335363750862E-2</v>
      </c>
    </row>
    <row r="767" spans="1:23" x14ac:dyDescent="0.55000000000000004">
      <c r="A767" s="3">
        <v>61</v>
      </c>
      <c r="B767" s="3" t="s">
        <v>53</v>
      </c>
      <c r="C767" s="3" t="s">
        <v>50</v>
      </c>
      <c r="D767" s="3" t="s">
        <v>11</v>
      </c>
      <c r="E767" s="2" t="s">
        <v>20</v>
      </c>
      <c r="F767" s="3">
        <v>30</v>
      </c>
      <c r="G767" s="4">
        <v>27.5</v>
      </c>
      <c r="H767" s="4">
        <v>102.1</v>
      </c>
      <c r="I767" s="6">
        <v>7.6751425276900429</v>
      </c>
      <c r="J767" s="5">
        <v>5.5E-2</v>
      </c>
      <c r="K767" s="4">
        <v>24.1</v>
      </c>
      <c r="L767" s="4">
        <v>75.099999999999994</v>
      </c>
      <c r="M767" s="6">
        <v>6.0104226691116081</v>
      </c>
      <c r="N767" s="5">
        <v>5.1999999999999998E-2</v>
      </c>
      <c r="O767" s="5">
        <v>1.6647198585784349</v>
      </c>
      <c r="P767" s="5">
        <v>1.6647198585784349</v>
      </c>
      <c r="Q767" s="8">
        <v>0.20833333333333334</v>
      </c>
      <c r="R767" s="8">
        <v>0.88541666666666663</v>
      </c>
      <c r="S767" s="6">
        <f t="shared" si="33"/>
        <v>16.25</v>
      </c>
      <c r="T767" s="5">
        <f t="shared" si="34"/>
        <v>0.10244429898944214</v>
      </c>
      <c r="U767" s="3">
        <v>2.21</v>
      </c>
      <c r="V767" s="5">
        <f t="shared" si="35"/>
        <v>4.6354886420562062E-2</v>
      </c>
      <c r="W767" s="3">
        <v>4.6354886420562062E-2</v>
      </c>
    </row>
    <row r="768" spans="1:23" x14ac:dyDescent="0.55000000000000004">
      <c r="A768" s="3">
        <v>9</v>
      </c>
      <c r="B768" s="3" t="s">
        <v>48</v>
      </c>
      <c r="C768" s="3" t="s">
        <v>50</v>
      </c>
      <c r="D768" s="3" t="s">
        <v>10</v>
      </c>
      <c r="E768" s="2" t="s">
        <v>15</v>
      </c>
      <c r="F768" s="3">
        <v>12</v>
      </c>
      <c r="G768" s="4">
        <v>22.5</v>
      </c>
      <c r="H768" s="4">
        <v>112.7</v>
      </c>
      <c r="I768" s="6">
        <v>9.2990748867450073</v>
      </c>
      <c r="J768" s="5">
        <v>4.1000000000000002E-2</v>
      </c>
      <c r="K768" s="4">
        <v>19.600000000000001</v>
      </c>
      <c r="L768" s="4">
        <v>87.8</v>
      </c>
      <c r="M768" s="6">
        <v>7.6704368544519399</v>
      </c>
      <c r="N768" s="5">
        <v>3.7999999999999999E-2</v>
      </c>
      <c r="O768" s="5">
        <v>1.6286380322930674</v>
      </c>
      <c r="P768" s="5">
        <v>1.6286380322930674</v>
      </c>
      <c r="Q768" s="8">
        <v>0.21319444444444444</v>
      </c>
      <c r="R768" s="8">
        <v>0.875</v>
      </c>
      <c r="S768" s="6">
        <f t="shared" si="33"/>
        <v>15.883333333333333</v>
      </c>
      <c r="T768" s="5">
        <f t="shared" si="34"/>
        <v>0.10253754662915429</v>
      </c>
      <c r="U768" s="3">
        <v>2.21</v>
      </c>
      <c r="V768" s="5">
        <f t="shared" si="35"/>
        <v>4.6397079922694255E-2</v>
      </c>
      <c r="W768" s="3">
        <v>4.6397079922694255E-2</v>
      </c>
    </row>
    <row r="769" spans="1:23" x14ac:dyDescent="0.55000000000000004">
      <c r="A769" s="3">
        <v>17</v>
      </c>
      <c r="B769" s="3" t="s">
        <v>52</v>
      </c>
      <c r="C769" s="3" t="s">
        <v>50</v>
      </c>
      <c r="D769" s="3" t="s">
        <v>12</v>
      </c>
      <c r="E769" s="3" t="s">
        <v>35</v>
      </c>
      <c r="F769" s="3">
        <v>82</v>
      </c>
      <c r="G769" s="4">
        <v>30.8</v>
      </c>
      <c r="H769" s="4">
        <v>68.8</v>
      </c>
      <c r="I769" s="6">
        <v>4.8796409435901618</v>
      </c>
      <c r="J769" s="5">
        <v>0.107</v>
      </c>
      <c r="K769" s="4">
        <v>26.7</v>
      </c>
      <c r="L769" s="4">
        <v>42.1</v>
      </c>
      <c r="M769" s="6">
        <v>3.2109383783138576</v>
      </c>
      <c r="N769" s="5">
        <v>0.10100000000000001</v>
      </c>
      <c r="O769" s="5">
        <v>1.6687025652763041</v>
      </c>
      <c r="P769" s="5">
        <v>1.6687025652763041</v>
      </c>
      <c r="Q769" s="8">
        <v>0.20833333333333334</v>
      </c>
      <c r="R769" s="8">
        <v>0.88541666666666663</v>
      </c>
      <c r="S769" s="6">
        <f t="shared" si="33"/>
        <v>16.25</v>
      </c>
      <c r="T769" s="5">
        <f t="shared" si="34"/>
        <v>0.10268938863238794</v>
      </c>
      <c r="U769" s="3">
        <v>2.21</v>
      </c>
      <c r="V769" s="5">
        <f t="shared" si="35"/>
        <v>4.646578671148776E-2</v>
      </c>
      <c r="W769" s="3">
        <v>4.646578671148776E-2</v>
      </c>
    </row>
    <row r="770" spans="1:23" x14ac:dyDescent="0.55000000000000004">
      <c r="A770" s="3">
        <v>1</v>
      </c>
      <c r="B770" s="3" t="s">
        <v>51</v>
      </c>
      <c r="C770" s="3" t="s">
        <v>49</v>
      </c>
      <c r="D770" s="3" t="s">
        <v>39</v>
      </c>
      <c r="E770" s="2" t="s">
        <v>22</v>
      </c>
      <c r="F770" s="3">
        <v>37</v>
      </c>
      <c r="G770" s="4">
        <v>30.2</v>
      </c>
      <c r="H770" s="4">
        <v>87</v>
      </c>
      <c r="I770" s="6">
        <v>6.2349469751583069</v>
      </c>
      <c r="J770" s="5">
        <v>4.8000000000000001E-2</v>
      </c>
      <c r="K770" s="4">
        <v>25</v>
      </c>
      <c r="L770" s="4">
        <v>57.8</v>
      </c>
      <c r="M770" s="6">
        <v>4.548505298507088</v>
      </c>
      <c r="N770" s="5">
        <v>4.8000000000000001E-2</v>
      </c>
      <c r="O770" s="5">
        <v>1.6864416766512189</v>
      </c>
      <c r="P770" s="5">
        <v>1.6864416766512189</v>
      </c>
      <c r="Q770" s="8">
        <v>0.20138888888888887</v>
      </c>
      <c r="R770" s="8">
        <v>0.88541666666666663</v>
      </c>
      <c r="S770" s="6">
        <f t="shared" ref="S770:S833" si="36">(R770-Q770)*24</f>
        <v>16.416666666666668</v>
      </c>
      <c r="T770" s="5">
        <f t="shared" ref="T770:T833" si="37">P770/S770</f>
        <v>0.10272741177570877</v>
      </c>
      <c r="U770" s="3">
        <v>2.21</v>
      </c>
      <c r="V770" s="5">
        <f t="shared" ref="V770:V833" si="38">(I770-M770)/U770/S770</f>
        <v>4.648299175371437E-2</v>
      </c>
      <c r="W770" s="3">
        <v>4.648299175371437E-2</v>
      </c>
    </row>
    <row r="771" spans="1:23" x14ac:dyDescent="0.55000000000000004">
      <c r="A771" s="3">
        <v>1</v>
      </c>
      <c r="B771" s="3" t="s">
        <v>51</v>
      </c>
      <c r="C771" s="3" t="s">
        <v>49</v>
      </c>
      <c r="D771" s="3" t="s">
        <v>39</v>
      </c>
      <c r="E771" s="3" t="s">
        <v>27</v>
      </c>
      <c r="F771" s="3">
        <v>54</v>
      </c>
      <c r="G771" s="4">
        <v>28</v>
      </c>
      <c r="H771" s="4">
        <v>95.3</v>
      </c>
      <c r="I771" s="6">
        <v>7.0999699751946688</v>
      </c>
      <c r="J771" s="5">
        <v>4.8000000000000001E-2</v>
      </c>
      <c r="K771" s="4">
        <v>24.6</v>
      </c>
      <c r="L771" s="4">
        <v>68.099999999999994</v>
      </c>
      <c r="M771" s="6">
        <v>5.3992312352253382</v>
      </c>
      <c r="N771" s="5">
        <v>4.4999999999999998E-2</v>
      </c>
      <c r="O771" s="5">
        <v>1.7007387399693306</v>
      </c>
      <c r="P771" s="5">
        <v>1.7007387399693306</v>
      </c>
      <c r="Q771" s="8">
        <v>0.20833333333333334</v>
      </c>
      <c r="R771" s="8">
        <v>0.89583333333333337</v>
      </c>
      <c r="S771" s="6">
        <f t="shared" si="36"/>
        <v>16.5</v>
      </c>
      <c r="T771" s="5">
        <f t="shared" si="37"/>
        <v>0.1030750751496564</v>
      </c>
      <c r="U771" s="3">
        <v>2.21</v>
      </c>
      <c r="V771" s="5">
        <f t="shared" si="38"/>
        <v>4.664030549758208E-2</v>
      </c>
      <c r="W771" s="3">
        <v>4.664030549758208E-2</v>
      </c>
    </row>
    <row r="772" spans="1:23" x14ac:dyDescent="0.55000000000000004">
      <c r="A772" s="3">
        <v>36</v>
      </c>
      <c r="B772" s="3" t="s">
        <v>52</v>
      </c>
      <c r="C772" s="3" t="s">
        <v>50</v>
      </c>
      <c r="D772" s="3" t="s">
        <v>12</v>
      </c>
      <c r="E772" s="2" t="s">
        <v>13</v>
      </c>
      <c r="F772" s="3">
        <v>8</v>
      </c>
      <c r="G772" s="4">
        <v>21.8</v>
      </c>
      <c r="H772" s="4">
        <v>116.8</v>
      </c>
      <c r="I772" s="6">
        <v>9.7690305676492315</v>
      </c>
      <c r="J772" s="5">
        <v>3.9E-2</v>
      </c>
      <c r="K772" s="4">
        <v>19.100000000000001</v>
      </c>
      <c r="L772" s="4">
        <v>92.3</v>
      </c>
      <c r="M772" s="6">
        <v>8.145421515360086</v>
      </c>
      <c r="N772" s="5">
        <v>3.7999999999999999E-2</v>
      </c>
      <c r="O772" s="5">
        <v>1.6236090522891455</v>
      </c>
      <c r="P772" s="5">
        <v>1.6236090522891455</v>
      </c>
      <c r="Q772" s="8">
        <v>0.20833333333333334</v>
      </c>
      <c r="R772" s="8">
        <v>0.86319444444444438</v>
      </c>
      <c r="S772" s="6">
        <f t="shared" si="36"/>
        <v>15.716666666666665</v>
      </c>
      <c r="T772" s="5">
        <f t="shared" si="37"/>
        <v>0.10330492379358297</v>
      </c>
      <c r="U772" s="3">
        <v>2.21</v>
      </c>
      <c r="V772" s="5">
        <f t="shared" si="38"/>
        <v>4.6744309408861075E-2</v>
      </c>
      <c r="W772" s="3">
        <v>4.6744309408861075E-2</v>
      </c>
    </row>
    <row r="773" spans="1:23" x14ac:dyDescent="0.55000000000000004">
      <c r="A773" s="3">
        <v>54</v>
      </c>
      <c r="B773" s="3" t="s">
        <v>48</v>
      </c>
      <c r="C773" s="3" t="s">
        <v>50</v>
      </c>
      <c r="D773" s="3" t="s">
        <v>10</v>
      </c>
      <c r="E773" s="2" t="s">
        <v>15</v>
      </c>
      <c r="F773" s="3">
        <v>12</v>
      </c>
      <c r="G773" s="4">
        <v>22.8</v>
      </c>
      <c r="H773" s="4">
        <v>115.1</v>
      </c>
      <c r="I773" s="6">
        <v>9.4424287472509452</v>
      </c>
      <c r="J773" s="5">
        <v>3.5000000000000003E-2</v>
      </c>
      <c r="K773" s="4">
        <v>19.600000000000001</v>
      </c>
      <c r="L773" s="4">
        <v>89.3</v>
      </c>
      <c r="M773" s="6">
        <v>7.8014807642660386</v>
      </c>
      <c r="N773" s="5">
        <v>3.1E-2</v>
      </c>
      <c r="O773" s="5">
        <v>1.6409479829849065</v>
      </c>
      <c r="P773" s="5">
        <v>1.6409479829849065</v>
      </c>
      <c r="Q773" s="8">
        <v>0.21319444444444444</v>
      </c>
      <c r="R773" s="8">
        <v>0.875</v>
      </c>
      <c r="S773" s="6">
        <f t="shared" si="36"/>
        <v>15.883333333333333</v>
      </c>
      <c r="T773" s="5">
        <f t="shared" si="37"/>
        <v>0.1033125697577066</v>
      </c>
      <c r="U773" s="3">
        <v>2.21</v>
      </c>
      <c r="V773" s="5">
        <f t="shared" si="38"/>
        <v>4.6747769121134208E-2</v>
      </c>
      <c r="W773" s="3">
        <v>4.6747769121134208E-2</v>
      </c>
    </row>
    <row r="774" spans="1:23" x14ac:dyDescent="0.55000000000000004">
      <c r="A774" s="3">
        <v>59</v>
      </c>
      <c r="B774" s="3" t="s">
        <v>52</v>
      </c>
      <c r="C774" s="3" t="s">
        <v>49</v>
      </c>
      <c r="D774" s="3" t="s">
        <v>40</v>
      </c>
      <c r="E774" s="2" t="s">
        <v>22</v>
      </c>
      <c r="F774" s="3">
        <v>37</v>
      </c>
      <c r="G774" s="4">
        <v>30.4</v>
      </c>
      <c r="H774" s="4">
        <v>89.8</v>
      </c>
      <c r="I774" s="6">
        <v>6.4132972113620008</v>
      </c>
      <c r="J774" s="5">
        <v>5.8999999999999997E-2</v>
      </c>
      <c r="K774" s="4">
        <v>25.1</v>
      </c>
      <c r="L774" s="4">
        <v>60</v>
      </c>
      <c r="M774" s="6">
        <v>4.7128532358558974</v>
      </c>
      <c r="N774" s="5">
        <v>5.5E-2</v>
      </c>
      <c r="O774" s="5">
        <v>1.7004439755061034</v>
      </c>
      <c r="P774" s="5">
        <v>1.7004439755061034</v>
      </c>
      <c r="Q774" s="8">
        <v>0.20138888888888887</v>
      </c>
      <c r="R774" s="8">
        <v>0.88541666666666663</v>
      </c>
      <c r="S774" s="6">
        <f t="shared" si="36"/>
        <v>16.416666666666668</v>
      </c>
      <c r="T774" s="5">
        <f t="shared" si="37"/>
        <v>0.10358034368565096</v>
      </c>
      <c r="U774" s="3">
        <v>2.21</v>
      </c>
      <c r="V774" s="5">
        <f t="shared" si="38"/>
        <v>4.6868933794412204E-2</v>
      </c>
      <c r="W774" s="3">
        <v>4.6868933794412204E-2</v>
      </c>
    </row>
    <row r="775" spans="1:23" x14ac:dyDescent="0.55000000000000004">
      <c r="A775" s="3">
        <v>7</v>
      </c>
      <c r="B775" s="3" t="s">
        <v>53</v>
      </c>
      <c r="C775" s="3" t="s">
        <v>49</v>
      </c>
      <c r="D775" s="3" t="s">
        <v>41</v>
      </c>
      <c r="E775" s="3" t="s">
        <v>34</v>
      </c>
      <c r="F775" s="3">
        <v>79</v>
      </c>
      <c r="G775" s="4">
        <v>27.3</v>
      </c>
      <c r="H775" s="4">
        <v>57.5</v>
      </c>
      <c r="I775" s="6">
        <v>4.3380503838064133</v>
      </c>
      <c r="J775" s="5">
        <v>7.8E-2</v>
      </c>
      <c r="K775" s="4">
        <v>24.2</v>
      </c>
      <c r="L775" s="4">
        <v>33.200000000000003</v>
      </c>
      <c r="M775" s="6">
        <v>2.6520691223835064</v>
      </c>
      <c r="N775" s="5">
        <v>7.3999999999999996E-2</v>
      </c>
      <c r="O775" s="5">
        <v>1.6859812614229068</v>
      </c>
      <c r="P775" s="5">
        <v>1.6859812614229068</v>
      </c>
      <c r="Q775" s="8">
        <v>0.20833333333333334</v>
      </c>
      <c r="R775" s="8">
        <v>0.88541666666666663</v>
      </c>
      <c r="S775" s="6">
        <f t="shared" si="36"/>
        <v>16.25</v>
      </c>
      <c r="T775" s="5">
        <f t="shared" si="37"/>
        <v>0.10375269301064043</v>
      </c>
      <c r="U775" s="3">
        <v>2.21</v>
      </c>
      <c r="V775" s="5">
        <f t="shared" si="38"/>
        <v>4.6946919914316931E-2</v>
      </c>
      <c r="W775" s="3">
        <v>4.6946919914316931E-2</v>
      </c>
    </row>
    <row r="776" spans="1:23" x14ac:dyDescent="0.55000000000000004">
      <c r="A776" s="3">
        <v>31</v>
      </c>
      <c r="B776" s="3" t="s">
        <v>52</v>
      </c>
      <c r="C776" s="3" t="s">
        <v>49</v>
      </c>
      <c r="D776" s="3" t="s">
        <v>40</v>
      </c>
      <c r="E776" s="2" t="s">
        <v>19</v>
      </c>
      <c r="F776" s="3">
        <v>26</v>
      </c>
      <c r="G776" s="4">
        <v>24.2</v>
      </c>
      <c r="H776" s="4">
        <v>95.9</v>
      </c>
      <c r="I776" s="6">
        <v>7.660645446884887</v>
      </c>
      <c r="J776" s="5">
        <v>4.2999999999999997E-2</v>
      </c>
      <c r="K776" s="4">
        <v>22.3</v>
      </c>
      <c r="L776" s="4">
        <v>72.099999999999994</v>
      </c>
      <c r="M776" s="6">
        <v>5.9721224439777449</v>
      </c>
      <c r="N776" s="5">
        <v>3.9E-2</v>
      </c>
      <c r="O776" s="5">
        <v>1.6885230029071421</v>
      </c>
      <c r="P776" s="5">
        <v>1.6885230029071421</v>
      </c>
      <c r="Q776" s="8">
        <v>0.20833333333333334</v>
      </c>
      <c r="R776" s="8">
        <v>0.88541666666666663</v>
      </c>
      <c r="S776" s="6">
        <f t="shared" si="36"/>
        <v>16.25</v>
      </c>
      <c r="T776" s="5">
        <f t="shared" si="37"/>
        <v>0.10390910787120874</v>
      </c>
      <c r="U776" s="3">
        <v>2.21</v>
      </c>
      <c r="V776" s="5">
        <f t="shared" si="38"/>
        <v>4.7017695869325228E-2</v>
      </c>
      <c r="W776" s="3">
        <v>4.7017695869325228E-2</v>
      </c>
    </row>
    <row r="777" spans="1:23" x14ac:dyDescent="0.55000000000000004">
      <c r="A777" s="3">
        <v>13</v>
      </c>
      <c r="B777" s="3" t="s">
        <v>53</v>
      </c>
      <c r="C777" s="3" t="s">
        <v>50</v>
      </c>
      <c r="D777" s="3" t="s">
        <v>11</v>
      </c>
      <c r="E777" s="2" t="s">
        <v>17</v>
      </c>
      <c r="F777" s="3">
        <v>19</v>
      </c>
      <c r="G777" s="4">
        <v>22.1</v>
      </c>
      <c r="H777" s="4">
        <v>85</v>
      </c>
      <c r="I777" s="6">
        <v>7.0679716078326713</v>
      </c>
      <c r="J777" s="5">
        <v>4.1000000000000002E-2</v>
      </c>
      <c r="K777" s="4">
        <v>17.100000000000001</v>
      </c>
      <c r="L777" s="4">
        <v>58.5</v>
      </c>
      <c r="M777" s="6">
        <v>5.3796170447881151</v>
      </c>
      <c r="N777" s="5">
        <v>3.7999999999999999E-2</v>
      </c>
      <c r="O777" s="5">
        <v>1.6883545630445562</v>
      </c>
      <c r="P777" s="5">
        <v>1.6883545630445562</v>
      </c>
      <c r="Q777" s="8">
        <v>0.19930555555555554</v>
      </c>
      <c r="R777" s="8">
        <v>0.875</v>
      </c>
      <c r="S777" s="6">
        <f t="shared" si="36"/>
        <v>16.216666666666669</v>
      </c>
      <c r="T777" s="5">
        <f t="shared" si="37"/>
        <v>0.10411230604591301</v>
      </c>
      <c r="U777" s="3">
        <v>2.21</v>
      </c>
      <c r="V777" s="5">
        <f t="shared" si="38"/>
        <v>4.7109640744757021E-2</v>
      </c>
      <c r="W777" s="3">
        <v>4.7109640744757021E-2</v>
      </c>
    </row>
    <row r="778" spans="1:23" x14ac:dyDescent="0.55000000000000004">
      <c r="A778" s="3">
        <v>63</v>
      </c>
      <c r="B778" s="3" t="s">
        <v>51</v>
      </c>
      <c r="C778" s="3" t="s">
        <v>49</v>
      </c>
      <c r="D778" s="3" t="s">
        <v>39</v>
      </c>
      <c r="E778" s="2" t="s">
        <v>13</v>
      </c>
      <c r="F778" s="3">
        <v>8</v>
      </c>
      <c r="G778" s="4">
        <v>21.9</v>
      </c>
      <c r="H778" s="4">
        <v>116.9</v>
      </c>
      <c r="I778" s="6">
        <v>9.7583786512749509</v>
      </c>
      <c r="J778" s="5">
        <v>2.1000000000000001E-2</v>
      </c>
      <c r="K778" s="4">
        <v>19.3</v>
      </c>
      <c r="L778" s="4">
        <v>92.4</v>
      </c>
      <c r="M778" s="6">
        <v>8.1212962748860829</v>
      </c>
      <c r="N778" s="5">
        <v>0.02</v>
      </c>
      <c r="O778" s="5">
        <v>1.637082376388868</v>
      </c>
      <c r="P778" s="5">
        <v>1.637082376388868</v>
      </c>
      <c r="Q778" s="8">
        <v>0.20833333333333334</v>
      </c>
      <c r="R778" s="8">
        <v>0.86319444444444438</v>
      </c>
      <c r="S778" s="6">
        <f t="shared" si="36"/>
        <v>15.716666666666665</v>
      </c>
      <c r="T778" s="5">
        <f t="shared" si="37"/>
        <v>0.10416218725697994</v>
      </c>
      <c r="U778" s="3">
        <v>2.21</v>
      </c>
      <c r="V778" s="5">
        <f t="shared" si="38"/>
        <v>4.7132211428497717E-2</v>
      </c>
      <c r="W778" s="3">
        <v>4.7132211428497717E-2</v>
      </c>
    </row>
    <row r="779" spans="1:23" x14ac:dyDescent="0.55000000000000004">
      <c r="A779" s="3">
        <v>2</v>
      </c>
      <c r="B779" s="3" t="s">
        <v>48</v>
      </c>
      <c r="C779" s="3" t="s">
        <v>49</v>
      </c>
      <c r="D779" s="3" t="s">
        <v>38</v>
      </c>
      <c r="E779" s="2" t="s">
        <v>19</v>
      </c>
      <c r="F779" s="3">
        <v>26</v>
      </c>
      <c r="G779" s="4">
        <v>27.7</v>
      </c>
      <c r="H779" s="4">
        <v>88</v>
      </c>
      <c r="I779" s="6">
        <v>6.591457655722218</v>
      </c>
      <c r="J779" s="5">
        <v>4.2000000000000003E-2</v>
      </c>
      <c r="K779" s="4">
        <v>22.7</v>
      </c>
      <c r="L779" s="4">
        <v>59.6</v>
      </c>
      <c r="M779" s="6">
        <v>4.8987950733648269</v>
      </c>
      <c r="N779" s="5">
        <v>3.6999999999999998E-2</v>
      </c>
      <c r="O779" s="5">
        <v>1.6926625823573911</v>
      </c>
      <c r="P779" s="5">
        <v>1.6926625823573911</v>
      </c>
      <c r="Q779" s="8">
        <v>0.20833333333333334</v>
      </c>
      <c r="R779" s="8">
        <v>0.88541666666666663</v>
      </c>
      <c r="S779" s="6">
        <f t="shared" si="36"/>
        <v>16.25</v>
      </c>
      <c r="T779" s="5">
        <f t="shared" si="37"/>
        <v>0.1041638512219933</v>
      </c>
      <c r="U779" s="3">
        <v>2.21</v>
      </c>
      <c r="V779" s="5">
        <f t="shared" si="38"/>
        <v>4.7132964353843128E-2</v>
      </c>
      <c r="W779" s="3">
        <v>4.7132964353843128E-2</v>
      </c>
    </row>
    <row r="780" spans="1:23" x14ac:dyDescent="0.55000000000000004">
      <c r="A780" s="3">
        <v>20</v>
      </c>
      <c r="B780" s="3" t="s">
        <v>52</v>
      </c>
      <c r="C780" s="3" t="s">
        <v>50</v>
      </c>
      <c r="D780" s="3" t="s">
        <v>12</v>
      </c>
      <c r="E780" s="3" t="s">
        <v>33</v>
      </c>
      <c r="F780" s="3">
        <v>75</v>
      </c>
      <c r="G780" s="4">
        <v>28.3</v>
      </c>
      <c r="H780" s="4">
        <v>84.3</v>
      </c>
      <c r="I780" s="6">
        <v>6.246908650974949</v>
      </c>
      <c r="J780" s="5">
        <v>4.9000000000000002E-2</v>
      </c>
      <c r="K780" s="4">
        <v>24.2</v>
      </c>
      <c r="L780" s="4">
        <v>57</v>
      </c>
      <c r="M780" s="6">
        <v>4.553251204092164</v>
      </c>
      <c r="N780" s="5">
        <v>3.6999999999999998E-2</v>
      </c>
      <c r="O780" s="5">
        <v>1.693657446882785</v>
      </c>
      <c r="P780" s="5">
        <v>1.693657446882785</v>
      </c>
      <c r="Q780" s="8">
        <v>0.20833333333333334</v>
      </c>
      <c r="R780" s="8">
        <v>0.88541666666666663</v>
      </c>
      <c r="S780" s="6">
        <f t="shared" si="36"/>
        <v>16.25</v>
      </c>
      <c r="T780" s="5">
        <f t="shared" si="37"/>
        <v>0.10422507365432523</v>
      </c>
      <c r="U780" s="3">
        <v>2.21</v>
      </c>
      <c r="V780" s="5">
        <f t="shared" si="38"/>
        <v>4.7160666811911868E-2</v>
      </c>
      <c r="W780" s="3">
        <v>4.7160666811911868E-2</v>
      </c>
    </row>
    <row r="781" spans="1:23" x14ac:dyDescent="0.55000000000000004">
      <c r="A781" s="3">
        <v>2</v>
      </c>
      <c r="B781" s="3" t="s">
        <v>48</v>
      </c>
      <c r="C781" s="3" t="s">
        <v>49</v>
      </c>
      <c r="D781" s="3" t="s">
        <v>38</v>
      </c>
      <c r="E781" s="3" t="s">
        <v>29</v>
      </c>
      <c r="F781" s="3">
        <v>61</v>
      </c>
      <c r="G781" s="4">
        <v>29.2</v>
      </c>
      <c r="H781" s="4">
        <v>78.400000000000006</v>
      </c>
      <c r="I781" s="6">
        <v>5.7178093397819838</v>
      </c>
      <c r="J781" s="5">
        <v>8.7999999999999995E-2</v>
      </c>
      <c r="K781" s="4">
        <v>24.8</v>
      </c>
      <c r="L781" s="4">
        <v>50.6</v>
      </c>
      <c r="M781" s="6">
        <v>3.9967880902997353</v>
      </c>
      <c r="N781" s="5">
        <v>0.08</v>
      </c>
      <c r="O781" s="5">
        <v>1.7210212494822485</v>
      </c>
      <c r="P781" s="5">
        <v>1.7210212494822485</v>
      </c>
      <c r="Q781" s="8">
        <v>0.19791666666666666</v>
      </c>
      <c r="R781" s="8">
        <v>0.88541666666666663</v>
      </c>
      <c r="S781" s="6">
        <f t="shared" si="36"/>
        <v>16.5</v>
      </c>
      <c r="T781" s="5">
        <f t="shared" si="37"/>
        <v>0.10430431815043931</v>
      </c>
      <c r="U781" s="3">
        <v>2.21</v>
      </c>
      <c r="V781" s="5">
        <f t="shared" si="38"/>
        <v>4.7196524049972537E-2</v>
      </c>
      <c r="W781" s="3">
        <v>4.7196524049972537E-2</v>
      </c>
    </row>
    <row r="782" spans="1:23" x14ac:dyDescent="0.55000000000000004">
      <c r="A782" s="3">
        <v>54</v>
      </c>
      <c r="B782" s="3" t="s">
        <v>48</v>
      </c>
      <c r="C782" s="3" t="s">
        <v>50</v>
      </c>
      <c r="D782" s="3" t="s">
        <v>10</v>
      </c>
      <c r="E782" s="2" t="s">
        <v>24</v>
      </c>
      <c r="F782" s="3">
        <v>44</v>
      </c>
      <c r="G782" s="4">
        <v>25.7</v>
      </c>
      <c r="H782" s="4">
        <v>94.2</v>
      </c>
      <c r="I782" s="6">
        <v>7.3174119625223675</v>
      </c>
      <c r="J782" s="5">
        <v>5.6000000000000001E-2</v>
      </c>
      <c r="K782" s="4">
        <v>21</v>
      </c>
      <c r="L782" s="4">
        <v>65.5</v>
      </c>
      <c r="M782" s="6">
        <v>5.5649092801945184</v>
      </c>
      <c r="N782" s="5">
        <v>5.0999999999999997E-2</v>
      </c>
      <c r="O782" s="5">
        <v>1.7525026823278491</v>
      </c>
      <c r="P782" s="5">
        <v>1.7525026823278491</v>
      </c>
      <c r="Q782" s="8">
        <v>0.20277777777777781</v>
      </c>
      <c r="R782" s="8">
        <v>0.90277777777777779</v>
      </c>
      <c r="S782" s="6">
        <f t="shared" si="36"/>
        <v>16.799999999999997</v>
      </c>
      <c r="T782" s="5">
        <f t="shared" si="37"/>
        <v>0.10431563585284818</v>
      </c>
      <c r="U782" s="3">
        <v>2.21</v>
      </c>
      <c r="V782" s="5">
        <f t="shared" si="38"/>
        <v>4.7201645182284244E-2</v>
      </c>
      <c r="W782" s="3">
        <v>4.7201645182284244E-2</v>
      </c>
    </row>
    <row r="783" spans="1:23" x14ac:dyDescent="0.55000000000000004">
      <c r="A783" s="3">
        <v>41</v>
      </c>
      <c r="B783" s="3" t="s">
        <v>51</v>
      </c>
      <c r="C783" s="3" t="s">
        <v>50</v>
      </c>
      <c r="D783" s="3" t="s">
        <v>9</v>
      </c>
      <c r="E783" s="2" t="s">
        <v>13</v>
      </c>
      <c r="F783" s="3">
        <v>8</v>
      </c>
      <c r="G783" s="4">
        <v>22</v>
      </c>
      <c r="H783" s="4">
        <v>119</v>
      </c>
      <c r="I783" s="6">
        <v>9.9143869637776234</v>
      </c>
      <c r="J783" s="5">
        <v>3.6999999999999998E-2</v>
      </c>
      <c r="K783" s="4">
        <v>19.3</v>
      </c>
      <c r="L783" s="4">
        <v>94.1</v>
      </c>
      <c r="M783" s="6">
        <v>8.2707140634932941</v>
      </c>
      <c r="N783" s="5">
        <v>3.5000000000000003E-2</v>
      </c>
      <c r="O783" s="5">
        <v>1.6436729002843293</v>
      </c>
      <c r="P783" s="5">
        <v>1.6436729002843293</v>
      </c>
      <c r="Q783" s="8">
        <v>0.20833333333333334</v>
      </c>
      <c r="R783" s="8">
        <v>0.86319444444444438</v>
      </c>
      <c r="S783" s="6">
        <f t="shared" si="36"/>
        <v>15.716666666666665</v>
      </c>
      <c r="T783" s="5">
        <f t="shared" si="37"/>
        <v>0.10458152069677601</v>
      </c>
      <c r="U783" s="3">
        <v>2.21</v>
      </c>
      <c r="V783" s="5">
        <f t="shared" si="38"/>
        <v>4.7321955066414477E-2</v>
      </c>
      <c r="W783" s="3">
        <v>4.7321955066414477E-2</v>
      </c>
    </row>
    <row r="784" spans="1:23" x14ac:dyDescent="0.55000000000000004">
      <c r="A784" s="3">
        <v>58</v>
      </c>
      <c r="B784" s="3" t="s">
        <v>53</v>
      </c>
      <c r="C784" s="3" t="s">
        <v>49</v>
      </c>
      <c r="D784" s="3" t="s">
        <v>41</v>
      </c>
      <c r="E784" s="2" t="s">
        <v>22</v>
      </c>
      <c r="F784" s="3">
        <v>37</v>
      </c>
      <c r="G784" s="4">
        <v>30</v>
      </c>
      <c r="H784" s="4">
        <v>86.7</v>
      </c>
      <c r="I784" s="6">
        <v>6.2351213039685396</v>
      </c>
      <c r="J784" s="5">
        <v>6.2E-2</v>
      </c>
      <c r="K784" s="4">
        <v>24.8</v>
      </c>
      <c r="L784" s="4">
        <v>57.2</v>
      </c>
      <c r="M784" s="6">
        <v>4.5181082759910058</v>
      </c>
      <c r="N784" s="5">
        <v>5.8000000000000003E-2</v>
      </c>
      <c r="O784" s="5">
        <v>1.7170130279775337</v>
      </c>
      <c r="P784" s="5">
        <v>1.7170130279775337</v>
      </c>
      <c r="Q784" s="8">
        <v>0.20138888888888887</v>
      </c>
      <c r="R784" s="8">
        <v>0.88541666666666663</v>
      </c>
      <c r="S784" s="6">
        <f t="shared" si="36"/>
        <v>16.416666666666668</v>
      </c>
      <c r="T784" s="5">
        <f t="shared" si="37"/>
        <v>0.10458962606969747</v>
      </c>
      <c r="U784" s="3">
        <v>2.21</v>
      </c>
      <c r="V784" s="5">
        <f t="shared" si="38"/>
        <v>4.7325622655971712E-2</v>
      </c>
      <c r="W784" s="3">
        <v>4.7325622655971712E-2</v>
      </c>
    </row>
    <row r="785" spans="1:23" x14ac:dyDescent="0.55000000000000004">
      <c r="A785" s="3">
        <v>7</v>
      </c>
      <c r="B785" s="3" t="s">
        <v>53</v>
      </c>
      <c r="C785" s="3" t="s">
        <v>49</v>
      </c>
      <c r="D785" s="3" t="s">
        <v>41</v>
      </c>
      <c r="E785" s="3" t="s">
        <v>28</v>
      </c>
      <c r="F785" s="3">
        <v>58</v>
      </c>
      <c r="G785" s="4">
        <v>27.1</v>
      </c>
      <c r="H785" s="4">
        <v>78.599999999999994</v>
      </c>
      <c r="I785" s="6">
        <v>5.9514047169499698</v>
      </c>
      <c r="J785" s="5">
        <v>7.1999999999999995E-2</v>
      </c>
      <c r="K785" s="4">
        <v>22.7</v>
      </c>
      <c r="L785" s="4">
        <v>51.6</v>
      </c>
      <c r="M785" s="6">
        <v>4.2412386876782735</v>
      </c>
      <c r="N785" s="5">
        <v>6.8000000000000005E-2</v>
      </c>
      <c r="O785" s="5">
        <v>1.7101660292716963</v>
      </c>
      <c r="P785" s="5">
        <v>1.7101660292716963</v>
      </c>
      <c r="Q785" s="8">
        <v>0.20833333333333334</v>
      </c>
      <c r="R785" s="8">
        <v>0.88888888888888884</v>
      </c>
      <c r="S785" s="6">
        <f t="shared" si="36"/>
        <v>16.333333333333332</v>
      </c>
      <c r="T785" s="5">
        <f t="shared" si="37"/>
        <v>0.1047040426084712</v>
      </c>
      <c r="U785" s="3">
        <v>2.21</v>
      </c>
      <c r="V785" s="5">
        <f t="shared" si="38"/>
        <v>4.7377394845462086E-2</v>
      </c>
      <c r="W785" s="3">
        <v>4.7377394845462086E-2</v>
      </c>
    </row>
    <row r="786" spans="1:23" x14ac:dyDescent="0.55000000000000004">
      <c r="A786" s="3">
        <v>33</v>
      </c>
      <c r="B786" s="3" t="s">
        <v>51</v>
      </c>
      <c r="C786" s="3" t="s">
        <v>50</v>
      </c>
      <c r="D786" s="3" t="s">
        <v>9</v>
      </c>
      <c r="E786" s="2" t="s">
        <v>8</v>
      </c>
      <c r="F786" s="3">
        <v>5</v>
      </c>
      <c r="G786" s="4">
        <v>20.6</v>
      </c>
      <c r="H786" s="4">
        <v>126.9</v>
      </c>
      <c r="I786" s="6">
        <v>10.867070628926166</v>
      </c>
      <c r="J786" s="5">
        <v>3.5999999999999997E-2</v>
      </c>
      <c r="K786" s="4">
        <v>15.4</v>
      </c>
      <c r="L786" s="4">
        <v>96.5</v>
      </c>
      <c r="M786" s="6">
        <v>9.1996128010837417</v>
      </c>
      <c r="N786" s="5">
        <v>3.3000000000000002E-2</v>
      </c>
      <c r="O786" s="5">
        <v>1.6674578278424246</v>
      </c>
      <c r="P786" s="5">
        <v>1.6674578278424246</v>
      </c>
      <c r="Q786" s="8">
        <v>0.20833333333333334</v>
      </c>
      <c r="R786" s="8">
        <v>0.87083333333333324</v>
      </c>
      <c r="S786" s="6">
        <f t="shared" si="36"/>
        <v>15.899999999999997</v>
      </c>
      <c r="T786" s="5">
        <f t="shared" si="37"/>
        <v>0.10487156149952358</v>
      </c>
      <c r="U786" s="3">
        <v>2.21</v>
      </c>
      <c r="V786" s="5">
        <f t="shared" si="38"/>
        <v>4.7453195248653206E-2</v>
      </c>
      <c r="W786" s="3">
        <v>4.7453195248653206E-2</v>
      </c>
    </row>
    <row r="787" spans="1:23" x14ac:dyDescent="0.55000000000000004">
      <c r="A787" s="3">
        <v>9</v>
      </c>
      <c r="B787" s="3" t="s">
        <v>48</v>
      </c>
      <c r="C787" s="3" t="s">
        <v>50</v>
      </c>
      <c r="D787" s="3" t="s">
        <v>10</v>
      </c>
      <c r="E787" s="2" t="s">
        <v>16</v>
      </c>
      <c r="F787" s="3">
        <v>16</v>
      </c>
      <c r="G787" s="4">
        <v>20.7</v>
      </c>
      <c r="H787" s="4">
        <v>98.7</v>
      </c>
      <c r="I787" s="6">
        <v>8.4354373505318581</v>
      </c>
      <c r="J787" s="5">
        <v>0.04</v>
      </c>
      <c r="K787" s="4">
        <v>19.7</v>
      </c>
      <c r="L787" s="4">
        <v>77.7</v>
      </c>
      <c r="M787" s="6">
        <v>6.7744383812188858</v>
      </c>
      <c r="N787" s="5">
        <v>4.1000000000000002E-2</v>
      </c>
      <c r="O787" s="5">
        <v>1.6609989693129723</v>
      </c>
      <c r="P787" s="5">
        <v>1.6609989693129723</v>
      </c>
      <c r="Q787" s="8">
        <v>0.20833333333333334</v>
      </c>
      <c r="R787" s="8">
        <v>0.86805555555555547</v>
      </c>
      <c r="S787" s="6">
        <f t="shared" si="36"/>
        <v>15.83333333333333</v>
      </c>
      <c r="T787" s="5">
        <f t="shared" si="37"/>
        <v>0.10490519806187196</v>
      </c>
      <c r="U787" s="3">
        <v>2.21</v>
      </c>
      <c r="V787" s="5">
        <f t="shared" si="38"/>
        <v>4.7468415412611743E-2</v>
      </c>
      <c r="W787" s="3">
        <v>4.7468415412611743E-2</v>
      </c>
    </row>
    <row r="788" spans="1:23" x14ac:dyDescent="0.55000000000000004">
      <c r="A788" s="3">
        <v>5</v>
      </c>
      <c r="B788" s="3" t="s">
        <v>48</v>
      </c>
      <c r="C788" s="3" t="s">
        <v>49</v>
      </c>
      <c r="D788" s="3" t="s">
        <v>38</v>
      </c>
      <c r="E788" s="2" t="s">
        <v>23</v>
      </c>
      <c r="F788" s="3">
        <v>40</v>
      </c>
      <c r="G788" s="4">
        <v>27.9</v>
      </c>
      <c r="H788" s="4">
        <v>90.5</v>
      </c>
      <c r="I788" s="6">
        <v>6.7544433588437265</v>
      </c>
      <c r="J788" s="5">
        <v>5.5E-2</v>
      </c>
      <c r="K788" s="4">
        <v>23.4</v>
      </c>
      <c r="L788" s="4">
        <v>62.1</v>
      </c>
      <c r="M788" s="6">
        <v>5.036363647655075</v>
      </c>
      <c r="N788" s="5">
        <v>5.6000000000000001E-2</v>
      </c>
      <c r="O788" s="5">
        <v>1.7180797111886514</v>
      </c>
      <c r="P788" s="5">
        <v>1.7180797111886514</v>
      </c>
      <c r="Q788" s="8">
        <v>0.20833333333333334</v>
      </c>
      <c r="R788" s="8">
        <v>0.89027777777777783</v>
      </c>
      <c r="S788" s="6">
        <f t="shared" si="36"/>
        <v>16.366666666666667</v>
      </c>
      <c r="T788" s="5">
        <f t="shared" si="37"/>
        <v>0.10497432043922514</v>
      </c>
      <c r="U788" s="3">
        <v>2.21</v>
      </c>
      <c r="V788" s="5">
        <f t="shared" si="38"/>
        <v>4.7499692506436708E-2</v>
      </c>
      <c r="W788" s="3">
        <v>4.7499692506436708E-2</v>
      </c>
    </row>
    <row r="789" spans="1:23" x14ac:dyDescent="0.55000000000000004">
      <c r="A789" s="3">
        <v>25</v>
      </c>
      <c r="B789" s="3" t="s">
        <v>53</v>
      </c>
      <c r="C789" s="3" t="s">
        <v>49</v>
      </c>
      <c r="D789" s="3" t="s">
        <v>41</v>
      </c>
      <c r="E789" s="2" t="s">
        <v>19</v>
      </c>
      <c r="F789" s="3">
        <v>26</v>
      </c>
      <c r="G789" s="4">
        <v>22.3</v>
      </c>
      <c r="H789" s="4">
        <v>90</v>
      </c>
      <c r="I789" s="6">
        <v>7.4547991672399041</v>
      </c>
      <c r="J789" s="5">
        <v>4.7E-2</v>
      </c>
      <c r="K789" s="4">
        <v>21.8</v>
      </c>
      <c r="L789" s="4">
        <v>68.7</v>
      </c>
      <c r="M789" s="6">
        <v>5.7459965753210804</v>
      </c>
      <c r="N789" s="5">
        <v>4.3999999999999997E-2</v>
      </c>
      <c r="O789" s="5">
        <v>1.7088025919188237</v>
      </c>
      <c r="P789" s="5">
        <v>1.7088025919188237</v>
      </c>
      <c r="Q789" s="8">
        <v>0.20833333333333334</v>
      </c>
      <c r="R789" s="8">
        <v>0.88541666666666663</v>
      </c>
      <c r="S789" s="6">
        <f t="shared" si="36"/>
        <v>16.25</v>
      </c>
      <c r="T789" s="5">
        <f t="shared" si="37"/>
        <v>0.10515708257961992</v>
      </c>
      <c r="U789" s="3">
        <v>2.21</v>
      </c>
      <c r="V789" s="5">
        <f t="shared" si="38"/>
        <v>4.7582390307520324E-2</v>
      </c>
      <c r="W789" s="3">
        <v>4.7582390307520324E-2</v>
      </c>
    </row>
    <row r="790" spans="1:23" x14ac:dyDescent="0.55000000000000004">
      <c r="A790" s="3">
        <v>31</v>
      </c>
      <c r="B790" s="3" t="s">
        <v>52</v>
      </c>
      <c r="C790" s="3" t="s">
        <v>49</v>
      </c>
      <c r="D790" s="3" t="s">
        <v>40</v>
      </c>
      <c r="E790" s="3" t="s">
        <v>33</v>
      </c>
      <c r="F790" s="3">
        <v>75</v>
      </c>
      <c r="G790" s="4">
        <v>26.8</v>
      </c>
      <c r="H790" s="4">
        <v>80.099999999999994</v>
      </c>
      <c r="I790" s="6">
        <v>6.098072457574867</v>
      </c>
      <c r="J790" s="5">
        <v>0.06</v>
      </c>
      <c r="K790" s="4">
        <v>23.3</v>
      </c>
      <c r="L790" s="4">
        <v>54</v>
      </c>
      <c r="M790" s="6">
        <v>4.3877996607629912</v>
      </c>
      <c r="N790" s="5">
        <v>5.8000000000000003E-2</v>
      </c>
      <c r="O790" s="5">
        <v>1.7102727968118758</v>
      </c>
      <c r="P790" s="5">
        <v>1.7102727968118758</v>
      </c>
      <c r="Q790" s="8">
        <v>0.20833333333333334</v>
      </c>
      <c r="R790" s="8">
        <v>0.88541666666666663</v>
      </c>
      <c r="S790" s="6">
        <f t="shared" si="36"/>
        <v>16.25</v>
      </c>
      <c r="T790" s="5">
        <f t="shared" si="37"/>
        <v>0.10524755672688467</v>
      </c>
      <c r="U790" s="3">
        <v>2.21</v>
      </c>
      <c r="V790" s="5">
        <f t="shared" si="38"/>
        <v>4.7623328835694423E-2</v>
      </c>
      <c r="W790" s="3">
        <v>4.7623328835694423E-2</v>
      </c>
    </row>
    <row r="791" spans="1:23" x14ac:dyDescent="0.55000000000000004">
      <c r="A791" s="3">
        <v>7</v>
      </c>
      <c r="B791" s="3" t="s">
        <v>53</v>
      </c>
      <c r="C791" s="3" t="s">
        <v>49</v>
      </c>
      <c r="D791" s="3" t="s">
        <v>41</v>
      </c>
      <c r="E791" s="2" t="s">
        <v>25</v>
      </c>
      <c r="F791" s="3">
        <v>47</v>
      </c>
      <c r="G791" s="4">
        <v>27.8</v>
      </c>
      <c r="H791" s="4">
        <v>70.3</v>
      </c>
      <c r="I791" s="6">
        <v>5.2562341462253404</v>
      </c>
      <c r="J791" s="5">
        <v>7.1999999999999995E-2</v>
      </c>
      <c r="K791" s="4">
        <v>24.5</v>
      </c>
      <c r="L791" s="4">
        <v>44.3</v>
      </c>
      <c r="M791" s="6">
        <v>3.518862781367436</v>
      </c>
      <c r="N791" s="5">
        <v>6.8000000000000005E-2</v>
      </c>
      <c r="O791" s="5">
        <v>1.7373713648579043</v>
      </c>
      <c r="P791" s="5">
        <v>1.7373713648579043</v>
      </c>
      <c r="Q791" s="8">
        <v>0.20833333333333334</v>
      </c>
      <c r="R791" s="8">
        <v>0.89583333333333337</v>
      </c>
      <c r="S791" s="6">
        <f t="shared" si="36"/>
        <v>16.5</v>
      </c>
      <c r="T791" s="5">
        <f t="shared" si="37"/>
        <v>0.10529523423381239</v>
      </c>
      <c r="U791" s="3">
        <v>2.21</v>
      </c>
      <c r="V791" s="5">
        <f t="shared" si="38"/>
        <v>4.7644902368240899E-2</v>
      </c>
      <c r="W791" s="3">
        <v>4.7644902368240899E-2</v>
      </c>
    </row>
    <row r="792" spans="1:23" x14ac:dyDescent="0.55000000000000004">
      <c r="A792" s="3">
        <v>10</v>
      </c>
      <c r="B792" s="3" t="s">
        <v>51</v>
      </c>
      <c r="C792" s="3" t="s">
        <v>49</v>
      </c>
      <c r="D792" s="3" t="s">
        <v>39</v>
      </c>
      <c r="E792" s="2" t="s">
        <v>22</v>
      </c>
      <c r="F792" s="3">
        <v>37</v>
      </c>
      <c r="G792" s="4">
        <v>29.7</v>
      </c>
      <c r="H792" s="4">
        <v>92.3</v>
      </c>
      <c r="I792" s="6">
        <v>6.6727239909592289</v>
      </c>
      <c r="J792" s="5">
        <v>6.5000000000000002E-2</v>
      </c>
      <c r="K792" s="4">
        <v>24.9</v>
      </c>
      <c r="L792" s="4">
        <v>62.7</v>
      </c>
      <c r="M792" s="6">
        <v>4.9433085593487567</v>
      </c>
      <c r="N792" s="5">
        <v>6.6000000000000003E-2</v>
      </c>
      <c r="O792" s="5">
        <v>1.7294154316104722</v>
      </c>
      <c r="P792" s="5">
        <v>1.7294154316104722</v>
      </c>
      <c r="Q792" s="8">
        <v>0.20138888888888887</v>
      </c>
      <c r="R792" s="8">
        <v>0.88541666666666663</v>
      </c>
      <c r="S792" s="6">
        <f t="shared" si="36"/>
        <v>16.416666666666668</v>
      </c>
      <c r="T792" s="5">
        <f t="shared" si="37"/>
        <v>0.1053451024331252</v>
      </c>
      <c r="U792" s="3">
        <v>2.21</v>
      </c>
      <c r="V792" s="5">
        <f t="shared" si="38"/>
        <v>4.7667467164310043E-2</v>
      </c>
      <c r="W792" s="3">
        <v>4.7667467164310043E-2</v>
      </c>
    </row>
    <row r="793" spans="1:23" x14ac:dyDescent="0.55000000000000004">
      <c r="A793" s="3">
        <v>39</v>
      </c>
      <c r="B793" s="3" t="s">
        <v>51</v>
      </c>
      <c r="C793" s="3" t="s">
        <v>50</v>
      </c>
      <c r="D793" s="3" t="s">
        <v>9</v>
      </c>
      <c r="E793" s="2" t="s">
        <v>15</v>
      </c>
      <c r="F793" s="3">
        <v>12</v>
      </c>
      <c r="G793" s="4">
        <v>22.6</v>
      </c>
      <c r="H793" s="4">
        <v>119.4</v>
      </c>
      <c r="I793" s="6">
        <v>9.8329345945626958</v>
      </c>
      <c r="J793" s="5">
        <v>3.6999999999999998E-2</v>
      </c>
      <c r="K793" s="4">
        <v>19.600000000000001</v>
      </c>
      <c r="L793" s="4">
        <v>93.4</v>
      </c>
      <c r="M793" s="6">
        <v>8.159667451091245</v>
      </c>
      <c r="N793" s="5">
        <v>3.3000000000000002E-2</v>
      </c>
      <c r="O793" s="5">
        <v>1.6732671434714508</v>
      </c>
      <c r="P793" s="5">
        <v>1.6732671434714508</v>
      </c>
      <c r="Q793" s="8">
        <v>0.21319444444444444</v>
      </c>
      <c r="R793" s="8">
        <v>0.875</v>
      </c>
      <c r="S793" s="6">
        <f t="shared" si="36"/>
        <v>15.883333333333333</v>
      </c>
      <c r="T793" s="5">
        <f t="shared" si="37"/>
        <v>0.10534735425843342</v>
      </c>
      <c r="U793" s="3">
        <v>2.21</v>
      </c>
      <c r="V793" s="5">
        <f t="shared" si="38"/>
        <v>4.7668486089788881E-2</v>
      </c>
      <c r="W793" s="3">
        <v>4.7668486089788881E-2</v>
      </c>
    </row>
    <row r="794" spans="1:23" x14ac:dyDescent="0.55000000000000004">
      <c r="A794" s="3">
        <v>26</v>
      </c>
      <c r="B794" s="3" t="s">
        <v>52</v>
      </c>
      <c r="C794" s="3" t="s">
        <v>50</v>
      </c>
      <c r="D794" s="3" t="s">
        <v>12</v>
      </c>
      <c r="E794" s="2" t="s">
        <v>18</v>
      </c>
      <c r="F794" s="3">
        <v>24</v>
      </c>
      <c r="G794" s="4">
        <v>22.6</v>
      </c>
      <c r="H794" s="4">
        <v>118.4</v>
      </c>
      <c r="I794" s="6">
        <v>9.7505817085110831</v>
      </c>
      <c r="J794" s="5">
        <v>4.2000000000000003E-2</v>
      </c>
      <c r="K794" s="4">
        <v>20.2</v>
      </c>
      <c r="L794" s="4">
        <v>93.3</v>
      </c>
      <c r="M794" s="6">
        <v>8.053541909413843</v>
      </c>
      <c r="N794" s="5">
        <v>3.5999999999999997E-2</v>
      </c>
      <c r="O794" s="5">
        <v>1.6970397990972401</v>
      </c>
      <c r="P794" s="5">
        <v>1.6970397990972401</v>
      </c>
      <c r="Q794" s="8">
        <v>0.21180555555555555</v>
      </c>
      <c r="R794" s="8">
        <v>0.88194444444444453</v>
      </c>
      <c r="S794" s="6">
        <f t="shared" si="36"/>
        <v>16.083333333333336</v>
      </c>
      <c r="T794" s="5">
        <f t="shared" si="37"/>
        <v>0.10551542792314444</v>
      </c>
      <c r="U794" s="3">
        <v>2.21</v>
      </c>
      <c r="V794" s="5">
        <f t="shared" si="38"/>
        <v>4.774453752178482E-2</v>
      </c>
      <c r="W794" s="3">
        <v>4.774453752178482E-2</v>
      </c>
    </row>
    <row r="795" spans="1:23" x14ac:dyDescent="0.55000000000000004">
      <c r="A795" s="3">
        <v>64</v>
      </c>
      <c r="B795" s="3" t="s">
        <v>53</v>
      </c>
      <c r="C795" s="3" t="s">
        <v>50</v>
      </c>
      <c r="D795" s="3" t="s">
        <v>11</v>
      </c>
      <c r="E795" s="2" t="s">
        <v>19</v>
      </c>
      <c r="F795" s="3">
        <v>26</v>
      </c>
      <c r="G795" s="4">
        <v>23.7</v>
      </c>
      <c r="H795" s="4">
        <v>106.9</v>
      </c>
      <c r="I795" s="6">
        <v>8.6204019478807385</v>
      </c>
      <c r="J795" s="5">
        <v>4.7E-2</v>
      </c>
      <c r="K795" s="4">
        <v>22.9</v>
      </c>
      <c r="L795" s="4">
        <v>84.3</v>
      </c>
      <c r="M795" s="6">
        <v>6.9024383225761472</v>
      </c>
      <c r="N795" s="5">
        <v>4.2999999999999997E-2</v>
      </c>
      <c r="O795" s="5">
        <v>1.7179636253045913</v>
      </c>
      <c r="P795" s="5">
        <v>1.7179636253045913</v>
      </c>
      <c r="Q795" s="8">
        <v>0.20833333333333334</v>
      </c>
      <c r="R795" s="8">
        <v>0.88541666666666663</v>
      </c>
      <c r="S795" s="6">
        <f t="shared" si="36"/>
        <v>16.25</v>
      </c>
      <c r="T795" s="5">
        <f t="shared" si="37"/>
        <v>0.10572083848028255</v>
      </c>
      <c r="U795" s="3">
        <v>2.21</v>
      </c>
      <c r="V795" s="5">
        <f t="shared" si="38"/>
        <v>4.7837483475240972E-2</v>
      </c>
      <c r="W795" s="3">
        <v>4.7837483475240972E-2</v>
      </c>
    </row>
    <row r="796" spans="1:23" x14ac:dyDescent="0.55000000000000004">
      <c r="A796" s="3">
        <v>30</v>
      </c>
      <c r="B796" s="3" t="s">
        <v>52</v>
      </c>
      <c r="C796" s="3" t="s">
        <v>49</v>
      </c>
      <c r="D796" s="3" t="s">
        <v>40</v>
      </c>
      <c r="E796" s="2" t="s">
        <v>22</v>
      </c>
      <c r="F796" s="3">
        <v>37</v>
      </c>
      <c r="G796" s="4">
        <v>28.9</v>
      </c>
      <c r="H796" s="4">
        <v>82.2</v>
      </c>
      <c r="I796" s="6">
        <v>6.0267680099196879</v>
      </c>
      <c r="J796" s="5">
        <v>6.3E-2</v>
      </c>
      <c r="K796" s="4">
        <v>24.3</v>
      </c>
      <c r="L796" s="4">
        <v>53.8</v>
      </c>
      <c r="M796" s="6">
        <v>4.289551118848939</v>
      </c>
      <c r="N796" s="5">
        <v>5.8000000000000003E-2</v>
      </c>
      <c r="O796" s="5">
        <v>1.7372168910707488</v>
      </c>
      <c r="P796" s="5">
        <v>1.7372168910707488</v>
      </c>
      <c r="Q796" s="8">
        <v>0.20138888888888887</v>
      </c>
      <c r="R796" s="8">
        <v>0.88541666666666663</v>
      </c>
      <c r="S796" s="6">
        <f t="shared" si="36"/>
        <v>16.416666666666668</v>
      </c>
      <c r="T796" s="5">
        <f t="shared" si="37"/>
        <v>0.1058203182378121</v>
      </c>
      <c r="U796" s="3">
        <v>2.21</v>
      </c>
      <c r="V796" s="5">
        <f t="shared" si="38"/>
        <v>4.7882496940186474E-2</v>
      </c>
      <c r="W796" s="3">
        <v>4.7882496940186474E-2</v>
      </c>
    </row>
    <row r="797" spans="1:23" x14ac:dyDescent="0.55000000000000004">
      <c r="A797" s="3">
        <v>31</v>
      </c>
      <c r="B797" s="3" t="s">
        <v>52</v>
      </c>
      <c r="C797" s="3" t="s">
        <v>49</v>
      </c>
      <c r="D797" s="3" t="s">
        <v>40</v>
      </c>
      <c r="E797" s="3" t="s">
        <v>26</v>
      </c>
      <c r="F797" s="3">
        <v>51</v>
      </c>
      <c r="G797" s="4">
        <v>26.6</v>
      </c>
      <c r="H797" s="4">
        <v>79.900000000000006</v>
      </c>
      <c r="I797" s="6">
        <v>6.105026055283175</v>
      </c>
      <c r="J797" s="5">
        <v>7.1999999999999995E-2</v>
      </c>
      <c r="K797" s="4">
        <v>24</v>
      </c>
      <c r="L797" s="4">
        <v>55</v>
      </c>
      <c r="M797" s="6">
        <v>4.4100877315493836</v>
      </c>
      <c r="N797" s="5">
        <v>7.0999999999999994E-2</v>
      </c>
      <c r="O797" s="5">
        <v>1.6949383237337914</v>
      </c>
      <c r="P797" s="5">
        <v>1.6949383237337914</v>
      </c>
      <c r="Q797" s="8">
        <v>0.20833333333333334</v>
      </c>
      <c r="R797" s="8">
        <v>0.875</v>
      </c>
      <c r="S797" s="6">
        <f t="shared" si="36"/>
        <v>16</v>
      </c>
      <c r="T797" s="5">
        <f t="shared" si="37"/>
        <v>0.10593364523336196</v>
      </c>
      <c r="U797" s="3">
        <v>2.21</v>
      </c>
      <c r="V797" s="5">
        <f t="shared" si="38"/>
        <v>4.7933776123693199E-2</v>
      </c>
      <c r="W797" s="3">
        <v>4.7933776123693199E-2</v>
      </c>
    </row>
    <row r="798" spans="1:23" x14ac:dyDescent="0.55000000000000004">
      <c r="A798" s="3">
        <v>14</v>
      </c>
      <c r="B798" s="3" t="s">
        <v>48</v>
      </c>
      <c r="C798" s="3" t="s">
        <v>50</v>
      </c>
      <c r="D798" s="3" t="s">
        <v>10</v>
      </c>
      <c r="E798" s="3" t="s">
        <v>35</v>
      </c>
      <c r="F798" s="3">
        <v>82</v>
      </c>
      <c r="G798" s="4">
        <v>31.5</v>
      </c>
      <c r="H798" s="4">
        <v>83.8</v>
      </c>
      <c r="I798" s="6">
        <v>5.8724542828324697</v>
      </c>
      <c r="J798" s="5">
        <v>7.9000000000000001E-2</v>
      </c>
      <c r="K798" s="4">
        <v>27.3</v>
      </c>
      <c r="L798" s="4">
        <v>55</v>
      </c>
      <c r="M798" s="6">
        <v>4.1494394975539599</v>
      </c>
      <c r="N798" s="5">
        <v>5.8999999999999997E-2</v>
      </c>
      <c r="O798" s="5">
        <v>1.7230147852785098</v>
      </c>
      <c r="P798" s="5">
        <v>1.7230147852785098</v>
      </c>
      <c r="Q798" s="8">
        <v>0.20833333333333334</v>
      </c>
      <c r="R798" s="8">
        <v>0.88541666666666663</v>
      </c>
      <c r="S798" s="6">
        <f t="shared" si="36"/>
        <v>16.25</v>
      </c>
      <c r="T798" s="5">
        <f t="shared" si="37"/>
        <v>0.10603167909406214</v>
      </c>
      <c r="U798" s="3">
        <v>2.21</v>
      </c>
      <c r="V798" s="5">
        <f t="shared" si="38"/>
        <v>4.7978135336679703E-2</v>
      </c>
      <c r="W798" s="3">
        <v>4.7978135336679703E-2</v>
      </c>
    </row>
    <row r="799" spans="1:23" x14ac:dyDescent="0.55000000000000004">
      <c r="A799" s="3">
        <v>18</v>
      </c>
      <c r="B799" s="3" t="s">
        <v>51</v>
      </c>
      <c r="C799" s="3" t="s">
        <v>50</v>
      </c>
      <c r="D799" s="3" t="s">
        <v>9</v>
      </c>
      <c r="E799" s="2" t="s">
        <v>20</v>
      </c>
      <c r="F799" s="3">
        <v>30</v>
      </c>
      <c r="G799" s="4">
        <v>27.4</v>
      </c>
      <c r="H799" s="4">
        <v>118.1</v>
      </c>
      <c r="I799" s="6">
        <v>8.8939177171779082</v>
      </c>
      <c r="J799" s="5">
        <v>5.0999999999999997E-2</v>
      </c>
      <c r="K799" s="4">
        <v>24.1</v>
      </c>
      <c r="L799" s="4">
        <v>89.6</v>
      </c>
      <c r="M799" s="6">
        <v>7.170890428127831</v>
      </c>
      <c r="N799" s="5">
        <v>4.4999999999999998E-2</v>
      </c>
      <c r="O799" s="5">
        <v>1.7230272890500773</v>
      </c>
      <c r="P799" s="5">
        <v>1.7230272890500773</v>
      </c>
      <c r="Q799" s="8">
        <v>0.20833333333333334</v>
      </c>
      <c r="R799" s="8">
        <v>0.88541666666666663</v>
      </c>
      <c r="S799" s="6">
        <f t="shared" si="36"/>
        <v>16.25</v>
      </c>
      <c r="T799" s="5">
        <f t="shared" si="37"/>
        <v>0.10603244855692784</v>
      </c>
      <c r="U799" s="3">
        <v>2.21</v>
      </c>
      <c r="V799" s="5">
        <f t="shared" si="38"/>
        <v>4.79784835099221E-2</v>
      </c>
      <c r="W799" s="3">
        <v>4.79784835099221E-2</v>
      </c>
    </row>
    <row r="800" spans="1:23" x14ac:dyDescent="0.55000000000000004">
      <c r="A800" s="3">
        <v>34</v>
      </c>
      <c r="B800" s="3" t="s">
        <v>48</v>
      </c>
      <c r="C800" s="3" t="s">
        <v>50</v>
      </c>
      <c r="D800" s="3" t="s">
        <v>10</v>
      </c>
      <c r="E800" s="2" t="s">
        <v>21</v>
      </c>
      <c r="F800" s="3">
        <v>33</v>
      </c>
      <c r="G800" s="4">
        <v>30.2</v>
      </c>
      <c r="H800" s="4">
        <v>78.400000000000006</v>
      </c>
      <c r="I800" s="6">
        <v>5.6186188833610489</v>
      </c>
      <c r="J800" s="5">
        <v>7.3999999999999996E-2</v>
      </c>
      <c r="K800" s="4">
        <v>26.4</v>
      </c>
      <c r="L800" s="4">
        <v>50.9</v>
      </c>
      <c r="M800" s="6">
        <v>3.9034034441361594</v>
      </c>
      <c r="N800" s="5">
        <v>7.0999999999999994E-2</v>
      </c>
      <c r="O800" s="5">
        <v>1.7152154392248895</v>
      </c>
      <c r="P800" s="5">
        <v>1.7152154392248895</v>
      </c>
      <c r="Q800" s="8">
        <v>0.20833333333333334</v>
      </c>
      <c r="R800" s="8">
        <v>0.88194444444444453</v>
      </c>
      <c r="S800" s="6">
        <f t="shared" si="36"/>
        <v>16.166666666666668</v>
      </c>
      <c r="T800" s="5">
        <f t="shared" si="37"/>
        <v>0.10609580036442615</v>
      </c>
      <c r="U800" s="3">
        <v>2.21</v>
      </c>
      <c r="V800" s="5">
        <f t="shared" si="38"/>
        <v>4.8007149486165683E-2</v>
      </c>
      <c r="W800" s="3">
        <v>4.8007149486165683E-2</v>
      </c>
    </row>
    <row r="801" spans="1:23" x14ac:dyDescent="0.55000000000000004">
      <c r="A801" s="3">
        <v>55</v>
      </c>
      <c r="B801" s="3" t="s">
        <v>52</v>
      </c>
      <c r="C801" s="3" t="s">
        <v>49</v>
      </c>
      <c r="D801" s="3" t="s">
        <v>40</v>
      </c>
      <c r="E801" s="2" t="s">
        <v>24</v>
      </c>
      <c r="F801" s="3">
        <v>44</v>
      </c>
      <c r="G801" s="4">
        <v>25.8</v>
      </c>
      <c r="H801" s="4">
        <v>99.3</v>
      </c>
      <c r="I801" s="6">
        <v>7.6993725675758231</v>
      </c>
      <c r="J801" s="5">
        <v>5.6000000000000001E-2</v>
      </c>
      <c r="K801" s="4">
        <v>21.2</v>
      </c>
      <c r="L801" s="4">
        <v>69.900000000000006</v>
      </c>
      <c r="M801" s="6">
        <v>5.9154048224760603</v>
      </c>
      <c r="N801" s="5">
        <v>5.2999999999999999E-2</v>
      </c>
      <c r="O801" s="5">
        <v>1.7839677450997629</v>
      </c>
      <c r="P801" s="5">
        <v>1.7839677450997629</v>
      </c>
      <c r="Q801" s="8">
        <v>0.20277777777777781</v>
      </c>
      <c r="R801" s="8">
        <v>0.90277777777777779</v>
      </c>
      <c r="S801" s="6">
        <f t="shared" si="36"/>
        <v>16.799999999999997</v>
      </c>
      <c r="T801" s="5">
        <f t="shared" si="37"/>
        <v>0.10618855625593829</v>
      </c>
      <c r="U801" s="3">
        <v>2.21</v>
      </c>
      <c r="V801" s="5">
        <f t="shared" si="38"/>
        <v>4.8049120477800127E-2</v>
      </c>
      <c r="W801" s="3">
        <v>4.8049120477800127E-2</v>
      </c>
    </row>
    <row r="802" spans="1:23" x14ac:dyDescent="0.55000000000000004">
      <c r="A802" s="3">
        <v>42</v>
      </c>
      <c r="B802" s="3" t="s">
        <v>53</v>
      </c>
      <c r="C802" s="3" t="s">
        <v>49</v>
      </c>
      <c r="D802" s="3" t="s">
        <v>41</v>
      </c>
      <c r="E802" s="3" t="s">
        <v>32</v>
      </c>
      <c r="F802" s="3">
        <v>72</v>
      </c>
      <c r="G802" s="4">
        <v>27.9</v>
      </c>
      <c r="H802" s="4">
        <v>68</v>
      </c>
      <c r="I802" s="6">
        <v>5.0751618607886568</v>
      </c>
      <c r="J802" s="5">
        <v>7.0999999999999994E-2</v>
      </c>
      <c r="K802" s="4">
        <v>23.6</v>
      </c>
      <c r="L802" s="4">
        <v>41.4</v>
      </c>
      <c r="M802" s="6">
        <v>3.3448312754901481</v>
      </c>
      <c r="N802" s="5">
        <v>6.7000000000000004E-2</v>
      </c>
      <c r="O802" s="5">
        <v>1.7303305852985087</v>
      </c>
      <c r="P802" s="5">
        <v>1.7303305852985087</v>
      </c>
      <c r="Q802" s="8">
        <v>0.20833333333333334</v>
      </c>
      <c r="R802" s="8">
        <v>0.88541666666666663</v>
      </c>
      <c r="S802" s="6">
        <f t="shared" si="36"/>
        <v>16.25</v>
      </c>
      <c r="T802" s="5">
        <f t="shared" si="37"/>
        <v>0.10648188217221592</v>
      </c>
      <c r="U802" s="3">
        <v>2.21</v>
      </c>
      <c r="V802" s="5">
        <f t="shared" si="38"/>
        <v>4.8181847136749285E-2</v>
      </c>
      <c r="W802" s="3">
        <v>4.8181847136749285E-2</v>
      </c>
    </row>
    <row r="803" spans="1:23" x14ac:dyDescent="0.55000000000000004">
      <c r="A803" s="3">
        <v>53</v>
      </c>
      <c r="B803" s="3" t="s">
        <v>48</v>
      </c>
      <c r="C803" s="3" t="s">
        <v>49</v>
      </c>
      <c r="D803" s="3" t="s">
        <v>38</v>
      </c>
      <c r="E803" s="2" t="s">
        <v>22</v>
      </c>
      <c r="F803" s="3">
        <v>37</v>
      </c>
      <c r="G803" s="4">
        <v>30.5</v>
      </c>
      <c r="H803" s="4">
        <v>89.4</v>
      </c>
      <c r="I803" s="6">
        <v>6.373672327429782</v>
      </c>
      <c r="J803" s="5">
        <v>6.3E-2</v>
      </c>
      <c r="K803" s="4">
        <v>25.3</v>
      </c>
      <c r="L803" s="4">
        <v>59.1</v>
      </c>
      <c r="M803" s="6">
        <v>4.6249502234822675</v>
      </c>
      <c r="N803" s="5">
        <v>5.8000000000000003E-2</v>
      </c>
      <c r="O803" s="5">
        <v>1.7487221039475145</v>
      </c>
      <c r="P803" s="5">
        <v>1.7487221039475145</v>
      </c>
      <c r="Q803" s="8">
        <v>0.20138888888888887</v>
      </c>
      <c r="R803" s="8">
        <v>0.88541666666666663</v>
      </c>
      <c r="S803" s="6">
        <f t="shared" si="36"/>
        <v>16.416666666666668</v>
      </c>
      <c r="T803" s="5">
        <f t="shared" si="37"/>
        <v>0.10652114338766584</v>
      </c>
      <c r="U803" s="3">
        <v>2.21</v>
      </c>
      <c r="V803" s="5">
        <f t="shared" si="38"/>
        <v>4.8199612392608983E-2</v>
      </c>
      <c r="W803" s="3">
        <v>4.8199612392608983E-2</v>
      </c>
    </row>
    <row r="804" spans="1:23" x14ac:dyDescent="0.55000000000000004">
      <c r="A804" s="3">
        <v>5</v>
      </c>
      <c r="B804" s="3" t="s">
        <v>48</v>
      </c>
      <c r="C804" s="3" t="s">
        <v>49</v>
      </c>
      <c r="D804" s="3" t="s">
        <v>38</v>
      </c>
      <c r="E804" s="2" t="s">
        <v>25</v>
      </c>
      <c r="F804" s="3">
        <v>47</v>
      </c>
      <c r="G804" s="4">
        <v>28.3</v>
      </c>
      <c r="H804" s="4">
        <v>73.5</v>
      </c>
      <c r="I804" s="6">
        <v>5.446592951917661</v>
      </c>
      <c r="J804" s="5">
        <v>7.8E-2</v>
      </c>
      <c r="K804" s="4">
        <v>24.8</v>
      </c>
      <c r="L804" s="4">
        <v>46.7</v>
      </c>
      <c r="M804" s="6">
        <v>3.6887352533003486</v>
      </c>
      <c r="N804" s="5">
        <v>7.2999999999999995E-2</v>
      </c>
      <c r="O804" s="5">
        <v>1.7578576986173124</v>
      </c>
      <c r="P804" s="5">
        <v>1.7578576986173124</v>
      </c>
      <c r="Q804" s="8">
        <v>0.20833333333333334</v>
      </c>
      <c r="R804" s="8">
        <v>0.89583333333333337</v>
      </c>
      <c r="S804" s="6">
        <f t="shared" si="36"/>
        <v>16.5</v>
      </c>
      <c r="T804" s="5">
        <f t="shared" si="37"/>
        <v>0.10653683021923106</v>
      </c>
      <c r="U804" s="3">
        <v>2.21</v>
      </c>
      <c r="V804" s="5">
        <f t="shared" si="38"/>
        <v>4.820671050643939E-2</v>
      </c>
      <c r="W804" s="3">
        <v>4.820671050643939E-2</v>
      </c>
    </row>
    <row r="805" spans="1:23" x14ac:dyDescent="0.55000000000000004">
      <c r="A805" s="3">
        <v>43</v>
      </c>
      <c r="B805" s="3" t="s">
        <v>51</v>
      </c>
      <c r="C805" s="3" t="s">
        <v>50</v>
      </c>
      <c r="D805" s="3" t="s">
        <v>9</v>
      </c>
      <c r="E805" s="2" t="s">
        <v>19</v>
      </c>
      <c r="F805" s="3">
        <v>26</v>
      </c>
      <c r="G805" s="4">
        <v>26.7</v>
      </c>
      <c r="H805" s="4">
        <v>102.8</v>
      </c>
      <c r="I805" s="6">
        <v>7.84048611141721</v>
      </c>
      <c r="J805" s="5">
        <v>3.6999999999999998E-2</v>
      </c>
      <c r="K805" s="4">
        <v>22.9</v>
      </c>
      <c r="L805" s="4">
        <v>74.599999999999994</v>
      </c>
      <c r="M805" s="6">
        <v>6.1082075784600294</v>
      </c>
      <c r="N805" s="5">
        <v>3.3000000000000002E-2</v>
      </c>
      <c r="O805" s="5">
        <v>1.7322785329571806</v>
      </c>
      <c r="P805" s="5">
        <v>1.7322785329571806</v>
      </c>
      <c r="Q805" s="8">
        <v>0.20833333333333334</v>
      </c>
      <c r="R805" s="8">
        <v>0.88541666666666663</v>
      </c>
      <c r="S805" s="6">
        <f t="shared" si="36"/>
        <v>16.25</v>
      </c>
      <c r="T805" s="5">
        <f t="shared" si="37"/>
        <v>0.10660175587428804</v>
      </c>
      <c r="U805" s="3">
        <v>2.21</v>
      </c>
      <c r="V805" s="5">
        <f t="shared" si="38"/>
        <v>4.8236088630899565E-2</v>
      </c>
      <c r="W805" s="3">
        <v>4.8236088630899565E-2</v>
      </c>
    </row>
    <row r="806" spans="1:23" x14ac:dyDescent="0.55000000000000004">
      <c r="A806" s="3">
        <v>42</v>
      </c>
      <c r="B806" s="3" t="s">
        <v>53</v>
      </c>
      <c r="C806" s="3" t="s">
        <v>49</v>
      </c>
      <c r="D806" s="3" t="s">
        <v>41</v>
      </c>
      <c r="E806" s="3" t="s">
        <v>29</v>
      </c>
      <c r="F806" s="3">
        <v>61</v>
      </c>
      <c r="G806" s="4">
        <v>29.1</v>
      </c>
      <c r="H806" s="4">
        <v>72.5</v>
      </c>
      <c r="I806" s="6">
        <v>5.2968415024213451</v>
      </c>
      <c r="J806" s="5">
        <v>7.9000000000000001E-2</v>
      </c>
      <c r="K806" s="4">
        <v>24.7</v>
      </c>
      <c r="L806" s="4">
        <v>44.7</v>
      </c>
      <c r="M806" s="6">
        <v>3.5373633619332825</v>
      </c>
      <c r="N806" s="5">
        <v>7.3999999999999996E-2</v>
      </c>
      <c r="O806" s="5">
        <v>1.7594781404880626</v>
      </c>
      <c r="P806" s="5">
        <v>1.7594781404880626</v>
      </c>
      <c r="Q806" s="8">
        <v>0.19791666666666666</v>
      </c>
      <c r="R806" s="8">
        <v>0.88541666666666663</v>
      </c>
      <c r="S806" s="6">
        <f t="shared" si="36"/>
        <v>16.5</v>
      </c>
      <c r="T806" s="5">
        <f t="shared" si="37"/>
        <v>0.10663503881745834</v>
      </c>
      <c r="U806" s="3">
        <v>2.21</v>
      </c>
      <c r="V806" s="5">
        <f t="shared" si="38"/>
        <v>4.8251148786180247E-2</v>
      </c>
      <c r="W806" s="3">
        <v>4.8251148786180247E-2</v>
      </c>
    </row>
    <row r="807" spans="1:23" x14ac:dyDescent="0.55000000000000004">
      <c r="A807" s="3">
        <v>31</v>
      </c>
      <c r="B807" s="3" t="s">
        <v>52</v>
      </c>
      <c r="C807" s="3" t="s">
        <v>49</v>
      </c>
      <c r="D807" s="3" t="s">
        <v>40</v>
      </c>
      <c r="E807" s="2" t="s">
        <v>24</v>
      </c>
      <c r="F807" s="3">
        <v>44</v>
      </c>
      <c r="G807" s="4">
        <v>25</v>
      </c>
      <c r="H807" s="4">
        <v>83.5</v>
      </c>
      <c r="I807" s="6">
        <v>6.5709375852135272</v>
      </c>
      <c r="J807" s="5">
        <v>6.3E-2</v>
      </c>
      <c r="K807" s="4">
        <v>20.6</v>
      </c>
      <c r="L807" s="4">
        <v>55.8</v>
      </c>
      <c r="M807" s="6">
        <v>4.7784282198115049</v>
      </c>
      <c r="N807" s="5">
        <v>5.7000000000000002E-2</v>
      </c>
      <c r="O807" s="5">
        <v>1.7925093654020223</v>
      </c>
      <c r="P807" s="5">
        <v>1.7925093654020223</v>
      </c>
      <c r="Q807" s="8">
        <v>0.20277777777777781</v>
      </c>
      <c r="R807" s="8">
        <v>0.90277777777777779</v>
      </c>
      <c r="S807" s="6">
        <f t="shared" si="36"/>
        <v>16.799999999999997</v>
      </c>
      <c r="T807" s="5">
        <f t="shared" si="37"/>
        <v>0.10669698603583468</v>
      </c>
      <c r="U807" s="3">
        <v>2.21</v>
      </c>
      <c r="V807" s="5">
        <f t="shared" si="38"/>
        <v>4.8279179201735155E-2</v>
      </c>
      <c r="W807" s="3">
        <v>4.8279179201735155E-2</v>
      </c>
    </row>
    <row r="808" spans="1:23" x14ac:dyDescent="0.55000000000000004">
      <c r="A808" s="3">
        <v>28</v>
      </c>
      <c r="B808" s="3" t="s">
        <v>53</v>
      </c>
      <c r="C808" s="3" t="s">
        <v>50</v>
      </c>
      <c r="D808" s="3" t="s">
        <v>11</v>
      </c>
      <c r="E808" s="2" t="s">
        <v>13</v>
      </c>
      <c r="F808" s="3">
        <v>8</v>
      </c>
      <c r="G808" s="4">
        <v>22</v>
      </c>
      <c r="H808" s="4">
        <v>117</v>
      </c>
      <c r="I808" s="6">
        <v>9.7477586114452262</v>
      </c>
      <c r="J808" s="5">
        <v>3.7999999999999999E-2</v>
      </c>
      <c r="K808" s="4">
        <v>19.45</v>
      </c>
      <c r="L808" s="4">
        <v>92.1</v>
      </c>
      <c r="M808" s="6">
        <v>8.070447766390096</v>
      </c>
      <c r="N808" s="5">
        <v>3.5999999999999997E-2</v>
      </c>
      <c r="O808" s="5">
        <v>1.6773108450551302</v>
      </c>
      <c r="P808" s="5">
        <v>1.6773108450551302</v>
      </c>
      <c r="Q808" s="8">
        <v>0.20833333333333334</v>
      </c>
      <c r="R808" s="8">
        <v>0.86319444444444438</v>
      </c>
      <c r="S808" s="6">
        <f t="shared" si="36"/>
        <v>15.716666666666665</v>
      </c>
      <c r="T808" s="5">
        <f t="shared" si="37"/>
        <v>0.10672179289852367</v>
      </c>
      <c r="U808" s="3">
        <v>2.21</v>
      </c>
      <c r="V808" s="5">
        <f t="shared" si="38"/>
        <v>4.8290404026481298E-2</v>
      </c>
      <c r="W808" s="3">
        <v>4.8290404026481298E-2</v>
      </c>
    </row>
    <row r="809" spans="1:23" x14ac:dyDescent="0.55000000000000004">
      <c r="A809" s="3">
        <v>46</v>
      </c>
      <c r="B809" s="3" t="s">
        <v>51</v>
      </c>
      <c r="C809" s="3" t="s">
        <v>49</v>
      </c>
      <c r="D809" s="3" t="s">
        <v>39</v>
      </c>
      <c r="E809" s="2" t="s">
        <v>22</v>
      </c>
      <c r="F809" s="3">
        <v>37</v>
      </c>
      <c r="G809" s="4">
        <v>30</v>
      </c>
      <c r="H809" s="4">
        <v>90.2</v>
      </c>
      <c r="I809" s="6">
        <v>6.4868274696420096</v>
      </c>
      <c r="J809" s="5">
        <v>5.5E-2</v>
      </c>
      <c r="K809" s="4">
        <v>24.9</v>
      </c>
      <c r="L809" s="4">
        <v>60</v>
      </c>
      <c r="M809" s="6">
        <v>4.7304388127739294</v>
      </c>
      <c r="N809" s="5">
        <v>5.0999999999999997E-2</v>
      </c>
      <c r="O809" s="5">
        <v>1.7563886568680802</v>
      </c>
      <c r="P809" s="5">
        <v>1.7563886568680802</v>
      </c>
      <c r="Q809" s="8">
        <v>0.20138888888888887</v>
      </c>
      <c r="R809" s="8">
        <v>0.88541666666666663</v>
      </c>
      <c r="S809" s="6">
        <f t="shared" si="36"/>
        <v>16.416666666666668</v>
      </c>
      <c r="T809" s="5">
        <f t="shared" si="37"/>
        <v>0.10698814153511148</v>
      </c>
      <c r="U809" s="3">
        <v>2.21</v>
      </c>
      <c r="V809" s="5">
        <f t="shared" si="38"/>
        <v>4.8410923771543657E-2</v>
      </c>
      <c r="W809" s="3">
        <v>4.8410923771543657E-2</v>
      </c>
    </row>
    <row r="810" spans="1:23" x14ac:dyDescent="0.55000000000000004">
      <c r="A810" s="3">
        <v>22</v>
      </c>
      <c r="B810" s="3" t="s">
        <v>48</v>
      </c>
      <c r="C810" s="3" t="s">
        <v>49</v>
      </c>
      <c r="D810" s="3" t="s">
        <v>38</v>
      </c>
      <c r="E810" s="3" t="s">
        <v>27</v>
      </c>
      <c r="F810" s="3">
        <v>54</v>
      </c>
      <c r="G810" s="4">
        <v>27.4</v>
      </c>
      <c r="H810" s="4">
        <v>83.3</v>
      </c>
      <c r="I810" s="6">
        <v>6.2731866709646047</v>
      </c>
      <c r="J810" s="5">
        <v>7.2999999999999995E-2</v>
      </c>
      <c r="K810" s="4">
        <v>24.1</v>
      </c>
      <c r="L810" s="4">
        <v>56.3</v>
      </c>
      <c r="M810" s="6">
        <v>4.5058161953526437</v>
      </c>
      <c r="N810" s="5">
        <v>6.9000000000000006E-2</v>
      </c>
      <c r="O810" s="5">
        <v>1.767370475611961</v>
      </c>
      <c r="P810" s="5">
        <v>1.767370475611961</v>
      </c>
      <c r="Q810" s="8">
        <v>0.20833333333333334</v>
      </c>
      <c r="R810" s="8">
        <v>0.89583333333333337</v>
      </c>
      <c r="S810" s="6">
        <f t="shared" si="36"/>
        <v>16.5</v>
      </c>
      <c r="T810" s="5">
        <f t="shared" si="37"/>
        <v>0.10711336215830067</v>
      </c>
      <c r="U810" s="3">
        <v>2.21</v>
      </c>
      <c r="V810" s="5">
        <f t="shared" si="38"/>
        <v>4.8467584687013877E-2</v>
      </c>
      <c r="W810" s="3">
        <v>4.8467584687013877E-2</v>
      </c>
    </row>
    <row r="811" spans="1:23" x14ac:dyDescent="0.55000000000000004">
      <c r="A811" s="3">
        <v>3</v>
      </c>
      <c r="B811" s="3" t="s">
        <v>51</v>
      </c>
      <c r="C811" s="3" t="s">
        <v>50</v>
      </c>
      <c r="D811" s="3" t="s">
        <v>9</v>
      </c>
      <c r="E811" s="3" t="s">
        <v>35</v>
      </c>
      <c r="F811" s="3">
        <v>82</v>
      </c>
      <c r="G811" s="4">
        <v>31.6</v>
      </c>
      <c r="H811" s="4">
        <v>75.7</v>
      </c>
      <c r="I811" s="6">
        <v>5.2957679317780206</v>
      </c>
      <c r="J811" s="5">
        <v>6.9000000000000006E-2</v>
      </c>
      <c r="K811" s="4">
        <v>27.4</v>
      </c>
      <c r="L811" s="4">
        <v>47.2</v>
      </c>
      <c r="M811" s="6">
        <v>3.5545547523352865</v>
      </c>
      <c r="N811" s="5">
        <v>0.06</v>
      </c>
      <c r="O811" s="5">
        <v>1.7412131794427341</v>
      </c>
      <c r="P811" s="5">
        <v>1.7412131794427341</v>
      </c>
      <c r="Q811" s="8">
        <v>0.20833333333333334</v>
      </c>
      <c r="R811" s="8">
        <v>0.88541666666666663</v>
      </c>
      <c r="S811" s="6">
        <f t="shared" si="36"/>
        <v>16.25</v>
      </c>
      <c r="T811" s="5">
        <f t="shared" si="37"/>
        <v>0.10715158027339902</v>
      </c>
      <c r="U811" s="3">
        <v>2.21</v>
      </c>
      <c r="V811" s="5">
        <f t="shared" si="38"/>
        <v>4.848487795176426E-2</v>
      </c>
      <c r="W811" s="3">
        <v>4.848487795176426E-2</v>
      </c>
    </row>
    <row r="812" spans="1:23" x14ac:dyDescent="0.55000000000000004">
      <c r="A812" s="3">
        <v>16</v>
      </c>
      <c r="B812" s="3" t="s">
        <v>52</v>
      </c>
      <c r="C812" s="3" t="s">
        <v>50</v>
      </c>
      <c r="D812" s="3" t="s">
        <v>12</v>
      </c>
      <c r="E812" s="2" t="s">
        <v>24</v>
      </c>
      <c r="F812" s="3">
        <v>44</v>
      </c>
      <c r="G812" s="4">
        <v>25.5</v>
      </c>
      <c r="H812" s="4">
        <v>83.2</v>
      </c>
      <c r="I812" s="6">
        <v>6.4868555899702631</v>
      </c>
      <c r="J812" s="5">
        <v>0.06</v>
      </c>
      <c r="K812" s="4">
        <v>21</v>
      </c>
      <c r="L812" s="4">
        <v>55.1</v>
      </c>
      <c r="M812" s="6">
        <v>4.6813206311254651</v>
      </c>
      <c r="N812" s="5">
        <v>5.6000000000000001E-2</v>
      </c>
      <c r="O812" s="5">
        <v>1.805534958844798</v>
      </c>
      <c r="P812" s="5">
        <v>1.805534958844798</v>
      </c>
      <c r="Q812" s="8">
        <v>0.20277777777777781</v>
      </c>
      <c r="R812" s="8">
        <v>0.90277777777777779</v>
      </c>
      <c r="S812" s="6">
        <f t="shared" si="36"/>
        <v>16.799999999999997</v>
      </c>
      <c r="T812" s="5">
        <f t="shared" si="37"/>
        <v>0.10747231897885703</v>
      </c>
      <c r="U812" s="3">
        <v>2.21</v>
      </c>
      <c r="V812" s="5">
        <f t="shared" si="38"/>
        <v>4.863000858771812E-2</v>
      </c>
      <c r="W812" s="3">
        <v>4.863000858771812E-2</v>
      </c>
    </row>
    <row r="813" spans="1:23" x14ac:dyDescent="0.55000000000000004">
      <c r="A813" s="3">
        <v>39</v>
      </c>
      <c r="B813" s="3" t="s">
        <v>51</v>
      </c>
      <c r="C813" s="3" t="s">
        <v>50</v>
      </c>
      <c r="D813" s="3" t="s">
        <v>9</v>
      </c>
      <c r="E813" s="2" t="s">
        <v>13</v>
      </c>
      <c r="F813" s="3">
        <v>8</v>
      </c>
      <c r="G813" s="4">
        <v>22.1</v>
      </c>
      <c r="H813" s="4">
        <v>123.7</v>
      </c>
      <c r="I813" s="6">
        <v>10.28597750457531</v>
      </c>
      <c r="J813" s="5">
        <v>3.5999999999999997E-2</v>
      </c>
      <c r="K813" s="4">
        <v>19.3</v>
      </c>
      <c r="L813" s="4">
        <v>97.8</v>
      </c>
      <c r="M813" s="6">
        <v>8.5959174857560487</v>
      </c>
      <c r="N813" s="5">
        <v>3.3000000000000002E-2</v>
      </c>
      <c r="O813" s="5">
        <v>1.6900600188192616</v>
      </c>
      <c r="P813" s="5">
        <v>1.6900600188192616</v>
      </c>
      <c r="Q813" s="8">
        <v>0.20833333333333334</v>
      </c>
      <c r="R813" s="8">
        <v>0.86319444444444438</v>
      </c>
      <c r="S813" s="6">
        <f t="shared" si="36"/>
        <v>15.716666666666665</v>
      </c>
      <c r="T813" s="5">
        <f t="shared" si="37"/>
        <v>0.10753298104894561</v>
      </c>
      <c r="U813" s="3">
        <v>2.21</v>
      </c>
      <c r="V813" s="5">
        <f t="shared" si="38"/>
        <v>4.8657457488210681E-2</v>
      </c>
      <c r="W813" s="3">
        <v>4.8657457488210681E-2</v>
      </c>
    </row>
    <row r="814" spans="1:23" x14ac:dyDescent="0.55000000000000004">
      <c r="A814" s="3">
        <v>11</v>
      </c>
      <c r="B814" s="3" t="s">
        <v>53</v>
      </c>
      <c r="C814" s="3" t="s">
        <v>49</v>
      </c>
      <c r="D814" s="3" t="s">
        <v>41</v>
      </c>
      <c r="E814" s="2" t="s">
        <v>13</v>
      </c>
      <c r="F814" s="3">
        <v>8</v>
      </c>
      <c r="G814" s="4">
        <v>22</v>
      </c>
      <c r="H814" s="4">
        <v>114.3</v>
      </c>
      <c r="I814" s="6">
        <v>9.5228103357964908</v>
      </c>
      <c r="J814" s="5">
        <v>2.3E-2</v>
      </c>
      <c r="K814" s="4">
        <v>19.2</v>
      </c>
      <c r="L814" s="4">
        <v>88.9</v>
      </c>
      <c r="M814" s="6">
        <v>7.829494433691516</v>
      </c>
      <c r="N814" s="5">
        <v>2.1999999999999999E-2</v>
      </c>
      <c r="O814" s="5">
        <v>1.6933159021049748</v>
      </c>
      <c r="P814" s="5">
        <v>1.6933159021049748</v>
      </c>
      <c r="Q814" s="8">
        <v>0.20833333333333334</v>
      </c>
      <c r="R814" s="8">
        <v>0.86319444444444438</v>
      </c>
      <c r="S814" s="6">
        <f t="shared" si="36"/>
        <v>15.716666666666665</v>
      </c>
      <c r="T814" s="5">
        <f t="shared" si="37"/>
        <v>0.10774014223361453</v>
      </c>
      <c r="U814" s="3">
        <v>2.21</v>
      </c>
      <c r="V814" s="5">
        <f t="shared" si="38"/>
        <v>4.8751195580821055E-2</v>
      </c>
      <c r="W814" s="3">
        <v>4.8751195580821055E-2</v>
      </c>
    </row>
    <row r="815" spans="1:23" x14ac:dyDescent="0.55000000000000004">
      <c r="A815" s="3">
        <v>45</v>
      </c>
      <c r="B815" s="3" t="s">
        <v>48</v>
      </c>
      <c r="C815" s="3" t="s">
        <v>50</v>
      </c>
      <c r="D815" s="3" t="s">
        <v>10</v>
      </c>
      <c r="E815" s="3" t="s">
        <v>26</v>
      </c>
      <c r="F815" s="3">
        <v>51</v>
      </c>
      <c r="G815" s="4">
        <v>27</v>
      </c>
      <c r="H815" s="4">
        <v>85.7</v>
      </c>
      <c r="I815" s="6">
        <v>6.500764316750776</v>
      </c>
      <c r="J815" s="5">
        <v>6.2E-2</v>
      </c>
      <c r="K815" s="4">
        <v>24.2</v>
      </c>
      <c r="L815" s="4">
        <v>59.8</v>
      </c>
      <c r="M815" s="6">
        <v>4.7769196842931825</v>
      </c>
      <c r="N815" s="5">
        <v>5.8000000000000003E-2</v>
      </c>
      <c r="O815" s="5">
        <v>1.7238446324575936</v>
      </c>
      <c r="P815" s="5">
        <v>1.7238446324575936</v>
      </c>
      <c r="Q815" s="8">
        <v>0.20833333333333334</v>
      </c>
      <c r="R815" s="8">
        <v>0.875</v>
      </c>
      <c r="S815" s="6">
        <f t="shared" si="36"/>
        <v>16</v>
      </c>
      <c r="T815" s="5">
        <f t="shared" si="37"/>
        <v>0.1077402895285996</v>
      </c>
      <c r="U815" s="3">
        <v>2.21</v>
      </c>
      <c r="V815" s="5">
        <f t="shared" si="38"/>
        <v>4.8751262230135567E-2</v>
      </c>
      <c r="W815" s="3">
        <v>4.8751262230135567E-2</v>
      </c>
    </row>
    <row r="816" spans="1:23" x14ac:dyDescent="0.55000000000000004">
      <c r="A816" s="3">
        <v>8</v>
      </c>
      <c r="B816" s="3" t="s">
        <v>51</v>
      </c>
      <c r="C816" s="3" t="s">
        <v>50</v>
      </c>
      <c r="D816" s="3" t="s">
        <v>9</v>
      </c>
      <c r="E816" s="2" t="s">
        <v>20</v>
      </c>
      <c r="F816" s="3">
        <v>30</v>
      </c>
      <c r="G816" s="4">
        <v>26.8</v>
      </c>
      <c r="H816" s="4">
        <v>93.6</v>
      </c>
      <c r="I816" s="6">
        <v>7.1258374785144518</v>
      </c>
      <c r="J816" s="5">
        <v>4.2000000000000003E-2</v>
      </c>
      <c r="K816" s="4">
        <v>23.5</v>
      </c>
      <c r="L816" s="4">
        <v>66.400000000000006</v>
      </c>
      <c r="M816" s="6">
        <v>5.374860234486257</v>
      </c>
      <c r="N816" s="5">
        <v>3.9E-2</v>
      </c>
      <c r="O816" s="5">
        <v>1.7509772440281948</v>
      </c>
      <c r="P816" s="5">
        <v>1.7509772440281948</v>
      </c>
      <c r="Q816" s="8">
        <v>0.20833333333333334</v>
      </c>
      <c r="R816" s="8">
        <v>0.88541666666666663</v>
      </c>
      <c r="S816" s="6">
        <f t="shared" si="36"/>
        <v>16.25</v>
      </c>
      <c r="T816" s="5">
        <f t="shared" si="37"/>
        <v>0.10775244578635045</v>
      </c>
      <c r="U816" s="3">
        <v>2.21</v>
      </c>
      <c r="V816" s="5">
        <f t="shared" si="38"/>
        <v>4.8756762799253596E-2</v>
      </c>
      <c r="W816" s="3">
        <v>4.8756762799253596E-2</v>
      </c>
    </row>
    <row r="817" spans="1:23" x14ac:dyDescent="0.55000000000000004">
      <c r="A817" s="3">
        <v>61</v>
      </c>
      <c r="B817" s="3" t="s">
        <v>53</v>
      </c>
      <c r="C817" s="3" t="s">
        <v>50</v>
      </c>
      <c r="D817" s="3" t="s">
        <v>11</v>
      </c>
      <c r="E817" s="2" t="s">
        <v>19</v>
      </c>
      <c r="F817" s="3">
        <v>26</v>
      </c>
      <c r="G817" s="4">
        <v>26</v>
      </c>
      <c r="H817" s="4">
        <v>116.3</v>
      </c>
      <c r="I817" s="6">
        <v>8.9843780927557919</v>
      </c>
      <c r="J817" s="5">
        <v>0.05</v>
      </c>
      <c r="K817" s="4">
        <v>22.7</v>
      </c>
      <c r="L817" s="4">
        <v>88</v>
      </c>
      <c r="M817" s="6">
        <v>7.2331202425520935</v>
      </c>
      <c r="N817" s="5">
        <v>4.4999999999999998E-2</v>
      </c>
      <c r="O817" s="5">
        <v>1.7512578502036984</v>
      </c>
      <c r="P817" s="5">
        <v>1.7512578502036984</v>
      </c>
      <c r="Q817" s="8">
        <v>0.20833333333333334</v>
      </c>
      <c r="R817" s="8">
        <v>0.88541666666666663</v>
      </c>
      <c r="S817" s="6">
        <f t="shared" si="36"/>
        <v>16.25</v>
      </c>
      <c r="T817" s="5">
        <f t="shared" si="37"/>
        <v>0.10776971385868914</v>
      </c>
      <c r="U817" s="3">
        <v>2.21</v>
      </c>
      <c r="V817" s="5">
        <f t="shared" si="38"/>
        <v>4.8764576406646665E-2</v>
      </c>
      <c r="W817" s="3">
        <v>4.8764576406646665E-2</v>
      </c>
    </row>
    <row r="818" spans="1:23" x14ac:dyDescent="0.55000000000000004">
      <c r="A818" s="3">
        <v>19</v>
      </c>
      <c r="B818" s="3" t="s">
        <v>53</v>
      </c>
      <c r="C818" s="3" t="s">
        <v>49</v>
      </c>
      <c r="D818" s="3" t="s">
        <v>41</v>
      </c>
      <c r="E818" s="3" t="s">
        <v>27</v>
      </c>
      <c r="F818" s="3">
        <v>54</v>
      </c>
      <c r="G818" s="4">
        <v>28</v>
      </c>
      <c r="H818" s="4">
        <v>90.9</v>
      </c>
      <c r="I818" s="6">
        <v>6.7721644359411899</v>
      </c>
      <c r="J818" s="5">
        <v>5.8999999999999997E-2</v>
      </c>
      <c r="K818" s="4">
        <v>24.8</v>
      </c>
      <c r="L818" s="4">
        <v>63.2</v>
      </c>
      <c r="M818" s="6">
        <v>4.9920357175285233</v>
      </c>
      <c r="N818" s="5">
        <v>5.8000000000000003E-2</v>
      </c>
      <c r="O818" s="5">
        <v>1.7801287184126666</v>
      </c>
      <c r="P818" s="5">
        <v>1.7801287184126666</v>
      </c>
      <c r="Q818" s="8">
        <v>0.20833333333333334</v>
      </c>
      <c r="R818" s="8">
        <v>0.89583333333333337</v>
      </c>
      <c r="S818" s="6">
        <f t="shared" si="36"/>
        <v>16.5</v>
      </c>
      <c r="T818" s="5">
        <f t="shared" si="37"/>
        <v>0.10788658899470707</v>
      </c>
      <c r="U818" s="3">
        <v>2.21</v>
      </c>
      <c r="V818" s="5">
        <f t="shared" si="38"/>
        <v>4.8817461083577859E-2</v>
      </c>
      <c r="W818" s="3">
        <v>4.8817461083577859E-2</v>
      </c>
    </row>
    <row r="819" spans="1:23" x14ac:dyDescent="0.55000000000000004">
      <c r="A819" s="3">
        <v>54</v>
      </c>
      <c r="B819" s="3" t="s">
        <v>48</v>
      </c>
      <c r="C819" s="3" t="s">
        <v>50</v>
      </c>
      <c r="D819" s="3" t="s">
        <v>10</v>
      </c>
      <c r="E819" s="2" t="s">
        <v>25</v>
      </c>
      <c r="F819" s="3">
        <v>47</v>
      </c>
      <c r="G819" s="4">
        <v>29</v>
      </c>
      <c r="H819" s="4">
        <v>84.7</v>
      </c>
      <c r="I819" s="6">
        <v>6.199101260143415</v>
      </c>
      <c r="J819" s="5">
        <v>5.8000000000000003E-2</v>
      </c>
      <c r="K819" s="4">
        <v>25.7</v>
      </c>
      <c r="L819" s="4">
        <v>56.8</v>
      </c>
      <c r="M819" s="6">
        <v>4.4121974466164584</v>
      </c>
      <c r="N819" s="5">
        <v>5.7000000000000002E-2</v>
      </c>
      <c r="O819" s="5">
        <v>1.7869038135269566</v>
      </c>
      <c r="P819" s="5">
        <v>1.7869038135269566</v>
      </c>
      <c r="Q819" s="8">
        <v>0.20833333333333334</v>
      </c>
      <c r="R819" s="8">
        <v>0.89583333333333337</v>
      </c>
      <c r="S819" s="6">
        <f t="shared" si="36"/>
        <v>16.5</v>
      </c>
      <c r="T819" s="5">
        <f t="shared" si="37"/>
        <v>0.10829720081981555</v>
      </c>
      <c r="U819" s="3">
        <v>2.21</v>
      </c>
      <c r="V819" s="5">
        <f t="shared" si="38"/>
        <v>4.9003258289509299E-2</v>
      </c>
      <c r="W819" s="3">
        <v>4.9003258289509299E-2</v>
      </c>
    </row>
    <row r="820" spans="1:23" x14ac:dyDescent="0.55000000000000004">
      <c r="A820" s="3">
        <v>64</v>
      </c>
      <c r="B820" s="3" t="s">
        <v>53</v>
      </c>
      <c r="C820" s="3" t="s">
        <v>50</v>
      </c>
      <c r="D820" s="3" t="s">
        <v>11</v>
      </c>
      <c r="E820" s="3" t="s">
        <v>31</v>
      </c>
      <c r="F820" s="3">
        <v>68</v>
      </c>
      <c r="G820" s="4">
        <v>25.8</v>
      </c>
      <c r="H820" s="4">
        <v>76.900000000000006</v>
      </c>
      <c r="I820" s="6">
        <v>5.9625553922112875</v>
      </c>
      <c r="J820" s="5">
        <v>6.0999999999999999E-2</v>
      </c>
      <c r="K820" s="4">
        <v>24.2</v>
      </c>
      <c r="L820" s="4">
        <v>52.6</v>
      </c>
      <c r="M820" s="6">
        <v>4.2017721637762779</v>
      </c>
      <c r="N820" s="5">
        <v>0.06</v>
      </c>
      <c r="O820" s="5">
        <v>1.7607832284350096</v>
      </c>
      <c r="P820" s="5">
        <v>1.7607832284350096</v>
      </c>
      <c r="Q820" s="8">
        <v>0.20833333333333334</v>
      </c>
      <c r="R820" s="8">
        <v>0.88541666666666663</v>
      </c>
      <c r="S820" s="6">
        <f t="shared" si="36"/>
        <v>16.25</v>
      </c>
      <c r="T820" s="5">
        <f t="shared" si="37"/>
        <v>0.10835589098061597</v>
      </c>
      <c r="U820" s="3">
        <v>2.21</v>
      </c>
      <c r="V820" s="5">
        <f t="shared" si="38"/>
        <v>4.9029814923355647E-2</v>
      </c>
      <c r="W820" s="3">
        <v>4.9029814923355647E-2</v>
      </c>
    </row>
    <row r="821" spans="1:23" x14ac:dyDescent="0.55000000000000004">
      <c r="A821" s="3">
        <v>33</v>
      </c>
      <c r="B821" s="3" t="s">
        <v>51</v>
      </c>
      <c r="C821" s="3" t="s">
        <v>50</v>
      </c>
      <c r="D821" s="3" t="s">
        <v>9</v>
      </c>
      <c r="E821" s="3" t="s">
        <v>33</v>
      </c>
      <c r="F821" s="3">
        <v>75</v>
      </c>
      <c r="G821" s="4">
        <v>28.7</v>
      </c>
      <c r="H821" s="4">
        <v>100.7</v>
      </c>
      <c r="I821" s="6">
        <v>7.4093442872446325</v>
      </c>
      <c r="J821" s="5">
        <v>8.2000000000000003E-2</v>
      </c>
      <c r="K821" s="4">
        <v>25.1</v>
      </c>
      <c r="L821" s="4">
        <v>71.900000000000006</v>
      </c>
      <c r="M821" s="6">
        <v>5.6475691276339841</v>
      </c>
      <c r="N821" s="5">
        <v>6.4000000000000001E-2</v>
      </c>
      <c r="O821" s="5">
        <v>1.7617751596106483</v>
      </c>
      <c r="P821" s="5">
        <v>1.7617751596106483</v>
      </c>
      <c r="Q821" s="8">
        <v>0.20833333333333334</v>
      </c>
      <c r="R821" s="8">
        <v>0.88541666666666663</v>
      </c>
      <c r="S821" s="6">
        <f t="shared" si="36"/>
        <v>16.25</v>
      </c>
      <c r="T821" s="5">
        <f t="shared" si="37"/>
        <v>0.10841693289911682</v>
      </c>
      <c r="U821" s="3">
        <v>2.21</v>
      </c>
      <c r="V821" s="5">
        <f t="shared" si="38"/>
        <v>4.9057435700957837E-2</v>
      </c>
      <c r="W821" s="3">
        <v>4.9057435700957837E-2</v>
      </c>
    </row>
    <row r="822" spans="1:23" x14ac:dyDescent="0.55000000000000004">
      <c r="A822" s="3">
        <v>21</v>
      </c>
      <c r="B822" s="3" t="s">
        <v>48</v>
      </c>
      <c r="C822" s="3" t="s">
        <v>49</v>
      </c>
      <c r="D822" s="3" t="s">
        <v>38</v>
      </c>
      <c r="E822" s="3" t="s">
        <v>30</v>
      </c>
      <c r="F822" s="3">
        <v>65</v>
      </c>
      <c r="G822" s="4">
        <v>27.3</v>
      </c>
      <c r="H822" s="4">
        <v>90</v>
      </c>
      <c r="I822" s="6">
        <v>6.7899919050882973</v>
      </c>
      <c r="J822" s="5">
        <v>9.1999999999999998E-2</v>
      </c>
      <c r="K822" s="4">
        <v>22.4</v>
      </c>
      <c r="L822" s="4">
        <v>60.8</v>
      </c>
      <c r="M822" s="6">
        <v>5.0264065443654458</v>
      </c>
      <c r="N822" s="5">
        <v>8.3000000000000004E-2</v>
      </c>
      <c r="O822" s="5">
        <v>1.7635853607228515</v>
      </c>
      <c r="P822" s="5">
        <v>1.7635853607228515</v>
      </c>
      <c r="Q822" s="8">
        <v>0.20833333333333334</v>
      </c>
      <c r="R822" s="8">
        <v>0.88541666666666663</v>
      </c>
      <c r="S822" s="6">
        <f t="shared" si="36"/>
        <v>16.25</v>
      </c>
      <c r="T822" s="5">
        <f t="shared" si="37"/>
        <v>0.10852832989063702</v>
      </c>
      <c r="U822" s="3">
        <v>2.21</v>
      </c>
      <c r="V822" s="5">
        <f t="shared" si="38"/>
        <v>4.910784157947376E-2</v>
      </c>
      <c r="W822" s="3">
        <v>4.910784157947376E-2</v>
      </c>
    </row>
    <row r="823" spans="1:23" x14ac:dyDescent="0.55000000000000004">
      <c r="A823" s="3">
        <v>34</v>
      </c>
      <c r="B823" s="3" t="s">
        <v>48</v>
      </c>
      <c r="C823" s="3" t="s">
        <v>50</v>
      </c>
      <c r="D823" s="3" t="s">
        <v>10</v>
      </c>
      <c r="E823" s="2" t="s">
        <v>8</v>
      </c>
      <c r="F823" s="3">
        <v>5</v>
      </c>
      <c r="G823" s="4">
        <v>20.6</v>
      </c>
      <c r="H823" s="4">
        <v>128.9</v>
      </c>
      <c r="I823" s="6">
        <v>11.038340457593245</v>
      </c>
      <c r="J823" s="5">
        <v>3.5999999999999997E-2</v>
      </c>
      <c r="K823" s="4">
        <v>15.6</v>
      </c>
      <c r="L823" s="4">
        <v>98.1</v>
      </c>
      <c r="M823" s="6">
        <v>9.3121158630649816</v>
      </c>
      <c r="N823" s="5">
        <v>3.3000000000000002E-2</v>
      </c>
      <c r="O823" s="5">
        <v>1.7262245945282633</v>
      </c>
      <c r="P823" s="5">
        <v>1.7262245945282633</v>
      </c>
      <c r="Q823" s="8">
        <v>0.20833333333333334</v>
      </c>
      <c r="R823" s="8">
        <v>0.87083333333333324</v>
      </c>
      <c r="S823" s="6">
        <f t="shared" si="36"/>
        <v>15.899999999999997</v>
      </c>
      <c r="T823" s="5">
        <f t="shared" si="37"/>
        <v>0.10856758456152601</v>
      </c>
      <c r="U823" s="3">
        <v>2.21</v>
      </c>
      <c r="V823" s="5">
        <f t="shared" si="38"/>
        <v>4.9125603873993673E-2</v>
      </c>
      <c r="W823" s="3">
        <v>4.9125603873993673E-2</v>
      </c>
    </row>
    <row r="824" spans="1:23" x14ac:dyDescent="0.55000000000000004">
      <c r="A824" s="3">
        <v>54</v>
      </c>
      <c r="B824" s="3" t="s">
        <v>48</v>
      </c>
      <c r="C824" s="3" t="s">
        <v>50</v>
      </c>
      <c r="D824" s="3" t="s">
        <v>10</v>
      </c>
      <c r="E824" s="2" t="s">
        <v>20</v>
      </c>
      <c r="F824" s="3">
        <v>30</v>
      </c>
      <c r="G824" s="4">
        <v>27.7</v>
      </c>
      <c r="H824" s="4">
        <v>87.9</v>
      </c>
      <c r="I824" s="6">
        <v>6.5839673629316247</v>
      </c>
      <c r="J824" s="5">
        <v>0.05</v>
      </c>
      <c r="K824" s="4">
        <v>24</v>
      </c>
      <c r="L824" s="4">
        <v>60.1</v>
      </c>
      <c r="M824" s="6">
        <v>4.8190231393839627</v>
      </c>
      <c r="N824" s="5">
        <v>4.8000000000000001E-2</v>
      </c>
      <c r="O824" s="5">
        <v>1.764944223547662</v>
      </c>
      <c r="P824" s="5">
        <v>1.764944223547662</v>
      </c>
      <c r="Q824" s="8">
        <v>0.20833333333333334</v>
      </c>
      <c r="R824" s="8">
        <v>0.88541666666666663</v>
      </c>
      <c r="S824" s="6">
        <f t="shared" si="36"/>
        <v>16.25</v>
      </c>
      <c r="T824" s="5">
        <f t="shared" si="37"/>
        <v>0.10861195221831767</v>
      </c>
      <c r="U824" s="3">
        <v>2.21</v>
      </c>
      <c r="V824" s="5">
        <f t="shared" si="38"/>
        <v>4.9145679736795317E-2</v>
      </c>
      <c r="W824" s="3">
        <v>4.9145679736795317E-2</v>
      </c>
    </row>
    <row r="825" spans="1:23" x14ac:dyDescent="0.55000000000000004">
      <c r="A825" s="3">
        <v>33</v>
      </c>
      <c r="B825" s="3" t="s">
        <v>51</v>
      </c>
      <c r="C825" s="3" t="s">
        <v>50</v>
      </c>
      <c r="D825" s="3" t="s">
        <v>9</v>
      </c>
      <c r="E825" s="2" t="s">
        <v>24</v>
      </c>
      <c r="F825" s="3">
        <v>44</v>
      </c>
      <c r="G825" s="4">
        <v>25.3</v>
      </c>
      <c r="H825" s="4">
        <v>118.9</v>
      </c>
      <c r="I825" s="6">
        <v>9.3046798912358977</v>
      </c>
      <c r="J825" s="5">
        <v>0.08</v>
      </c>
      <c r="K825" s="4">
        <v>21.9</v>
      </c>
      <c r="L825" s="4">
        <v>89.6</v>
      </c>
      <c r="M825" s="6">
        <v>7.4794758524742129</v>
      </c>
      <c r="N825" s="5">
        <v>0.06</v>
      </c>
      <c r="O825" s="5">
        <v>1.8252040387616848</v>
      </c>
      <c r="P825" s="5">
        <v>1.8252040387616848</v>
      </c>
      <c r="Q825" s="8">
        <v>0.20277777777777781</v>
      </c>
      <c r="R825" s="8">
        <v>0.90277777777777779</v>
      </c>
      <c r="S825" s="6">
        <f t="shared" si="36"/>
        <v>16.799999999999997</v>
      </c>
      <c r="T825" s="5">
        <f t="shared" si="37"/>
        <v>0.10864309754533839</v>
      </c>
      <c r="U825" s="3">
        <v>2.21</v>
      </c>
      <c r="V825" s="5">
        <f t="shared" si="38"/>
        <v>4.9159772644949508E-2</v>
      </c>
      <c r="W825" s="3">
        <v>4.9159772644949508E-2</v>
      </c>
    </row>
    <row r="826" spans="1:23" x14ac:dyDescent="0.55000000000000004">
      <c r="A826" s="3">
        <v>46</v>
      </c>
      <c r="B826" s="3" t="s">
        <v>51</v>
      </c>
      <c r="C826" s="3" t="s">
        <v>49</v>
      </c>
      <c r="D826" s="3" t="s">
        <v>39</v>
      </c>
      <c r="E826" s="3" t="s">
        <v>31</v>
      </c>
      <c r="F826" s="3">
        <v>68</v>
      </c>
      <c r="G826" s="4">
        <v>25.3</v>
      </c>
      <c r="H826" s="4">
        <v>88.3</v>
      </c>
      <c r="I826" s="6">
        <v>6.9100356130877181</v>
      </c>
      <c r="J826" s="5">
        <v>5.0999999999999997E-2</v>
      </c>
      <c r="K826" s="4">
        <v>24.2</v>
      </c>
      <c r="L826" s="4">
        <v>64.400000000000006</v>
      </c>
      <c r="M826" s="6">
        <v>5.1443750446234286</v>
      </c>
      <c r="N826" s="5">
        <v>5.0999999999999997E-2</v>
      </c>
      <c r="O826" s="5">
        <v>1.7656605684642894</v>
      </c>
      <c r="P826" s="5">
        <v>1.7656605684642894</v>
      </c>
      <c r="Q826" s="8">
        <v>0.20833333333333334</v>
      </c>
      <c r="R826" s="8">
        <v>0.88541666666666663</v>
      </c>
      <c r="S826" s="6">
        <f t="shared" si="36"/>
        <v>16.25</v>
      </c>
      <c r="T826" s="5">
        <f t="shared" si="37"/>
        <v>0.10865603498241781</v>
      </c>
      <c r="U826" s="3">
        <v>2.21</v>
      </c>
      <c r="V826" s="5">
        <f t="shared" si="38"/>
        <v>4.9165626688876841E-2</v>
      </c>
      <c r="W826" s="3">
        <v>4.9165626688876841E-2</v>
      </c>
    </row>
    <row r="827" spans="1:23" x14ac:dyDescent="0.55000000000000004">
      <c r="A827" s="3">
        <v>7</v>
      </c>
      <c r="B827" s="3" t="s">
        <v>53</v>
      </c>
      <c r="C827" s="3" t="s">
        <v>49</v>
      </c>
      <c r="D827" s="3" t="s">
        <v>41</v>
      </c>
      <c r="E827" s="2" t="s">
        <v>13</v>
      </c>
      <c r="F827" s="3">
        <v>8</v>
      </c>
      <c r="G827" s="4">
        <v>21.6</v>
      </c>
      <c r="H827" s="4">
        <v>114.8</v>
      </c>
      <c r="I827" s="6">
        <v>9.6392919143682363</v>
      </c>
      <c r="J827" s="5">
        <v>2.4E-2</v>
      </c>
      <c r="K827" s="4">
        <v>18.899999999999999</v>
      </c>
      <c r="L827" s="4">
        <v>89.5</v>
      </c>
      <c r="M827" s="6">
        <v>7.9304659784004938</v>
      </c>
      <c r="N827" s="5">
        <v>2.3E-2</v>
      </c>
      <c r="O827" s="5">
        <v>1.7088259359677425</v>
      </c>
      <c r="P827" s="5">
        <v>1.7088259359677425</v>
      </c>
      <c r="Q827" s="8">
        <v>0.20833333333333334</v>
      </c>
      <c r="R827" s="8">
        <v>0.86319444444444438</v>
      </c>
      <c r="S827" s="6">
        <f t="shared" si="36"/>
        <v>15.716666666666665</v>
      </c>
      <c r="T827" s="5">
        <f t="shared" si="37"/>
        <v>0.10872699486539189</v>
      </c>
      <c r="U827" s="3">
        <v>2.21</v>
      </c>
      <c r="V827" s="5">
        <f t="shared" si="38"/>
        <v>4.9197735233209E-2</v>
      </c>
      <c r="W827" s="3">
        <v>4.9197735233209E-2</v>
      </c>
    </row>
    <row r="828" spans="1:23" x14ac:dyDescent="0.55000000000000004">
      <c r="A828" s="3">
        <v>42</v>
      </c>
      <c r="B828" s="3" t="s">
        <v>53</v>
      </c>
      <c r="C828" s="3" t="s">
        <v>49</v>
      </c>
      <c r="D828" s="3" t="s">
        <v>41</v>
      </c>
      <c r="E828" s="2" t="s">
        <v>24</v>
      </c>
      <c r="F828" s="3">
        <v>44</v>
      </c>
      <c r="G828" s="4">
        <v>24.9</v>
      </c>
      <c r="H828" s="4">
        <v>81.3</v>
      </c>
      <c r="I828" s="6">
        <v>6.4097445913086748</v>
      </c>
      <c r="J828" s="5">
        <v>6.6000000000000003E-2</v>
      </c>
      <c r="K828" s="4">
        <v>20.399999999999999</v>
      </c>
      <c r="L828" s="4">
        <v>53.3</v>
      </c>
      <c r="M828" s="6">
        <v>4.5825026516419722</v>
      </c>
      <c r="N828" s="5">
        <v>6.0999999999999999E-2</v>
      </c>
      <c r="O828" s="5">
        <v>1.8272419396667026</v>
      </c>
      <c r="P828" s="5">
        <v>1.8272419396667026</v>
      </c>
      <c r="Q828" s="8">
        <v>0.20277777777777781</v>
      </c>
      <c r="R828" s="8">
        <v>0.90277777777777779</v>
      </c>
      <c r="S828" s="6">
        <f t="shared" si="36"/>
        <v>16.799999999999997</v>
      </c>
      <c r="T828" s="5">
        <f t="shared" si="37"/>
        <v>0.10876440117063707</v>
      </c>
      <c r="U828" s="3">
        <v>2.21</v>
      </c>
      <c r="V828" s="5">
        <f t="shared" si="38"/>
        <v>4.9214661163184202E-2</v>
      </c>
      <c r="W828" s="3">
        <v>4.9214661163184202E-2</v>
      </c>
    </row>
    <row r="829" spans="1:23" x14ac:dyDescent="0.55000000000000004">
      <c r="A829" s="3">
        <v>51</v>
      </c>
      <c r="B829" s="3" t="s">
        <v>48</v>
      </c>
      <c r="C829" s="3" t="s">
        <v>50</v>
      </c>
      <c r="D829" s="3" t="s">
        <v>10</v>
      </c>
      <c r="E829" s="2" t="s">
        <v>13</v>
      </c>
      <c r="F829" s="3">
        <v>8</v>
      </c>
      <c r="G829" s="4">
        <v>22.2</v>
      </c>
      <c r="H829" s="4">
        <v>119.9</v>
      </c>
      <c r="I829" s="6">
        <v>9.9506908340358606</v>
      </c>
      <c r="J829" s="5">
        <v>3.9E-2</v>
      </c>
      <c r="K829" s="4">
        <v>19.399999999999999</v>
      </c>
      <c r="L829" s="4">
        <v>93.9</v>
      </c>
      <c r="M829" s="6">
        <v>8.2364814329873273</v>
      </c>
      <c r="N829" s="5">
        <v>3.5999999999999997E-2</v>
      </c>
      <c r="O829" s="5">
        <v>1.7142094010485334</v>
      </c>
      <c r="P829" s="5">
        <v>1.7142094010485334</v>
      </c>
      <c r="Q829" s="8">
        <v>0.20833333333333334</v>
      </c>
      <c r="R829" s="8">
        <v>0.86319444444444438</v>
      </c>
      <c r="S829" s="6">
        <f t="shared" si="36"/>
        <v>15.716666666666665</v>
      </c>
      <c r="T829" s="5">
        <f t="shared" si="37"/>
        <v>0.10906952710807212</v>
      </c>
      <c r="U829" s="3">
        <v>2.21</v>
      </c>
      <c r="V829" s="5">
        <f t="shared" si="38"/>
        <v>4.935272719822268E-2</v>
      </c>
      <c r="W829" s="3">
        <v>4.935272719822268E-2</v>
      </c>
    </row>
    <row r="830" spans="1:23" x14ac:dyDescent="0.55000000000000004">
      <c r="A830" s="3">
        <v>39</v>
      </c>
      <c r="B830" s="3" t="s">
        <v>51</v>
      </c>
      <c r="C830" s="3" t="s">
        <v>50</v>
      </c>
      <c r="D830" s="3" t="s">
        <v>9</v>
      </c>
      <c r="E830" s="2" t="s">
        <v>19</v>
      </c>
      <c r="F830" s="3">
        <v>26</v>
      </c>
      <c r="G830" s="4">
        <v>26.4</v>
      </c>
      <c r="H830" s="4">
        <v>101.8</v>
      </c>
      <c r="I830" s="6">
        <v>7.8068068882723187</v>
      </c>
      <c r="J830" s="5">
        <v>4.1000000000000002E-2</v>
      </c>
      <c r="K830" s="4">
        <v>23.2</v>
      </c>
      <c r="L830" s="4">
        <v>74.099999999999994</v>
      </c>
      <c r="M830" s="6">
        <v>6.0325364932002943</v>
      </c>
      <c r="N830" s="5">
        <v>3.9E-2</v>
      </c>
      <c r="O830" s="5">
        <v>1.7742703950720244</v>
      </c>
      <c r="P830" s="5">
        <v>1.7742703950720244</v>
      </c>
      <c r="Q830" s="8">
        <v>0.20833333333333334</v>
      </c>
      <c r="R830" s="8">
        <v>0.88541666666666663</v>
      </c>
      <c r="S830" s="6">
        <f t="shared" si="36"/>
        <v>16.25</v>
      </c>
      <c r="T830" s="5">
        <f t="shared" si="37"/>
        <v>0.10918587046597074</v>
      </c>
      <c r="U830" s="3">
        <v>2.21</v>
      </c>
      <c r="V830" s="5">
        <f t="shared" si="38"/>
        <v>4.9405371251570469E-2</v>
      </c>
      <c r="W830" s="3">
        <v>4.9405371251570469E-2</v>
      </c>
    </row>
    <row r="831" spans="1:23" x14ac:dyDescent="0.55000000000000004">
      <c r="A831" s="3">
        <v>64</v>
      </c>
      <c r="B831" s="3" t="s">
        <v>53</v>
      </c>
      <c r="C831" s="3" t="s">
        <v>50</v>
      </c>
      <c r="D831" s="3" t="s">
        <v>11</v>
      </c>
      <c r="E831" s="2" t="s">
        <v>8</v>
      </c>
      <c r="F831" s="3">
        <v>5</v>
      </c>
      <c r="G831" s="4">
        <v>20.5</v>
      </c>
      <c r="H831" s="4">
        <v>117.6</v>
      </c>
      <c r="I831" s="6">
        <v>10.090667041086304</v>
      </c>
      <c r="J831" s="5">
        <v>3.5000000000000003E-2</v>
      </c>
      <c r="K831" s="4">
        <v>15.4</v>
      </c>
      <c r="L831" s="4">
        <v>87.6</v>
      </c>
      <c r="M831" s="6">
        <v>8.3511511023309417</v>
      </c>
      <c r="N831" s="5">
        <v>0.03</v>
      </c>
      <c r="O831" s="5">
        <v>1.7395159387553623</v>
      </c>
      <c r="P831" s="5">
        <v>1.7395159387553623</v>
      </c>
      <c r="Q831" s="8">
        <v>0.20833333333333334</v>
      </c>
      <c r="R831" s="8">
        <v>0.87083333333333324</v>
      </c>
      <c r="S831" s="6">
        <f t="shared" si="36"/>
        <v>15.899999999999997</v>
      </c>
      <c r="T831" s="5">
        <f t="shared" si="37"/>
        <v>0.10940351816071463</v>
      </c>
      <c r="U831" s="3">
        <v>2.21</v>
      </c>
      <c r="V831" s="5">
        <f t="shared" si="38"/>
        <v>4.9503854371364085E-2</v>
      </c>
      <c r="W831" s="3">
        <v>4.9503854371364085E-2</v>
      </c>
    </row>
    <row r="832" spans="1:23" x14ac:dyDescent="0.55000000000000004">
      <c r="A832" s="3">
        <v>60</v>
      </c>
      <c r="B832" s="3" t="s">
        <v>51</v>
      </c>
      <c r="C832" s="3" t="s">
        <v>49</v>
      </c>
      <c r="D832" s="3" t="s">
        <v>39</v>
      </c>
      <c r="E832" s="3" t="s">
        <v>27</v>
      </c>
      <c r="F832" s="3">
        <v>54</v>
      </c>
      <c r="G832" s="4">
        <v>28.5</v>
      </c>
      <c r="H832" s="4">
        <v>108.6</v>
      </c>
      <c r="I832" s="6">
        <v>8.0190286236417236</v>
      </c>
      <c r="J832" s="5">
        <v>6.2E-2</v>
      </c>
      <c r="K832" s="4">
        <v>25.1</v>
      </c>
      <c r="L832" s="4">
        <v>79.099999999999994</v>
      </c>
      <c r="M832" s="6">
        <v>6.2131115159366912</v>
      </c>
      <c r="N832" s="5">
        <v>5.8999999999999997E-2</v>
      </c>
      <c r="O832" s="5">
        <v>1.8059171077050324</v>
      </c>
      <c r="P832" s="5">
        <v>1.8059171077050324</v>
      </c>
      <c r="Q832" s="8">
        <v>0.20833333333333334</v>
      </c>
      <c r="R832" s="8">
        <v>0.89583333333333337</v>
      </c>
      <c r="S832" s="6">
        <f t="shared" si="36"/>
        <v>16.5</v>
      </c>
      <c r="T832" s="5">
        <f t="shared" si="37"/>
        <v>0.10944952167909287</v>
      </c>
      <c r="U832" s="3">
        <v>2.21</v>
      </c>
      <c r="V832" s="5">
        <f t="shared" si="38"/>
        <v>4.9524670443028447E-2</v>
      </c>
      <c r="W832" s="3">
        <v>4.9524670443028447E-2</v>
      </c>
    </row>
    <row r="833" spans="1:23" x14ac:dyDescent="0.55000000000000004">
      <c r="A833" s="3">
        <v>1</v>
      </c>
      <c r="B833" s="3" t="s">
        <v>51</v>
      </c>
      <c r="C833" s="3" t="s">
        <v>49</v>
      </c>
      <c r="D833" s="3" t="s">
        <v>39</v>
      </c>
      <c r="E833" s="3" t="s">
        <v>30</v>
      </c>
      <c r="F833" s="3">
        <v>65</v>
      </c>
      <c r="G833" s="4">
        <v>28.6</v>
      </c>
      <c r="H833" s="4">
        <v>99.4</v>
      </c>
      <c r="I833" s="6">
        <v>7.3266763343559038</v>
      </c>
      <c r="J833" s="5">
        <v>5.0999999999999997E-2</v>
      </c>
      <c r="K833" s="4">
        <v>23.4</v>
      </c>
      <c r="L833" s="4">
        <v>68.400000000000006</v>
      </c>
      <c r="M833" s="6">
        <v>5.5472990901708075</v>
      </c>
      <c r="N833" s="5">
        <v>4.3999999999999997E-2</v>
      </c>
      <c r="O833" s="5">
        <v>1.7793772441850964</v>
      </c>
      <c r="P833" s="5">
        <v>1.7793772441850964</v>
      </c>
      <c r="Q833" s="8">
        <v>0.20833333333333334</v>
      </c>
      <c r="R833" s="8">
        <v>0.88541666666666663</v>
      </c>
      <c r="S833" s="6">
        <f t="shared" si="36"/>
        <v>16.25</v>
      </c>
      <c r="T833" s="5">
        <f t="shared" si="37"/>
        <v>0.10950013810369824</v>
      </c>
      <c r="U833" s="3">
        <v>2.21</v>
      </c>
      <c r="V833" s="5">
        <f t="shared" si="38"/>
        <v>4.954757380257839E-2</v>
      </c>
      <c r="W833" s="3">
        <v>4.954757380257839E-2</v>
      </c>
    </row>
    <row r="834" spans="1:23" x14ac:dyDescent="0.55000000000000004">
      <c r="A834" s="3">
        <v>44</v>
      </c>
      <c r="B834" s="3" t="s">
        <v>53</v>
      </c>
      <c r="C834" s="3" t="s">
        <v>49</v>
      </c>
      <c r="D834" s="3" t="s">
        <v>41</v>
      </c>
      <c r="E834" s="3" t="s">
        <v>26</v>
      </c>
      <c r="F834" s="3">
        <v>51</v>
      </c>
      <c r="G834" s="4">
        <v>27.1</v>
      </c>
      <c r="H834" s="4">
        <v>89.7</v>
      </c>
      <c r="I834" s="6">
        <v>6.7918702685803103</v>
      </c>
      <c r="J834" s="5">
        <v>7.0000000000000007E-2</v>
      </c>
      <c r="K834" s="4">
        <v>24.4</v>
      </c>
      <c r="L834" s="4">
        <v>63.3</v>
      </c>
      <c r="M834" s="6">
        <v>5.0375252178528198</v>
      </c>
      <c r="N834" s="5">
        <v>6.6000000000000003E-2</v>
      </c>
      <c r="O834" s="5">
        <v>1.7543450507274905</v>
      </c>
      <c r="P834" s="5">
        <v>1.7543450507274905</v>
      </c>
      <c r="Q834" s="8">
        <v>0.20833333333333334</v>
      </c>
      <c r="R834" s="8">
        <v>0.875</v>
      </c>
      <c r="S834" s="6">
        <f t="shared" ref="S834:S897" si="39">(R834-Q834)*24</f>
        <v>16</v>
      </c>
      <c r="T834" s="5">
        <f t="shared" ref="T834:T897" si="40">P834/S834</f>
        <v>0.10964656567046815</v>
      </c>
      <c r="U834" s="3">
        <v>2.21</v>
      </c>
      <c r="V834" s="5">
        <f t="shared" ref="V834:V897" si="41">(I834-M834)/U834/S834</f>
        <v>4.9613830620121341E-2</v>
      </c>
      <c r="W834" s="3">
        <v>4.9613830620121341E-2</v>
      </c>
    </row>
    <row r="835" spans="1:23" x14ac:dyDescent="0.55000000000000004">
      <c r="A835" s="3">
        <v>56</v>
      </c>
      <c r="B835" s="3" t="s">
        <v>53</v>
      </c>
      <c r="C835" s="3" t="s">
        <v>49</v>
      </c>
      <c r="D835" s="3" t="s">
        <v>41</v>
      </c>
      <c r="E835" s="2" t="s">
        <v>19</v>
      </c>
      <c r="F835" s="3">
        <v>26</v>
      </c>
      <c r="G835" s="4">
        <v>23.6</v>
      </c>
      <c r="H835" s="4">
        <v>95.2</v>
      </c>
      <c r="I835" s="6">
        <v>7.6914960731077802</v>
      </c>
      <c r="J835" s="5">
        <v>3.9E-2</v>
      </c>
      <c r="K835" s="4">
        <v>22.8</v>
      </c>
      <c r="L835" s="4">
        <v>72</v>
      </c>
      <c r="M835" s="6">
        <v>5.9066452632673156</v>
      </c>
      <c r="N835" s="5">
        <v>3.6999999999999998E-2</v>
      </c>
      <c r="O835" s="5">
        <v>1.7848508098404645</v>
      </c>
      <c r="P835" s="5">
        <v>1.7848508098404645</v>
      </c>
      <c r="Q835" s="8">
        <v>0.20833333333333334</v>
      </c>
      <c r="R835" s="8">
        <v>0.88541666666666663</v>
      </c>
      <c r="S835" s="6">
        <f t="shared" si="39"/>
        <v>16.25</v>
      </c>
      <c r="T835" s="5">
        <f t="shared" si="40"/>
        <v>0.10983697291325935</v>
      </c>
      <c r="U835" s="3">
        <v>2.21</v>
      </c>
      <c r="V835" s="5">
        <f t="shared" si="41"/>
        <v>4.9699987743556273E-2</v>
      </c>
      <c r="W835" s="3">
        <v>4.9699987743556273E-2</v>
      </c>
    </row>
    <row r="836" spans="1:23" x14ac:dyDescent="0.55000000000000004">
      <c r="A836" s="3">
        <v>31</v>
      </c>
      <c r="B836" s="3" t="s">
        <v>52</v>
      </c>
      <c r="C836" s="3" t="s">
        <v>49</v>
      </c>
      <c r="D836" s="3" t="s">
        <v>40</v>
      </c>
      <c r="E836" s="2" t="s">
        <v>22</v>
      </c>
      <c r="F836" s="3">
        <v>37</v>
      </c>
      <c r="G836" s="4">
        <v>28.9</v>
      </c>
      <c r="H836" s="4">
        <v>83.9</v>
      </c>
      <c r="I836" s="6">
        <v>6.1514091974727716</v>
      </c>
      <c r="J836" s="5">
        <v>6.7000000000000004E-2</v>
      </c>
      <c r="K836" s="4">
        <v>24.1</v>
      </c>
      <c r="L836" s="4">
        <v>54.3</v>
      </c>
      <c r="M836" s="6">
        <v>4.3457516768676472</v>
      </c>
      <c r="N836" s="5">
        <v>6.2E-2</v>
      </c>
      <c r="O836" s="5">
        <v>1.8056575206051244</v>
      </c>
      <c r="P836" s="5">
        <v>1.8056575206051244</v>
      </c>
      <c r="Q836" s="8">
        <v>0.20138888888888887</v>
      </c>
      <c r="R836" s="8">
        <v>0.88541666666666663</v>
      </c>
      <c r="S836" s="6">
        <f t="shared" si="39"/>
        <v>16.416666666666668</v>
      </c>
      <c r="T836" s="5">
        <f t="shared" si="40"/>
        <v>0.109989290595236</v>
      </c>
      <c r="U836" s="3">
        <v>2.21</v>
      </c>
      <c r="V836" s="5">
        <f t="shared" si="41"/>
        <v>4.9768909771599999E-2</v>
      </c>
      <c r="W836" s="3">
        <v>4.9768909771599999E-2</v>
      </c>
    </row>
    <row r="837" spans="1:23" x14ac:dyDescent="0.55000000000000004">
      <c r="A837" s="3">
        <v>62</v>
      </c>
      <c r="B837" s="3" t="s">
        <v>52</v>
      </c>
      <c r="C837" s="3" t="s">
        <v>49</v>
      </c>
      <c r="D837" s="3" t="s">
        <v>40</v>
      </c>
      <c r="E837" s="2" t="s">
        <v>25</v>
      </c>
      <c r="F837" s="3">
        <v>47</v>
      </c>
      <c r="G837" s="4">
        <v>28.8</v>
      </c>
      <c r="H837" s="4">
        <v>100.1</v>
      </c>
      <c r="I837" s="6">
        <v>7.3521618939033768</v>
      </c>
      <c r="J837" s="5">
        <v>7.0000000000000007E-2</v>
      </c>
      <c r="K837" s="4">
        <v>25.6</v>
      </c>
      <c r="L837" s="4">
        <v>71.099999999999994</v>
      </c>
      <c r="M837" s="6">
        <v>5.5332183488438842</v>
      </c>
      <c r="N837" s="5">
        <v>6.8000000000000005E-2</v>
      </c>
      <c r="O837" s="5">
        <v>1.8189435450594926</v>
      </c>
      <c r="P837" s="5">
        <v>1.8189435450594926</v>
      </c>
      <c r="Q837" s="8">
        <v>0.20833333333333334</v>
      </c>
      <c r="R837" s="8">
        <v>0.89583333333333337</v>
      </c>
      <c r="S837" s="6">
        <f t="shared" si="39"/>
        <v>16.5</v>
      </c>
      <c r="T837" s="5">
        <f t="shared" si="40"/>
        <v>0.11023900273087835</v>
      </c>
      <c r="U837" s="3">
        <v>2.21</v>
      </c>
      <c r="V837" s="5">
        <f t="shared" si="41"/>
        <v>4.9881901688180248E-2</v>
      </c>
      <c r="W837" s="3">
        <v>4.9881901688180248E-2</v>
      </c>
    </row>
    <row r="838" spans="1:23" x14ac:dyDescent="0.55000000000000004">
      <c r="A838" s="3">
        <v>15</v>
      </c>
      <c r="B838" s="3" t="s">
        <v>48</v>
      </c>
      <c r="C838" s="3" t="s">
        <v>49</v>
      </c>
      <c r="D838" s="3" t="s">
        <v>38</v>
      </c>
      <c r="E838" s="3" t="s">
        <v>29</v>
      </c>
      <c r="F838" s="3">
        <v>61</v>
      </c>
      <c r="G838" s="4">
        <v>28.3</v>
      </c>
      <c r="H838" s="4">
        <v>81.3</v>
      </c>
      <c r="I838" s="6">
        <v>6.0245987345701471</v>
      </c>
      <c r="J838" s="5">
        <v>8.8999999999999996E-2</v>
      </c>
      <c r="K838" s="4">
        <v>24.3</v>
      </c>
      <c r="L838" s="4">
        <v>52.7</v>
      </c>
      <c r="M838" s="6">
        <v>4.201846542069501</v>
      </c>
      <c r="N838" s="5">
        <v>8.4000000000000005E-2</v>
      </c>
      <c r="O838" s="5">
        <v>1.822752192500646</v>
      </c>
      <c r="P838" s="5">
        <v>1.822752192500646</v>
      </c>
      <c r="Q838" s="8">
        <v>0.19791666666666666</v>
      </c>
      <c r="R838" s="8">
        <v>0.88541666666666663</v>
      </c>
      <c r="S838" s="6">
        <f t="shared" si="39"/>
        <v>16.5</v>
      </c>
      <c r="T838" s="5">
        <f t="shared" si="40"/>
        <v>0.11046982984852401</v>
      </c>
      <c r="U838" s="3">
        <v>2.21</v>
      </c>
      <c r="V838" s="5">
        <f t="shared" si="41"/>
        <v>4.9986348347748413E-2</v>
      </c>
      <c r="W838" s="3">
        <v>4.9986348347748413E-2</v>
      </c>
    </row>
    <row r="839" spans="1:23" x14ac:dyDescent="0.55000000000000004">
      <c r="A839" s="3">
        <v>45</v>
      </c>
      <c r="B839" s="3" t="s">
        <v>48</v>
      </c>
      <c r="C839" s="3" t="s">
        <v>50</v>
      </c>
      <c r="D839" s="3" t="s">
        <v>10</v>
      </c>
      <c r="E839" s="2" t="s">
        <v>19</v>
      </c>
      <c r="F839" s="3">
        <v>26</v>
      </c>
      <c r="G839" s="4">
        <v>22.7</v>
      </c>
      <c r="H839" s="4">
        <v>94.2</v>
      </c>
      <c r="I839" s="6">
        <v>7.7427264414591725</v>
      </c>
      <c r="J839" s="5">
        <v>4.3999999999999997E-2</v>
      </c>
      <c r="K839" s="4">
        <v>22.6</v>
      </c>
      <c r="L839" s="4">
        <v>72.2</v>
      </c>
      <c r="M839" s="6">
        <v>5.9458783729265212</v>
      </c>
      <c r="N839" s="5">
        <v>0.04</v>
      </c>
      <c r="O839" s="5">
        <v>1.7968480685326513</v>
      </c>
      <c r="P839" s="5">
        <v>1.7968480685326513</v>
      </c>
      <c r="Q839" s="8">
        <v>0.20833333333333334</v>
      </c>
      <c r="R839" s="8">
        <v>0.88541666666666663</v>
      </c>
      <c r="S839" s="6">
        <f t="shared" si="39"/>
        <v>16.25</v>
      </c>
      <c r="T839" s="5">
        <f t="shared" si="40"/>
        <v>0.11057526575585547</v>
      </c>
      <c r="U839" s="3">
        <v>2.21</v>
      </c>
      <c r="V839" s="5">
        <f t="shared" si="41"/>
        <v>5.0034056903102024E-2</v>
      </c>
      <c r="W839" s="3">
        <v>5.0034056903102024E-2</v>
      </c>
    </row>
    <row r="840" spans="1:23" x14ac:dyDescent="0.55000000000000004">
      <c r="A840" s="3">
        <v>39</v>
      </c>
      <c r="B840" s="3" t="s">
        <v>51</v>
      </c>
      <c r="C840" s="3" t="s">
        <v>50</v>
      </c>
      <c r="D840" s="3" t="s">
        <v>9</v>
      </c>
      <c r="E840" s="3" t="s">
        <v>33</v>
      </c>
      <c r="F840" s="3">
        <v>75</v>
      </c>
      <c r="G840" s="4">
        <v>28</v>
      </c>
      <c r="H840" s="4">
        <v>96.4</v>
      </c>
      <c r="I840" s="6">
        <v>7.1819213600080385</v>
      </c>
      <c r="J840" s="5">
        <v>5.0999999999999997E-2</v>
      </c>
      <c r="K840" s="4">
        <v>23.9</v>
      </c>
      <c r="L840" s="4">
        <v>67</v>
      </c>
      <c r="M840" s="6">
        <v>5.3824493291626325</v>
      </c>
      <c r="N840" s="5">
        <v>3.9E-2</v>
      </c>
      <c r="O840" s="5">
        <v>1.799472030845406</v>
      </c>
      <c r="P840" s="5">
        <v>1.799472030845406</v>
      </c>
      <c r="Q840" s="8">
        <v>0.20833333333333334</v>
      </c>
      <c r="R840" s="8">
        <v>0.88541666666666663</v>
      </c>
      <c r="S840" s="6">
        <f t="shared" si="39"/>
        <v>16.25</v>
      </c>
      <c r="T840" s="5">
        <f t="shared" si="40"/>
        <v>0.11073674035971728</v>
      </c>
      <c r="U840" s="3">
        <v>2.21</v>
      </c>
      <c r="V840" s="5">
        <f t="shared" si="41"/>
        <v>5.0107122334713705E-2</v>
      </c>
      <c r="W840" s="3">
        <v>5.0107122334713705E-2</v>
      </c>
    </row>
    <row r="841" spans="1:23" x14ac:dyDescent="0.55000000000000004">
      <c r="A841" s="3">
        <v>62</v>
      </c>
      <c r="B841" s="3" t="s">
        <v>52</v>
      </c>
      <c r="C841" s="3" t="s">
        <v>49</v>
      </c>
      <c r="D841" s="3" t="s">
        <v>40</v>
      </c>
      <c r="E841" s="2" t="s">
        <v>22</v>
      </c>
      <c r="F841" s="3">
        <v>37</v>
      </c>
      <c r="G841" s="4">
        <v>30.2</v>
      </c>
      <c r="H841" s="4">
        <v>88.4</v>
      </c>
      <c r="I841" s="6">
        <v>6.335279455218326</v>
      </c>
      <c r="J841" s="5">
        <v>6.5000000000000002E-2</v>
      </c>
      <c r="K841" s="4">
        <v>25</v>
      </c>
      <c r="L841" s="4">
        <v>57.4</v>
      </c>
      <c r="M841" s="6">
        <v>4.5170277531886995</v>
      </c>
      <c r="N841" s="5">
        <v>0.06</v>
      </c>
      <c r="O841" s="5">
        <v>1.8182517020296265</v>
      </c>
      <c r="P841" s="5">
        <v>1.8182517020296265</v>
      </c>
      <c r="Q841" s="8">
        <v>0.20138888888888887</v>
      </c>
      <c r="R841" s="8">
        <v>0.88541666666666663</v>
      </c>
      <c r="S841" s="6">
        <f t="shared" si="39"/>
        <v>16.416666666666668</v>
      </c>
      <c r="T841" s="5">
        <f t="shared" si="40"/>
        <v>0.11075644885459653</v>
      </c>
      <c r="U841" s="3">
        <v>2.21</v>
      </c>
      <c r="V841" s="5">
        <f t="shared" si="41"/>
        <v>5.0116040205699791E-2</v>
      </c>
      <c r="W841" s="3">
        <v>5.0116040205699791E-2</v>
      </c>
    </row>
    <row r="842" spans="1:23" x14ac:dyDescent="0.55000000000000004">
      <c r="A842" s="3">
        <v>10</v>
      </c>
      <c r="B842" s="3" t="s">
        <v>51</v>
      </c>
      <c r="C842" s="3" t="s">
        <v>49</v>
      </c>
      <c r="D842" s="3" t="s">
        <v>39</v>
      </c>
      <c r="E842" s="3" t="s">
        <v>28</v>
      </c>
      <c r="F842" s="3">
        <v>58</v>
      </c>
      <c r="G842" s="4">
        <v>28.8</v>
      </c>
      <c r="H842" s="4">
        <v>113.4</v>
      </c>
      <c r="I842" s="6">
        <v>8.3290225651213099</v>
      </c>
      <c r="J842" s="5">
        <v>7.2999999999999995E-2</v>
      </c>
      <c r="K842" s="4">
        <v>24.2</v>
      </c>
      <c r="L842" s="4">
        <v>81.599999999999994</v>
      </c>
      <c r="M842" s="6">
        <v>6.5183385658582562</v>
      </c>
      <c r="N842" s="5">
        <v>5.7000000000000002E-2</v>
      </c>
      <c r="O842" s="5">
        <v>1.8106839992630537</v>
      </c>
      <c r="P842" s="5">
        <v>1.8106839992630537</v>
      </c>
      <c r="Q842" s="8">
        <v>0.20833333333333334</v>
      </c>
      <c r="R842" s="8">
        <v>0.88888888888888884</v>
      </c>
      <c r="S842" s="6">
        <f t="shared" si="39"/>
        <v>16.333333333333332</v>
      </c>
      <c r="T842" s="5">
        <f t="shared" si="40"/>
        <v>0.1108582040365135</v>
      </c>
      <c r="U842" s="3">
        <v>2.21</v>
      </c>
      <c r="V842" s="5">
        <f t="shared" si="41"/>
        <v>5.0162083274440501E-2</v>
      </c>
      <c r="W842" s="3">
        <v>5.0162083274440501E-2</v>
      </c>
    </row>
    <row r="843" spans="1:23" x14ac:dyDescent="0.55000000000000004">
      <c r="A843" s="3">
        <v>56</v>
      </c>
      <c r="B843" s="3" t="s">
        <v>53</v>
      </c>
      <c r="C843" s="3" t="s">
        <v>49</v>
      </c>
      <c r="D843" s="3" t="s">
        <v>41</v>
      </c>
      <c r="E843" s="2" t="s">
        <v>21</v>
      </c>
      <c r="F843" s="3">
        <v>33</v>
      </c>
      <c r="G843" s="4">
        <v>30.1</v>
      </c>
      <c r="H843" s="4">
        <v>89.4</v>
      </c>
      <c r="I843" s="6">
        <v>6.4181032740496331</v>
      </c>
      <c r="J843" s="5">
        <v>5.3999999999999999E-2</v>
      </c>
      <c r="K843" s="4">
        <v>26.4</v>
      </c>
      <c r="L843" s="4">
        <v>60.3</v>
      </c>
      <c r="M843" s="6">
        <v>4.624267734408849</v>
      </c>
      <c r="N843" s="5">
        <v>6.4000000000000001E-2</v>
      </c>
      <c r="O843" s="5">
        <v>1.7938355396407841</v>
      </c>
      <c r="P843" s="5">
        <v>1.7938355396407841</v>
      </c>
      <c r="Q843" s="8">
        <v>0.20833333333333334</v>
      </c>
      <c r="R843" s="8">
        <v>0.88194444444444453</v>
      </c>
      <c r="S843" s="6">
        <f t="shared" si="39"/>
        <v>16.166666666666668</v>
      </c>
      <c r="T843" s="5">
        <f t="shared" si="40"/>
        <v>0.11095889935922375</v>
      </c>
      <c r="U843" s="3">
        <v>2.21</v>
      </c>
      <c r="V843" s="5">
        <f t="shared" si="41"/>
        <v>5.0207646768879524E-2</v>
      </c>
      <c r="W843" s="3">
        <v>5.0207646768879524E-2</v>
      </c>
    </row>
    <row r="844" spans="1:23" x14ac:dyDescent="0.55000000000000004">
      <c r="A844" s="3">
        <v>11</v>
      </c>
      <c r="B844" s="3" t="s">
        <v>53</v>
      </c>
      <c r="C844" s="3" t="s">
        <v>49</v>
      </c>
      <c r="D844" s="3" t="s">
        <v>41</v>
      </c>
      <c r="E844" s="3" t="s">
        <v>28</v>
      </c>
      <c r="F844" s="3">
        <v>58</v>
      </c>
      <c r="G844" s="4">
        <v>27.4</v>
      </c>
      <c r="H844" s="4">
        <v>76.599999999999994</v>
      </c>
      <c r="I844" s="6">
        <v>5.7686206362051458</v>
      </c>
      <c r="J844" s="5">
        <v>6.3E-2</v>
      </c>
      <c r="K844" s="4">
        <v>23</v>
      </c>
      <c r="L844" s="4">
        <v>48.4</v>
      </c>
      <c r="M844" s="6">
        <v>3.9553787200376949</v>
      </c>
      <c r="N844" s="5">
        <v>0.06</v>
      </c>
      <c r="O844" s="5">
        <v>1.8132419161674509</v>
      </c>
      <c r="P844" s="5">
        <v>1.8132419161674509</v>
      </c>
      <c r="Q844" s="8">
        <v>0.20833333333333334</v>
      </c>
      <c r="R844" s="8">
        <v>0.88888888888888884</v>
      </c>
      <c r="S844" s="6">
        <f t="shared" si="39"/>
        <v>16.333333333333332</v>
      </c>
      <c r="T844" s="5">
        <f t="shared" si="40"/>
        <v>0.11101481119392557</v>
      </c>
      <c r="U844" s="3">
        <v>2.21</v>
      </c>
      <c r="V844" s="5">
        <f t="shared" si="41"/>
        <v>5.0232946241595286E-2</v>
      </c>
      <c r="W844" s="3">
        <v>5.0232946241595286E-2</v>
      </c>
    </row>
    <row r="845" spans="1:23" x14ac:dyDescent="0.55000000000000004">
      <c r="A845" s="3">
        <v>44</v>
      </c>
      <c r="B845" s="3" t="s">
        <v>53</v>
      </c>
      <c r="C845" s="3" t="s">
        <v>49</v>
      </c>
      <c r="D845" s="3" t="s">
        <v>41</v>
      </c>
      <c r="E845" s="3" t="s">
        <v>31</v>
      </c>
      <c r="F845" s="3">
        <v>68</v>
      </c>
      <c r="G845" s="4">
        <v>25.4</v>
      </c>
      <c r="H845" s="4">
        <v>84.9</v>
      </c>
      <c r="I845" s="6">
        <v>6.6316620147478931</v>
      </c>
      <c r="J845" s="5">
        <v>6.5000000000000002E-2</v>
      </c>
      <c r="K845" s="4">
        <v>24.2</v>
      </c>
      <c r="L845" s="4">
        <v>60.4</v>
      </c>
      <c r="M845" s="6">
        <v>4.8248486443362584</v>
      </c>
      <c r="N845" s="5">
        <v>6.7000000000000004E-2</v>
      </c>
      <c r="O845" s="5">
        <v>1.8068133704116347</v>
      </c>
      <c r="P845" s="5">
        <v>1.8068133704116347</v>
      </c>
      <c r="Q845" s="8">
        <v>0.20833333333333334</v>
      </c>
      <c r="R845" s="8">
        <v>0.88541666666666663</v>
      </c>
      <c r="S845" s="6">
        <f t="shared" si="39"/>
        <v>16.25</v>
      </c>
      <c r="T845" s="5">
        <f t="shared" si="40"/>
        <v>0.11118851510225444</v>
      </c>
      <c r="U845" s="3">
        <v>2.21</v>
      </c>
      <c r="V845" s="5">
        <f t="shared" si="41"/>
        <v>5.0311545295137761E-2</v>
      </c>
      <c r="W845" s="3">
        <v>5.0311545295137761E-2</v>
      </c>
    </row>
    <row r="846" spans="1:23" x14ac:dyDescent="0.55000000000000004">
      <c r="A846" s="3">
        <v>51</v>
      </c>
      <c r="B846" s="3" t="s">
        <v>48</v>
      </c>
      <c r="C846" s="3" t="s">
        <v>50</v>
      </c>
      <c r="D846" s="3" t="s">
        <v>10</v>
      </c>
      <c r="E846" s="2" t="s">
        <v>21</v>
      </c>
      <c r="F846" s="3">
        <v>33</v>
      </c>
      <c r="G846" s="4">
        <v>30.2</v>
      </c>
      <c r="H846" s="4">
        <v>70.599999999999994</v>
      </c>
      <c r="I846" s="6">
        <v>5.0596236373123729</v>
      </c>
      <c r="J846" s="5">
        <v>7.1999999999999995E-2</v>
      </c>
      <c r="K846" s="4">
        <v>26.4</v>
      </c>
      <c r="L846" s="4">
        <v>42.5</v>
      </c>
      <c r="M846" s="6">
        <v>3.259226844318011</v>
      </c>
      <c r="N846" s="5">
        <v>6.7000000000000004E-2</v>
      </c>
      <c r="O846" s="5">
        <v>1.8003967929943618</v>
      </c>
      <c r="P846" s="5">
        <v>1.8003967929943618</v>
      </c>
      <c r="Q846" s="8">
        <v>0.20833333333333334</v>
      </c>
      <c r="R846" s="8">
        <v>0.88194444444444453</v>
      </c>
      <c r="S846" s="6">
        <f t="shared" si="39"/>
        <v>16.166666666666668</v>
      </c>
      <c r="T846" s="5">
        <f t="shared" si="40"/>
        <v>0.11136475008212547</v>
      </c>
      <c r="U846" s="3">
        <v>2.21</v>
      </c>
      <c r="V846" s="5">
        <f t="shared" si="41"/>
        <v>5.0391289629921031E-2</v>
      </c>
      <c r="W846" s="3">
        <v>5.0391289629921031E-2</v>
      </c>
    </row>
    <row r="847" spans="1:23" x14ac:dyDescent="0.55000000000000004">
      <c r="A847" s="3">
        <v>59</v>
      </c>
      <c r="B847" s="3" t="s">
        <v>52</v>
      </c>
      <c r="C847" s="3" t="s">
        <v>49</v>
      </c>
      <c r="D847" s="3" t="s">
        <v>40</v>
      </c>
      <c r="E847" s="3" t="s">
        <v>34</v>
      </c>
      <c r="F847" s="3">
        <v>79</v>
      </c>
      <c r="G847" s="4">
        <v>28.7</v>
      </c>
      <c r="H847" s="4">
        <v>70.099999999999994</v>
      </c>
      <c r="I847" s="6">
        <v>5.1578454273669188</v>
      </c>
      <c r="J847" s="5">
        <v>5.7000000000000002E-2</v>
      </c>
      <c r="K847" s="4">
        <v>25.2</v>
      </c>
      <c r="L847" s="4">
        <v>42.7</v>
      </c>
      <c r="M847" s="6">
        <v>3.3477532969728974</v>
      </c>
      <c r="N847" s="5">
        <v>5.6000000000000001E-2</v>
      </c>
      <c r="O847" s="5">
        <v>1.8100921303940214</v>
      </c>
      <c r="P847" s="5">
        <v>1.8100921303940214</v>
      </c>
      <c r="Q847" s="8">
        <v>0.20833333333333334</v>
      </c>
      <c r="R847" s="8">
        <v>0.88541666666666663</v>
      </c>
      <c r="S847" s="6">
        <f t="shared" si="39"/>
        <v>16.25</v>
      </c>
      <c r="T847" s="5">
        <f t="shared" si="40"/>
        <v>0.11139028494732439</v>
      </c>
      <c r="U847" s="3">
        <v>2.21</v>
      </c>
      <c r="V847" s="5">
        <f t="shared" si="41"/>
        <v>5.0402843867567604E-2</v>
      </c>
      <c r="W847" s="3">
        <v>5.0402843867567604E-2</v>
      </c>
    </row>
    <row r="848" spans="1:23" x14ac:dyDescent="0.55000000000000004">
      <c r="A848" s="3">
        <v>30</v>
      </c>
      <c r="B848" s="3" t="s">
        <v>52</v>
      </c>
      <c r="C848" s="3" t="s">
        <v>49</v>
      </c>
      <c r="D848" s="3" t="s">
        <v>40</v>
      </c>
      <c r="E848" s="3" t="s">
        <v>32</v>
      </c>
      <c r="F848" s="3">
        <v>72</v>
      </c>
      <c r="G848" s="4">
        <v>28.6</v>
      </c>
      <c r="H848" s="4">
        <v>81.7</v>
      </c>
      <c r="I848" s="6">
        <v>6.0220267255219051</v>
      </c>
      <c r="J848" s="5">
        <v>7.4999999999999997E-2</v>
      </c>
      <c r="K848" s="4">
        <v>24.5</v>
      </c>
      <c r="L848" s="4">
        <v>53</v>
      </c>
      <c r="M848" s="6">
        <v>4.2099261266924186</v>
      </c>
      <c r="N848" s="5">
        <v>6.9000000000000006E-2</v>
      </c>
      <c r="O848" s="5">
        <v>1.8121005988294865</v>
      </c>
      <c r="P848" s="5">
        <v>1.8121005988294865</v>
      </c>
      <c r="Q848" s="8">
        <v>0.20833333333333334</v>
      </c>
      <c r="R848" s="8">
        <v>0.88541666666666663</v>
      </c>
      <c r="S848" s="6">
        <f t="shared" si="39"/>
        <v>16.25</v>
      </c>
      <c r="T848" s="5">
        <f t="shared" si="40"/>
        <v>0.11151388300489147</v>
      </c>
      <c r="U848" s="3">
        <v>2.21</v>
      </c>
      <c r="V848" s="5">
        <f t="shared" si="41"/>
        <v>5.0458770590448634E-2</v>
      </c>
      <c r="W848" s="3">
        <v>5.0458770590448634E-2</v>
      </c>
    </row>
    <row r="849" spans="1:23" x14ac:dyDescent="0.55000000000000004">
      <c r="A849" s="3">
        <v>32</v>
      </c>
      <c r="B849" s="3" t="s">
        <v>53</v>
      </c>
      <c r="C849" s="3" t="s">
        <v>50</v>
      </c>
      <c r="D849" s="3" t="s">
        <v>11</v>
      </c>
      <c r="E849" s="2" t="s">
        <v>16</v>
      </c>
      <c r="F849" s="3">
        <v>16</v>
      </c>
      <c r="G849" s="4">
        <v>20.9</v>
      </c>
      <c r="H849" s="4">
        <v>87.9</v>
      </c>
      <c r="I849" s="6">
        <v>7.482768188183635</v>
      </c>
      <c r="J849" s="5">
        <v>0.04</v>
      </c>
      <c r="K849" s="4">
        <v>19.600000000000001</v>
      </c>
      <c r="L849" s="4">
        <v>65.400000000000006</v>
      </c>
      <c r="M849" s="6">
        <v>5.7135144678947256</v>
      </c>
      <c r="N849" s="5">
        <v>3.7999999999999999E-2</v>
      </c>
      <c r="O849" s="5">
        <v>1.7692537202889094</v>
      </c>
      <c r="P849" s="5">
        <v>1.7692537202889094</v>
      </c>
      <c r="Q849" s="8">
        <v>0.20833333333333334</v>
      </c>
      <c r="R849" s="8">
        <v>0.86805555555555547</v>
      </c>
      <c r="S849" s="6">
        <f t="shared" si="39"/>
        <v>15.83333333333333</v>
      </c>
      <c r="T849" s="5">
        <f t="shared" si="40"/>
        <v>0.11174234022877325</v>
      </c>
      <c r="U849" s="3">
        <v>2.21</v>
      </c>
      <c r="V849" s="5">
        <f t="shared" si="41"/>
        <v>5.0562144899897396E-2</v>
      </c>
      <c r="W849" s="3">
        <v>5.0562144899897396E-2</v>
      </c>
    </row>
    <row r="850" spans="1:23" x14ac:dyDescent="0.55000000000000004">
      <c r="A850" s="3">
        <v>48</v>
      </c>
      <c r="B850" s="3" t="s">
        <v>52</v>
      </c>
      <c r="C850" s="3" t="s">
        <v>49</v>
      </c>
      <c r="D850" s="3" t="s">
        <v>40</v>
      </c>
      <c r="E850" s="3" t="s">
        <v>29</v>
      </c>
      <c r="F850" s="3">
        <v>61</v>
      </c>
      <c r="G850" s="4">
        <v>29</v>
      </c>
      <c r="H850" s="4">
        <v>75.3</v>
      </c>
      <c r="I850" s="6">
        <v>5.5111254414261994</v>
      </c>
      <c r="J850" s="5">
        <v>0.09</v>
      </c>
      <c r="K850" s="4">
        <v>25</v>
      </c>
      <c r="L850" s="4">
        <v>46.6</v>
      </c>
      <c r="M850" s="6">
        <v>3.6671340295922197</v>
      </c>
      <c r="N850" s="5">
        <v>8.4000000000000005E-2</v>
      </c>
      <c r="O850" s="5">
        <v>1.8439914118339797</v>
      </c>
      <c r="P850" s="5">
        <v>1.8439914118339797</v>
      </c>
      <c r="Q850" s="8">
        <v>0.19791666666666666</v>
      </c>
      <c r="R850" s="8">
        <v>0.88541666666666663</v>
      </c>
      <c r="S850" s="6">
        <f t="shared" si="39"/>
        <v>16.5</v>
      </c>
      <c r="T850" s="5">
        <f t="shared" si="40"/>
        <v>0.11175705526266544</v>
      </c>
      <c r="U850" s="3">
        <v>2.21</v>
      </c>
      <c r="V850" s="5">
        <f t="shared" si="41"/>
        <v>5.0568803286273958E-2</v>
      </c>
      <c r="W850" s="3">
        <v>5.0568803286273958E-2</v>
      </c>
    </row>
    <row r="851" spans="1:23" x14ac:dyDescent="0.55000000000000004">
      <c r="A851" s="3">
        <v>13</v>
      </c>
      <c r="B851" s="3" t="s">
        <v>53</v>
      </c>
      <c r="C851" s="3" t="s">
        <v>50</v>
      </c>
      <c r="D851" s="3" t="s">
        <v>11</v>
      </c>
      <c r="E851" s="2" t="s">
        <v>20</v>
      </c>
      <c r="F851" s="3">
        <v>30</v>
      </c>
      <c r="G851" s="4">
        <v>26.8</v>
      </c>
      <c r="H851" s="4">
        <v>89.1</v>
      </c>
      <c r="I851" s="6">
        <v>6.7832491382012572</v>
      </c>
      <c r="J851" s="5">
        <v>0.05</v>
      </c>
      <c r="K851" s="4">
        <v>23.8</v>
      </c>
      <c r="L851" s="4">
        <v>61.7</v>
      </c>
      <c r="M851" s="6">
        <v>4.9660612003508167</v>
      </c>
      <c r="N851" s="5">
        <v>4.8000000000000001E-2</v>
      </c>
      <c r="O851" s="5">
        <v>1.8171879378504405</v>
      </c>
      <c r="P851" s="5">
        <v>1.8171879378504405</v>
      </c>
      <c r="Q851" s="8">
        <v>0.20833333333333334</v>
      </c>
      <c r="R851" s="8">
        <v>0.88541666666666663</v>
      </c>
      <c r="S851" s="6">
        <f t="shared" si="39"/>
        <v>16.25</v>
      </c>
      <c r="T851" s="5">
        <f t="shared" si="40"/>
        <v>0.11182695002156558</v>
      </c>
      <c r="U851" s="3">
        <v>2.21</v>
      </c>
      <c r="V851" s="5">
        <f t="shared" si="41"/>
        <v>5.0600429874011567E-2</v>
      </c>
      <c r="W851" s="3">
        <v>5.0600429874011567E-2</v>
      </c>
    </row>
    <row r="852" spans="1:23" x14ac:dyDescent="0.55000000000000004">
      <c r="A852" s="3">
        <v>29</v>
      </c>
      <c r="B852" s="3" t="s">
        <v>52</v>
      </c>
      <c r="C852" s="3" t="s">
        <v>50</v>
      </c>
      <c r="D852" s="3" t="s">
        <v>12</v>
      </c>
      <c r="E852" s="2" t="s">
        <v>15</v>
      </c>
      <c r="F852" s="3">
        <v>12</v>
      </c>
      <c r="G852" s="4">
        <v>22.4</v>
      </c>
      <c r="H852" s="4">
        <v>118</v>
      </c>
      <c r="I852" s="6">
        <v>9.7551969117618871</v>
      </c>
      <c r="J852" s="5">
        <v>4.8000000000000001E-2</v>
      </c>
      <c r="K852" s="4">
        <v>19.5</v>
      </c>
      <c r="L852" s="4">
        <v>91.1</v>
      </c>
      <c r="M852" s="6">
        <v>7.9747775300433936</v>
      </c>
      <c r="N852" s="5">
        <v>4.4999999999999998E-2</v>
      </c>
      <c r="O852" s="5">
        <v>1.7804193817184935</v>
      </c>
      <c r="P852" s="5">
        <v>1.7804193817184935</v>
      </c>
      <c r="Q852" s="8">
        <v>0.21319444444444444</v>
      </c>
      <c r="R852" s="8">
        <v>0.875</v>
      </c>
      <c r="S852" s="6">
        <f t="shared" si="39"/>
        <v>15.883333333333333</v>
      </c>
      <c r="T852" s="5">
        <f t="shared" si="40"/>
        <v>0.11209356023411292</v>
      </c>
      <c r="U852" s="3">
        <v>2.21</v>
      </c>
      <c r="V852" s="5">
        <f t="shared" si="41"/>
        <v>5.072106797923661E-2</v>
      </c>
      <c r="W852" s="3">
        <v>5.072106797923661E-2</v>
      </c>
    </row>
    <row r="853" spans="1:23" x14ac:dyDescent="0.55000000000000004">
      <c r="A853" s="3">
        <v>2</v>
      </c>
      <c r="B853" s="3" t="s">
        <v>48</v>
      </c>
      <c r="C853" s="3" t="s">
        <v>49</v>
      </c>
      <c r="D853" s="3" t="s">
        <v>38</v>
      </c>
      <c r="E853" s="3" t="s">
        <v>31</v>
      </c>
      <c r="F853" s="3">
        <v>68</v>
      </c>
      <c r="G853" s="4">
        <v>25.2</v>
      </c>
      <c r="H853" s="4">
        <v>79.099999999999994</v>
      </c>
      <c r="I853" s="6">
        <v>6.2015757796383175</v>
      </c>
      <c r="J853" s="5">
        <v>7.5999999999999998E-2</v>
      </c>
      <c r="K853" s="4">
        <v>23.9</v>
      </c>
      <c r="L853" s="4">
        <v>54.5</v>
      </c>
      <c r="M853" s="6">
        <v>4.3782610214830378</v>
      </c>
      <c r="N853" s="5">
        <v>7.3999999999999996E-2</v>
      </c>
      <c r="O853" s="5">
        <v>1.8233147581552798</v>
      </c>
      <c r="P853" s="5">
        <v>1.8233147581552798</v>
      </c>
      <c r="Q853" s="8">
        <v>0.20833333333333334</v>
      </c>
      <c r="R853" s="8">
        <v>0.88541666666666663</v>
      </c>
      <c r="S853" s="6">
        <f t="shared" si="39"/>
        <v>16.25</v>
      </c>
      <c r="T853" s="5">
        <f t="shared" si="40"/>
        <v>0.11220398511724798</v>
      </c>
      <c r="U853" s="3">
        <v>2.21</v>
      </c>
      <c r="V853" s="5">
        <f t="shared" si="41"/>
        <v>5.0771033989704971E-2</v>
      </c>
      <c r="W853" s="3">
        <v>5.0771033989704971E-2</v>
      </c>
    </row>
    <row r="854" spans="1:23" x14ac:dyDescent="0.55000000000000004">
      <c r="A854" s="3">
        <v>19</v>
      </c>
      <c r="B854" s="3" t="s">
        <v>53</v>
      </c>
      <c r="C854" s="3" t="s">
        <v>49</v>
      </c>
      <c r="D854" s="3" t="s">
        <v>41</v>
      </c>
      <c r="E854" s="3" t="s">
        <v>28</v>
      </c>
      <c r="F854" s="3">
        <v>58</v>
      </c>
      <c r="G854" s="4">
        <v>29.1</v>
      </c>
      <c r="H854" s="4">
        <v>110.5</v>
      </c>
      <c r="I854" s="6">
        <v>8.0731170485180499</v>
      </c>
      <c r="J854" s="5">
        <v>6.2E-2</v>
      </c>
      <c r="K854" s="4">
        <v>24.4</v>
      </c>
      <c r="L854" s="4">
        <v>78.400000000000006</v>
      </c>
      <c r="M854" s="6">
        <v>6.239209748493856</v>
      </c>
      <c r="N854" s="5">
        <v>5.8999999999999997E-2</v>
      </c>
      <c r="O854" s="5">
        <v>1.8339073000241939</v>
      </c>
      <c r="P854" s="5">
        <v>1.8339073000241939</v>
      </c>
      <c r="Q854" s="8">
        <v>0.20833333333333334</v>
      </c>
      <c r="R854" s="8">
        <v>0.88888888888888884</v>
      </c>
      <c r="S854" s="6">
        <f t="shared" si="39"/>
        <v>16.333333333333332</v>
      </c>
      <c r="T854" s="5">
        <f t="shared" si="40"/>
        <v>0.11228003877699147</v>
      </c>
      <c r="U854" s="3">
        <v>2.21</v>
      </c>
      <c r="V854" s="5">
        <f t="shared" si="41"/>
        <v>5.0805447410403382E-2</v>
      </c>
      <c r="W854" s="3">
        <v>5.0805447410403382E-2</v>
      </c>
    </row>
    <row r="855" spans="1:23" x14ac:dyDescent="0.55000000000000004">
      <c r="A855" s="3">
        <v>44</v>
      </c>
      <c r="B855" s="3" t="s">
        <v>53</v>
      </c>
      <c r="C855" s="3" t="s">
        <v>49</v>
      </c>
      <c r="D855" s="3" t="s">
        <v>41</v>
      </c>
      <c r="E855" s="3" t="s">
        <v>30</v>
      </c>
      <c r="F855" s="3">
        <v>65</v>
      </c>
      <c r="G855" s="4">
        <v>27.4</v>
      </c>
      <c r="H855" s="4">
        <v>98.7</v>
      </c>
      <c r="I855" s="6">
        <v>7.4329354672773889</v>
      </c>
      <c r="J855" s="5">
        <v>6.5000000000000002E-2</v>
      </c>
      <c r="K855" s="4">
        <v>23</v>
      </c>
      <c r="L855" s="4">
        <v>68.599999999999994</v>
      </c>
      <c r="M855" s="6">
        <v>5.6061772767476414</v>
      </c>
      <c r="N855" s="5">
        <v>6.0999999999999999E-2</v>
      </c>
      <c r="O855" s="5">
        <v>1.8267581905297474</v>
      </c>
      <c r="P855" s="5">
        <v>1.8267581905297474</v>
      </c>
      <c r="Q855" s="8">
        <v>0.20833333333333334</v>
      </c>
      <c r="R855" s="8">
        <v>0.88541666666666663</v>
      </c>
      <c r="S855" s="6">
        <f t="shared" si="39"/>
        <v>16.25</v>
      </c>
      <c r="T855" s="5">
        <f t="shared" si="40"/>
        <v>0.11241588864798446</v>
      </c>
      <c r="U855" s="3">
        <v>2.21</v>
      </c>
      <c r="V855" s="5">
        <f t="shared" si="41"/>
        <v>5.0866917940264461E-2</v>
      </c>
      <c r="W855" s="3">
        <v>5.0866917940264461E-2</v>
      </c>
    </row>
    <row r="856" spans="1:23" x14ac:dyDescent="0.55000000000000004">
      <c r="A856" s="3">
        <v>44</v>
      </c>
      <c r="B856" s="3" t="s">
        <v>53</v>
      </c>
      <c r="C856" s="3" t="s">
        <v>49</v>
      </c>
      <c r="D856" s="3" t="s">
        <v>41</v>
      </c>
      <c r="E856" s="2" t="s">
        <v>25</v>
      </c>
      <c r="F856" s="3">
        <v>47</v>
      </c>
      <c r="G856" s="4">
        <v>28.7</v>
      </c>
      <c r="H856" s="4">
        <v>90.1</v>
      </c>
      <c r="I856" s="6">
        <v>6.6294133096399328</v>
      </c>
      <c r="J856" s="5">
        <v>6.6000000000000003E-2</v>
      </c>
      <c r="K856" s="4">
        <v>25.4</v>
      </c>
      <c r="L856" s="4">
        <v>61.1</v>
      </c>
      <c r="M856" s="6">
        <v>4.7726095300482481</v>
      </c>
      <c r="N856" s="5">
        <v>6.2E-2</v>
      </c>
      <c r="O856" s="5">
        <v>1.8568037795916847</v>
      </c>
      <c r="P856" s="5">
        <v>1.8568037795916847</v>
      </c>
      <c r="Q856" s="8">
        <v>0.20833333333333334</v>
      </c>
      <c r="R856" s="8">
        <v>0.89583333333333337</v>
      </c>
      <c r="S856" s="6">
        <f t="shared" si="39"/>
        <v>16.5</v>
      </c>
      <c r="T856" s="5">
        <f t="shared" si="40"/>
        <v>0.11253356239949605</v>
      </c>
      <c r="U856" s="3">
        <v>2.21</v>
      </c>
      <c r="V856" s="5">
        <f t="shared" si="41"/>
        <v>5.0920163981672421E-2</v>
      </c>
      <c r="W856" s="3">
        <v>5.0920163981672421E-2</v>
      </c>
    </row>
    <row r="857" spans="1:23" x14ac:dyDescent="0.55000000000000004">
      <c r="A857" s="3">
        <v>29</v>
      </c>
      <c r="B857" s="3" t="s">
        <v>52</v>
      </c>
      <c r="C857" s="3" t="s">
        <v>50</v>
      </c>
      <c r="D857" s="3" t="s">
        <v>12</v>
      </c>
      <c r="E857" s="2" t="s">
        <v>24</v>
      </c>
      <c r="F857" s="3">
        <v>44</v>
      </c>
      <c r="G857" s="4">
        <v>25.4</v>
      </c>
      <c r="H857" s="4">
        <v>107</v>
      </c>
      <c r="I857" s="6">
        <v>8.3579250362547057</v>
      </c>
      <c r="J857" s="5">
        <v>5.8999999999999997E-2</v>
      </c>
      <c r="K857" s="4">
        <v>21.6</v>
      </c>
      <c r="L857" s="4">
        <v>77</v>
      </c>
      <c r="M857" s="6">
        <v>6.4653787230518649</v>
      </c>
      <c r="N857" s="5">
        <v>4.9000000000000002E-2</v>
      </c>
      <c r="O857" s="5">
        <v>1.8925463132028408</v>
      </c>
      <c r="P857" s="5">
        <v>1.8925463132028408</v>
      </c>
      <c r="Q857" s="8">
        <v>0.20277777777777781</v>
      </c>
      <c r="R857" s="8">
        <v>0.90277777777777779</v>
      </c>
      <c r="S857" s="6">
        <f t="shared" si="39"/>
        <v>16.799999999999997</v>
      </c>
      <c r="T857" s="5">
        <f t="shared" si="40"/>
        <v>0.11265156626207389</v>
      </c>
      <c r="U857" s="3">
        <v>2.21</v>
      </c>
      <c r="V857" s="5">
        <f t="shared" si="41"/>
        <v>5.0973559394603567E-2</v>
      </c>
      <c r="W857" s="3">
        <v>5.0973559394603567E-2</v>
      </c>
    </row>
    <row r="858" spans="1:23" x14ac:dyDescent="0.55000000000000004">
      <c r="A858" s="3">
        <v>54</v>
      </c>
      <c r="B858" s="3" t="s">
        <v>48</v>
      </c>
      <c r="C858" s="3" t="s">
        <v>50</v>
      </c>
      <c r="D858" s="3" t="s">
        <v>10</v>
      </c>
      <c r="E858" s="2" t="s">
        <v>13</v>
      </c>
      <c r="F858" s="3">
        <v>8</v>
      </c>
      <c r="G858" s="4">
        <v>22.2</v>
      </c>
      <c r="H858" s="4">
        <v>123.8</v>
      </c>
      <c r="I858" s="6">
        <v>10.274358008787651</v>
      </c>
      <c r="J858" s="5">
        <v>3.4000000000000002E-2</v>
      </c>
      <c r="K858" s="4">
        <v>19.3</v>
      </c>
      <c r="L858" s="4">
        <v>96.7</v>
      </c>
      <c r="M858" s="6">
        <v>8.4992353872455002</v>
      </c>
      <c r="N858" s="5">
        <v>3.1E-2</v>
      </c>
      <c r="O858" s="5">
        <v>1.7751226215421507</v>
      </c>
      <c r="P858" s="5">
        <v>1.7751226215421507</v>
      </c>
      <c r="Q858" s="8">
        <v>0.20833333333333334</v>
      </c>
      <c r="R858" s="8">
        <v>0.86319444444444438</v>
      </c>
      <c r="S858" s="6">
        <f t="shared" si="39"/>
        <v>15.716666666666665</v>
      </c>
      <c r="T858" s="5">
        <f t="shared" si="40"/>
        <v>0.11294523572908702</v>
      </c>
      <c r="U858" s="3">
        <v>2.21</v>
      </c>
      <c r="V858" s="5">
        <f t="shared" si="41"/>
        <v>5.1106441506374216E-2</v>
      </c>
      <c r="W858" s="3">
        <v>5.1106441506374216E-2</v>
      </c>
    </row>
    <row r="859" spans="1:23" x14ac:dyDescent="0.55000000000000004">
      <c r="A859" s="3">
        <v>19</v>
      </c>
      <c r="B859" s="3" t="s">
        <v>53</v>
      </c>
      <c r="C859" s="3" t="s">
        <v>49</v>
      </c>
      <c r="D859" s="3" t="s">
        <v>41</v>
      </c>
      <c r="E859" s="2" t="s">
        <v>24</v>
      </c>
      <c r="F859" s="3">
        <v>44</v>
      </c>
      <c r="G859" s="4">
        <v>25.7</v>
      </c>
      <c r="H859" s="4">
        <v>123.9</v>
      </c>
      <c r="I859" s="6">
        <v>9.6244940780947061</v>
      </c>
      <c r="J859" s="5">
        <v>5.6000000000000001E-2</v>
      </c>
      <c r="K859" s="4">
        <v>21.5</v>
      </c>
      <c r="L859" s="4">
        <v>91.8</v>
      </c>
      <c r="M859" s="6">
        <v>7.7231608683998729</v>
      </c>
      <c r="N859" s="5">
        <v>0.05</v>
      </c>
      <c r="O859" s="5">
        <v>1.9013332096948332</v>
      </c>
      <c r="P859" s="5">
        <v>1.9013332096948332</v>
      </c>
      <c r="Q859" s="8">
        <v>0.20277777777777781</v>
      </c>
      <c r="R859" s="8">
        <v>0.90277777777777779</v>
      </c>
      <c r="S859" s="6">
        <f t="shared" si="39"/>
        <v>16.799999999999997</v>
      </c>
      <c r="T859" s="5">
        <f t="shared" si="40"/>
        <v>0.11317459581516866</v>
      </c>
      <c r="U859" s="3">
        <v>2.21</v>
      </c>
      <c r="V859" s="5">
        <f t="shared" si="41"/>
        <v>5.1210224350755049E-2</v>
      </c>
      <c r="W859" s="3">
        <v>5.1210224350755049E-2</v>
      </c>
    </row>
    <row r="860" spans="1:23" x14ac:dyDescent="0.55000000000000004">
      <c r="A860" s="3">
        <v>31</v>
      </c>
      <c r="B860" s="3" t="s">
        <v>52</v>
      </c>
      <c r="C860" s="3" t="s">
        <v>49</v>
      </c>
      <c r="D860" s="3" t="s">
        <v>40</v>
      </c>
      <c r="E860" s="3" t="s">
        <v>28</v>
      </c>
      <c r="F860" s="3">
        <v>58</v>
      </c>
      <c r="G860" s="4">
        <v>27.6</v>
      </c>
      <c r="H860" s="4">
        <v>88.1</v>
      </c>
      <c r="I860" s="6">
        <v>6.6108171434938869</v>
      </c>
      <c r="J860" s="5">
        <v>6.9000000000000006E-2</v>
      </c>
      <c r="K860" s="4">
        <v>23.3</v>
      </c>
      <c r="L860" s="4">
        <v>58.6</v>
      </c>
      <c r="M860" s="6">
        <v>4.7615751874205801</v>
      </c>
      <c r="N860" s="5">
        <v>7.0000000000000007E-2</v>
      </c>
      <c r="O860" s="5">
        <v>1.8492419560733069</v>
      </c>
      <c r="P860" s="5">
        <v>1.8492419560733069</v>
      </c>
      <c r="Q860" s="8">
        <v>0.20833333333333334</v>
      </c>
      <c r="R860" s="8">
        <v>0.88888888888888884</v>
      </c>
      <c r="S860" s="6">
        <f t="shared" si="39"/>
        <v>16.333333333333332</v>
      </c>
      <c r="T860" s="5">
        <f t="shared" si="40"/>
        <v>0.11321889526979431</v>
      </c>
      <c r="U860" s="3">
        <v>2.21</v>
      </c>
      <c r="V860" s="5">
        <f t="shared" si="41"/>
        <v>5.1230269352848107E-2</v>
      </c>
      <c r="W860" s="3">
        <v>5.1230269352848107E-2</v>
      </c>
    </row>
    <row r="861" spans="1:23" x14ac:dyDescent="0.55000000000000004">
      <c r="A861" s="3">
        <v>53</v>
      </c>
      <c r="B861" s="3" t="s">
        <v>48</v>
      </c>
      <c r="C861" s="3" t="s">
        <v>49</v>
      </c>
      <c r="D861" s="3" t="s">
        <v>38</v>
      </c>
      <c r="E861" s="3" t="s">
        <v>31</v>
      </c>
      <c r="F861" s="3">
        <v>68</v>
      </c>
      <c r="G861" s="4">
        <v>25.7</v>
      </c>
      <c r="H861" s="4">
        <v>81.900000000000006</v>
      </c>
      <c r="I861" s="6">
        <v>6.361953712638873</v>
      </c>
      <c r="J861" s="5">
        <v>5.8000000000000003E-2</v>
      </c>
      <c r="K861" s="4">
        <v>24.3</v>
      </c>
      <c r="L861" s="4">
        <v>56.7</v>
      </c>
      <c r="M861" s="6">
        <v>4.5207722758129165</v>
      </c>
      <c r="N861" s="5">
        <v>5.8999999999999997E-2</v>
      </c>
      <c r="O861" s="5">
        <v>1.8411814368259565</v>
      </c>
      <c r="P861" s="5">
        <v>1.8411814368259565</v>
      </c>
      <c r="Q861" s="8">
        <v>0.20833333333333334</v>
      </c>
      <c r="R861" s="8">
        <v>0.88541666666666663</v>
      </c>
      <c r="S861" s="6">
        <f t="shared" si="39"/>
        <v>16.25</v>
      </c>
      <c r="T861" s="5">
        <f t="shared" si="40"/>
        <v>0.11330347303544347</v>
      </c>
      <c r="U861" s="3">
        <v>2.21</v>
      </c>
      <c r="V861" s="5">
        <f t="shared" si="41"/>
        <v>5.1268539835042294E-2</v>
      </c>
      <c r="W861" s="3">
        <v>5.1268539835042294E-2</v>
      </c>
    </row>
    <row r="862" spans="1:23" x14ac:dyDescent="0.55000000000000004">
      <c r="A862" s="3">
        <v>13</v>
      </c>
      <c r="B862" s="3" t="s">
        <v>53</v>
      </c>
      <c r="C862" s="3" t="s">
        <v>50</v>
      </c>
      <c r="D862" s="3" t="s">
        <v>11</v>
      </c>
      <c r="E862" s="2" t="s">
        <v>14</v>
      </c>
      <c r="F862" s="3">
        <v>10</v>
      </c>
      <c r="G862" s="4">
        <v>22.2</v>
      </c>
      <c r="H862" s="4">
        <v>106.1</v>
      </c>
      <c r="I862" s="6">
        <v>8.8054069849141339</v>
      </c>
      <c r="J862" s="5">
        <v>3.7999999999999999E-2</v>
      </c>
      <c r="K862" s="4">
        <v>20</v>
      </c>
      <c r="L862" s="4">
        <v>80.8</v>
      </c>
      <c r="M862" s="6">
        <v>7.002474737065155</v>
      </c>
      <c r="N862" s="5">
        <v>3.5999999999999997E-2</v>
      </c>
      <c r="O862" s="5">
        <v>1.8029322478489789</v>
      </c>
      <c r="P862" s="5">
        <v>1.8029322478489789</v>
      </c>
      <c r="Q862" s="8">
        <v>0.20555555555555557</v>
      </c>
      <c r="R862" s="8">
        <v>0.86805555555555547</v>
      </c>
      <c r="S862" s="6">
        <f t="shared" si="39"/>
        <v>15.899999999999997</v>
      </c>
      <c r="T862" s="5">
        <f t="shared" si="40"/>
        <v>0.1133919652735207</v>
      </c>
      <c r="U862" s="3">
        <v>2.21</v>
      </c>
      <c r="V862" s="5">
        <f t="shared" si="41"/>
        <v>5.130858157172883E-2</v>
      </c>
      <c r="W862" s="3">
        <v>5.130858157172883E-2</v>
      </c>
    </row>
    <row r="863" spans="1:23" x14ac:dyDescent="0.55000000000000004">
      <c r="A863" s="3">
        <v>17</v>
      </c>
      <c r="B863" s="3" t="s">
        <v>52</v>
      </c>
      <c r="C863" s="3" t="s">
        <v>50</v>
      </c>
      <c r="D863" s="3" t="s">
        <v>12</v>
      </c>
      <c r="E863" s="3" t="s">
        <v>31</v>
      </c>
      <c r="F863" s="3">
        <v>68</v>
      </c>
      <c r="G863" s="4">
        <v>25.3</v>
      </c>
      <c r="H863" s="4">
        <v>64.900000000000006</v>
      </c>
      <c r="I863" s="6">
        <v>5.0788370474449946</v>
      </c>
      <c r="J863" s="5">
        <v>8.4000000000000005E-2</v>
      </c>
      <c r="K863" s="4">
        <v>23.8</v>
      </c>
      <c r="L863" s="4">
        <v>40.1</v>
      </c>
      <c r="M863" s="6">
        <v>3.2275373441502069</v>
      </c>
      <c r="N863" s="5">
        <v>8.2000000000000003E-2</v>
      </c>
      <c r="O863" s="5">
        <v>1.8512997032947878</v>
      </c>
      <c r="P863" s="5">
        <v>1.8512997032947878</v>
      </c>
      <c r="Q863" s="8">
        <v>0.20833333333333334</v>
      </c>
      <c r="R863" s="8">
        <v>0.88541666666666663</v>
      </c>
      <c r="S863" s="6">
        <f t="shared" si="39"/>
        <v>16.25</v>
      </c>
      <c r="T863" s="5">
        <f t="shared" si="40"/>
        <v>0.11392613558737155</v>
      </c>
      <c r="U863" s="3">
        <v>2.21</v>
      </c>
      <c r="V863" s="5">
        <f t="shared" si="41"/>
        <v>5.1550287596095729E-2</v>
      </c>
      <c r="W863" s="3">
        <v>5.1550287596095729E-2</v>
      </c>
    </row>
    <row r="864" spans="1:23" x14ac:dyDescent="0.55000000000000004">
      <c r="A864" s="3">
        <v>27</v>
      </c>
      <c r="B864" s="3" t="s">
        <v>48</v>
      </c>
      <c r="C864" s="3" t="s">
        <v>50</v>
      </c>
      <c r="D864" s="3" t="s">
        <v>10</v>
      </c>
      <c r="E864" s="2" t="s">
        <v>15</v>
      </c>
      <c r="F864" s="3">
        <v>12</v>
      </c>
      <c r="G864" s="4">
        <v>22.6</v>
      </c>
      <c r="H864" s="4">
        <v>112.8</v>
      </c>
      <c r="I864" s="6">
        <v>9.289405546622044</v>
      </c>
      <c r="J864" s="5">
        <v>4.2000000000000003E-2</v>
      </c>
      <c r="K864" s="4">
        <v>19.600000000000001</v>
      </c>
      <c r="L864" s="4">
        <v>85.6</v>
      </c>
      <c r="M864" s="6">
        <v>7.4782391200579275</v>
      </c>
      <c r="N864" s="5">
        <v>3.9E-2</v>
      </c>
      <c r="O864" s="5">
        <v>1.8111664265641165</v>
      </c>
      <c r="P864" s="5">
        <v>1.8111664265641165</v>
      </c>
      <c r="Q864" s="8">
        <v>0.21319444444444444</v>
      </c>
      <c r="R864" s="8">
        <v>0.875</v>
      </c>
      <c r="S864" s="6">
        <f t="shared" si="39"/>
        <v>15.883333333333333</v>
      </c>
      <c r="T864" s="5">
        <f t="shared" si="40"/>
        <v>0.11402936578577859</v>
      </c>
      <c r="U864" s="3">
        <v>2.21</v>
      </c>
      <c r="V864" s="5">
        <f t="shared" si="41"/>
        <v>5.1596998093112481E-2</v>
      </c>
      <c r="W864" s="3">
        <v>5.1596998093112481E-2</v>
      </c>
    </row>
    <row r="865" spans="1:23" x14ac:dyDescent="0.55000000000000004">
      <c r="A865" s="3">
        <v>4</v>
      </c>
      <c r="B865" s="3" t="s">
        <v>48</v>
      </c>
      <c r="C865" s="3" t="s">
        <v>49</v>
      </c>
      <c r="D865" s="3" t="s">
        <v>38</v>
      </c>
      <c r="E865" s="3" t="s">
        <v>31</v>
      </c>
      <c r="F865" s="3">
        <v>68</v>
      </c>
      <c r="G865" s="4">
        <v>25.1</v>
      </c>
      <c r="H865" s="4">
        <v>67.900000000000006</v>
      </c>
      <c r="I865" s="6">
        <v>5.3333789119102573</v>
      </c>
      <c r="J865" s="5">
        <v>7.9000000000000001E-2</v>
      </c>
      <c r="K865" s="4">
        <v>23.9</v>
      </c>
      <c r="L865" s="4">
        <v>43.3</v>
      </c>
      <c r="M865" s="6">
        <v>3.4785082978021196</v>
      </c>
      <c r="N865" s="5">
        <v>7.8E-2</v>
      </c>
      <c r="O865" s="5">
        <v>1.8548706141081377</v>
      </c>
      <c r="P865" s="5">
        <v>1.8548706141081377</v>
      </c>
      <c r="Q865" s="8">
        <v>0.20833333333333334</v>
      </c>
      <c r="R865" s="8">
        <v>0.88541666666666663</v>
      </c>
      <c r="S865" s="6">
        <f t="shared" si="39"/>
        <v>16.25</v>
      </c>
      <c r="T865" s="5">
        <f t="shared" si="40"/>
        <v>0.11414588394511617</v>
      </c>
      <c r="U865" s="3">
        <v>2.21</v>
      </c>
      <c r="V865" s="5">
        <f t="shared" si="41"/>
        <v>5.1649721242134017E-2</v>
      </c>
      <c r="W865" s="3">
        <v>5.1649721242134017E-2</v>
      </c>
    </row>
    <row r="866" spans="1:23" x14ac:dyDescent="0.55000000000000004">
      <c r="A866" s="3">
        <v>23</v>
      </c>
      <c r="B866" s="3" t="s">
        <v>52</v>
      </c>
      <c r="C866" s="3" t="s">
        <v>49</v>
      </c>
      <c r="D866" s="3" t="s">
        <v>40</v>
      </c>
      <c r="E866" s="3" t="s">
        <v>31</v>
      </c>
      <c r="F866" s="3">
        <v>68</v>
      </c>
      <c r="G866" s="4">
        <v>25.4</v>
      </c>
      <c r="H866" s="4">
        <v>72.5</v>
      </c>
      <c r="I866" s="6">
        <v>5.6630800479295909</v>
      </c>
      <c r="J866" s="5">
        <v>7.1999999999999995E-2</v>
      </c>
      <c r="K866" s="4">
        <v>23.7</v>
      </c>
      <c r="L866" s="4">
        <v>47.2</v>
      </c>
      <c r="M866" s="6">
        <v>3.8062017955095495</v>
      </c>
      <c r="N866" s="5">
        <v>6.9000000000000006E-2</v>
      </c>
      <c r="O866" s="5">
        <v>1.8568782524200413</v>
      </c>
      <c r="P866" s="5">
        <v>1.8568782524200413</v>
      </c>
      <c r="Q866" s="8">
        <v>0.20833333333333334</v>
      </c>
      <c r="R866" s="8">
        <v>0.88541666666666663</v>
      </c>
      <c r="S866" s="6">
        <f t="shared" si="39"/>
        <v>16.25</v>
      </c>
      <c r="T866" s="5">
        <f t="shared" si="40"/>
        <v>0.11426943091815639</v>
      </c>
      <c r="U866" s="3">
        <v>2.21</v>
      </c>
      <c r="V866" s="5">
        <f t="shared" si="41"/>
        <v>5.170562484984452E-2</v>
      </c>
      <c r="W866" s="3">
        <v>5.170562484984452E-2</v>
      </c>
    </row>
    <row r="867" spans="1:23" x14ac:dyDescent="0.55000000000000004">
      <c r="A867" s="3">
        <v>1</v>
      </c>
      <c r="B867" s="3" t="s">
        <v>51</v>
      </c>
      <c r="C867" s="3" t="s">
        <v>49</v>
      </c>
      <c r="D867" s="3" t="s">
        <v>39</v>
      </c>
      <c r="E867" s="2" t="s">
        <v>21</v>
      </c>
      <c r="F867" s="3">
        <v>33</v>
      </c>
      <c r="G867" s="4">
        <v>30.8</v>
      </c>
      <c r="H867" s="4">
        <v>83.6</v>
      </c>
      <c r="I867" s="6">
        <v>5.9293311465717657</v>
      </c>
      <c r="J867" s="5">
        <v>4.7E-2</v>
      </c>
      <c r="K867" s="4">
        <v>26.6</v>
      </c>
      <c r="L867" s="4">
        <v>53.4</v>
      </c>
      <c r="M867" s="6">
        <v>4.0802051483369404</v>
      </c>
      <c r="N867" s="5">
        <v>4.3999999999999997E-2</v>
      </c>
      <c r="O867" s="5">
        <v>1.8491259982348254</v>
      </c>
      <c r="P867" s="5">
        <v>1.8491259982348254</v>
      </c>
      <c r="Q867" s="8">
        <v>0.20833333333333334</v>
      </c>
      <c r="R867" s="8">
        <v>0.88194444444444453</v>
      </c>
      <c r="S867" s="6">
        <f t="shared" si="39"/>
        <v>16.166666666666668</v>
      </c>
      <c r="T867" s="5">
        <f t="shared" si="40"/>
        <v>0.11437892772586548</v>
      </c>
      <c r="U867" s="3">
        <v>2.21</v>
      </c>
      <c r="V867" s="5">
        <f t="shared" si="41"/>
        <v>5.1755170916681213E-2</v>
      </c>
      <c r="W867" s="3">
        <v>5.1755170916681213E-2</v>
      </c>
    </row>
    <row r="868" spans="1:23" x14ac:dyDescent="0.55000000000000004">
      <c r="A868" s="3">
        <v>32</v>
      </c>
      <c r="B868" s="3" t="s">
        <v>53</v>
      </c>
      <c r="C868" s="3" t="s">
        <v>50</v>
      </c>
      <c r="D868" s="3" t="s">
        <v>11</v>
      </c>
      <c r="E868" s="2" t="s">
        <v>24</v>
      </c>
      <c r="F868" s="3">
        <v>44</v>
      </c>
      <c r="G868" s="4">
        <v>25.9</v>
      </c>
      <c r="H868" s="4">
        <v>90.4</v>
      </c>
      <c r="I868" s="6">
        <v>6.9964073252867705</v>
      </c>
      <c r="J868" s="5">
        <v>0.06</v>
      </c>
      <c r="K868" s="4">
        <v>21.3</v>
      </c>
      <c r="L868" s="4">
        <v>60</v>
      </c>
      <c r="M868" s="6">
        <v>5.0676390231368051</v>
      </c>
      <c r="N868" s="5">
        <v>5.6000000000000001E-2</v>
      </c>
      <c r="O868" s="5">
        <v>1.9287683021499653</v>
      </c>
      <c r="P868" s="5">
        <v>1.9287683021499653</v>
      </c>
      <c r="Q868" s="8">
        <v>0.20277777777777781</v>
      </c>
      <c r="R868" s="8">
        <v>0.90277777777777779</v>
      </c>
      <c r="S868" s="6">
        <f t="shared" si="39"/>
        <v>16.799999999999997</v>
      </c>
      <c r="T868" s="5">
        <f t="shared" si="40"/>
        <v>0.11480763703273605</v>
      </c>
      <c r="U868" s="3">
        <v>2.21</v>
      </c>
      <c r="V868" s="5">
        <f t="shared" si="41"/>
        <v>5.1949157028387358E-2</v>
      </c>
      <c r="W868" s="3">
        <v>5.1949157028387358E-2</v>
      </c>
    </row>
    <row r="869" spans="1:23" x14ac:dyDescent="0.55000000000000004">
      <c r="A869" s="3">
        <v>2</v>
      </c>
      <c r="B869" s="3" t="s">
        <v>48</v>
      </c>
      <c r="C869" s="3" t="s">
        <v>49</v>
      </c>
      <c r="D869" s="3" t="s">
        <v>38</v>
      </c>
      <c r="E869" s="3" t="s">
        <v>27</v>
      </c>
      <c r="F869" s="3">
        <v>54</v>
      </c>
      <c r="G869" s="4">
        <v>27.6</v>
      </c>
      <c r="H869" s="4">
        <v>83</v>
      </c>
      <c r="I869" s="6">
        <v>6.2281251181610973</v>
      </c>
      <c r="J869" s="5">
        <v>6.0999999999999999E-2</v>
      </c>
      <c r="K869" s="4">
        <v>24.4</v>
      </c>
      <c r="L869" s="4">
        <v>54.4</v>
      </c>
      <c r="M869" s="6">
        <v>4.3292475805875741</v>
      </c>
      <c r="N869" s="5">
        <v>6.2E-2</v>
      </c>
      <c r="O869" s="5">
        <v>1.8988775375735232</v>
      </c>
      <c r="P869" s="5">
        <v>1.8988775375735232</v>
      </c>
      <c r="Q869" s="8">
        <v>0.20833333333333334</v>
      </c>
      <c r="R869" s="8">
        <v>0.89583333333333337</v>
      </c>
      <c r="S869" s="6">
        <f t="shared" si="39"/>
        <v>16.5</v>
      </c>
      <c r="T869" s="5">
        <f t="shared" si="40"/>
        <v>0.11508348712566807</v>
      </c>
      <c r="U869" s="3">
        <v>2.21</v>
      </c>
      <c r="V869" s="5">
        <f t="shared" si="41"/>
        <v>5.2073976074962933E-2</v>
      </c>
      <c r="W869" s="3">
        <v>5.2073976074962933E-2</v>
      </c>
    </row>
    <row r="870" spans="1:23" x14ac:dyDescent="0.55000000000000004">
      <c r="A870" s="3">
        <v>26</v>
      </c>
      <c r="B870" s="3" t="s">
        <v>52</v>
      </c>
      <c r="C870" s="3" t="s">
        <v>50</v>
      </c>
      <c r="D870" s="3" t="s">
        <v>12</v>
      </c>
      <c r="E870" s="2" t="s">
        <v>15</v>
      </c>
      <c r="F870" s="3">
        <v>12</v>
      </c>
      <c r="G870" s="4">
        <v>22.4</v>
      </c>
      <c r="H870" s="4">
        <v>118.3</v>
      </c>
      <c r="I870" s="6">
        <v>9.7799982598426354</v>
      </c>
      <c r="J870" s="5">
        <v>4.1000000000000002E-2</v>
      </c>
      <c r="K870" s="4">
        <v>19.5</v>
      </c>
      <c r="L870" s="4">
        <v>90.8</v>
      </c>
      <c r="M870" s="6">
        <v>7.9485159135888042</v>
      </c>
      <c r="N870" s="5">
        <v>3.6999999999999998E-2</v>
      </c>
      <c r="O870" s="5">
        <v>1.8314823462538312</v>
      </c>
      <c r="P870" s="5">
        <v>1.8314823462538312</v>
      </c>
      <c r="Q870" s="8">
        <v>0.21319444444444444</v>
      </c>
      <c r="R870" s="8">
        <v>0.875</v>
      </c>
      <c r="S870" s="6">
        <f t="shared" si="39"/>
        <v>15.883333333333333</v>
      </c>
      <c r="T870" s="5">
        <f t="shared" si="40"/>
        <v>0.11530843732972705</v>
      </c>
      <c r="U870" s="3">
        <v>2.21</v>
      </c>
      <c r="V870" s="5">
        <f t="shared" si="41"/>
        <v>5.2175763497614047E-2</v>
      </c>
      <c r="W870" s="3">
        <v>5.2175763497614047E-2</v>
      </c>
    </row>
    <row r="871" spans="1:23" x14ac:dyDescent="0.55000000000000004">
      <c r="A871" s="3">
        <v>49</v>
      </c>
      <c r="B871" s="3" t="s">
        <v>51</v>
      </c>
      <c r="C871" s="3" t="s">
        <v>49</v>
      </c>
      <c r="D871" s="3" t="s">
        <v>39</v>
      </c>
      <c r="E871" s="2" t="s">
        <v>25</v>
      </c>
      <c r="F871" s="3">
        <v>47</v>
      </c>
      <c r="G871" s="4">
        <v>29.1</v>
      </c>
      <c r="H871" s="4">
        <v>102.4</v>
      </c>
      <c r="I871" s="6">
        <v>7.4813319979026991</v>
      </c>
      <c r="J871" s="5">
        <v>6.0999999999999999E-2</v>
      </c>
      <c r="K871" s="4">
        <v>25.7</v>
      </c>
      <c r="L871" s="4">
        <v>71.8</v>
      </c>
      <c r="M871" s="6">
        <v>5.5773904342792555</v>
      </c>
      <c r="N871" s="5">
        <v>5.7000000000000002E-2</v>
      </c>
      <c r="O871" s="5">
        <v>1.9039415636234436</v>
      </c>
      <c r="P871" s="5">
        <v>1.9039415636234436</v>
      </c>
      <c r="Q871" s="8">
        <v>0.20833333333333334</v>
      </c>
      <c r="R871" s="8">
        <v>0.89583333333333337</v>
      </c>
      <c r="S871" s="6">
        <f t="shared" si="39"/>
        <v>16.5</v>
      </c>
      <c r="T871" s="5">
        <f t="shared" si="40"/>
        <v>0.11539039779536021</v>
      </c>
      <c r="U871" s="3">
        <v>2.21</v>
      </c>
      <c r="V871" s="5">
        <f t="shared" si="41"/>
        <v>5.2212849681158469E-2</v>
      </c>
      <c r="W871" s="3">
        <v>5.2212849681158469E-2</v>
      </c>
    </row>
    <row r="872" spans="1:23" x14ac:dyDescent="0.55000000000000004">
      <c r="A872" s="3">
        <v>5</v>
      </c>
      <c r="B872" s="3" t="s">
        <v>48</v>
      </c>
      <c r="C872" s="3" t="s">
        <v>49</v>
      </c>
      <c r="D872" s="3" t="s">
        <v>38</v>
      </c>
      <c r="E872" s="3" t="s">
        <v>29</v>
      </c>
      <c r="F872" s="3">
        <v>61</v>
      </c>
      <c r="G872" s="4">
        <v>27.9</v>
      </c>
      <c r="H872" s="4">
        <v>76.7</v>
      </c>
      <c r="I872" s="6">
        <v>5.724484040036617</v>
      </c>
      <c r="J872" s="5">
        <v>8.6999999999999994E-2</v>
      </c>
      <c r="K872" s="4">
        <v>24.4</v>
      </c>
      <c r="L872" s="4">
        <v>48</v>
      </c>
      <c r="M872" s="6">
        <v>3.8199243358125647</v>
      </c>
      <c r="N872" s="5">
        <v>8.1000000000000003E-2</v>
      </c>
      <c r="O872" s="5">
        <v>1.9045597042240523</v>
      </c>
      <c r="P872" s="5">
        <v>1.9045597042240523</v>
      </c>
      <c r="Q872" s="8">
        <v>0.19791666666666666</v>
      </c>
      <c r="R872" s="8">
        <v>0.88541666666666663</v>
      </c>
      <c r="S872" s="6">
        <f t="shared" si="39"/>
        <v>16.5</v>
      </c>
      <c r="T872" s="5">
        <f t="shared" si="40"/>
        <v>0.11542786086206377</v>
      </c>
      <c r="U872" s="3">
        <v>2.21</v>
      </c>
      <c r="V872" s="5">
        <f t="shared" si="41"/>
        <v>5.2229801295051483E-2</v>
      </c>
      <c r="W872" s="3">
        <v>5.2229801295051483E-2</v>
      </c>
    </row>
    <row r="873" spans="1:23" x14ac:dyDescent="0.55000000000000004">
      <c r="A873" s="3">
        <v>49</v>
      </c>
      <c r="B873" s="3" t="s">
        <v>51</v>
      </c>
      <c r="C873" s="3" t="s">
        <v>49</v>
      </c>
      <c r="D873" s="3" t="s">
        <v>39</v>
      </c>
      <c r="E873" s="3" t="s">
        <v>27</v>
      </c>
      <c r="F873" s="3">
        <v>54</v>
      </c>
      <c r="G873" s="4">
        <v>28.6</v>
      </c>
      <c r="H873" s="4">
        <v>103.1</v>
      </c>
      <c r="I873" s="6">
        <v>7.5993996989144224</v>
      </c>
      <c r="J873" s="5">
        <v>5.5E-2</v>
      </c>
      <c r="K873" s="4">
        <v>25.2</v>
      </c>
      <c r="L873" s="4">
        <v>72.599999999999994</v>
      </c>
      <c r="M873" s="6">
        <v>5.6919646220194924</v>
      </c>
      <c r="N873" s="5">
        <v>5.5E-2</v>
      </c>
      <c r="O873" s="5">
        <v>1.90743507689493</v>
      </c>
      <c r="P873" s="5">
        <v>1.90743507689493</v>
      </c>
      <c r="Q873" s="8">
        <v>0.20833333333333334</v>
      </c>
      <c r="R873" s="8">
        <v>0.89583333333333337</v>
      </c>
      <c r="S873" s="6">
        <f t="shared" si="39"/>
        <v>16.5</v>
      </c>
      <c r="T873" s="5">
        <f t="shared" si="40"/>
        <v>0.11560212587242</v>
      </c>
      <c r="U873" s="3">
        <v>2.21</v>
      </c>
      <c r="V873" s="5">
        <f t="shared" si="41"/>
        <v>5.2308654240914021E-2</v>
      </c>
      <c r="W873" s="3">
        <v>5.2308654240914021E-2</v>
      </c>
    </row>
    <row r="874" spans="1:23" x14ac:dyDescent="0.55000000000000004">
      <c r="A874" s="3">
        <v>14</v>
      </c>
      <c r="B874" s="3" t="s">
        <v>48</v>
      </c>
      <c r="C874" s="3" t="s">
        <v>50</v>
      </c>
      <c r="D874" s="3" t="s">
        <v>10</v>
      </c>
      <c r="E874" s="3" t="s">
        <v>27</v>
      </c>
      <c r="F874" s="3">
        <v>54</v>
      </c>
      <c r="G874" s="4">
        <v>27.8</v>
      </c>
      <c r="H874" s="4">
        <v>101.8</v>
      </c>
      <c r="I874" s="6">
        <v>7.6114457480190563</v>
      </c>
      <c r="J874" s="5">
        <v>5.8999999999999997E-2</v>
      </c>
      <c r="K874" s="4">
        <v>24.5</v>
      </c>
      <c r="L874" s="4">
        <v>71.8</v>
      </c>
      <c r="M874" s="6">
        <v>5.7032584131418034</v>
      </c>
      <c r="N874" s="5">
        <v>5.6000000000000001E-2</v>
      </c>
      <c r="O874" s="5">
        <v>1.9081873348772529</v>
      </c>
      <c r="P874" s="5">
        <v>1.9081873348772529</v>
      </c>
      <c r="Q874" s="8">
        <v>0.20833333333333334</v>
      </c>
      <c r="R874" s="8">
        <v>0.89583333333333337</v>
      </c>
      <c r="S874" s="6">
        <f t="shared" si="39"/>
        <v>16.5</v>
      </c>
      <c r="T874" s="5">
        <f t="shared" si="40"/>
        <v>0.11564771726528805</v>
      </c>
      <c r="U874" s="3">
        <v>2.21</v>
      </c>
      <c r="V874" s="5">
        <f t="shared" si="41"/>
        <v>5.232928383044709E-2</v>
      </c>
      <c r="W874" s="3">
        <v>5.232928383044709E-2</v>
      </c>
    </row>
    <row r="875" spans="1:23" x14ac:dyDescent="0.55000000000000004">
      <c r="A875" s="3">
        <v>15</v>
      </c>
      <c r="B875" s="3" t="s">
        <v>48</v>
      </c>
      <c r="C875" s="3" t="s">
        <v>49</v>
      </c>
      <c r="D875" s="3" t="s">
        <v>38</v>
      </c>
      <c r="E875" s="3" t="s">
        <v>32</v>
      </c>
      <c r="F875" s="3">
        <v>72</v>
      </c>
      <c r="G875" s="4">
        <v>28.8</v>
      </c>
      <c r="H875" s="4">
        <v>81.599999999999994</v>
      </c>
      <c r="I875" s="6">
        <v>5.9933707346904654</v>
      </c>
      <c r="J875" s="5">
        <v>7.8E-2</v>
      </c>
      <c r="K875" s="4">
        <v>24.1</v>
      </c>
      <c r="L875" s="4">
        <v>51.4</v>
      </c>
      <c r="M875" s="6">
        <v>4.1136581250644033</v>
      </c>
      <c r="N875" s="5">
        <v>7.1999999999999995E-2</v>
      </c>
      <c r="O875" s="5">
        <v>1.8797126096260621</v>
      </c>
      <c r="P875" s="5">
        <v>1.8797126096260621</v>
      </c>
      <c r="Q875" s="8">
        <v>0.20833333333333334</v>
      </c>
      <c r="R875" s="8">
        <v>0.88541666666666663</v>
      </c>
      <c r="S875" s="6">
        <f t="shared" si="39"/>
        <v>16.25</v>
      </c>
      <c r="T875" s="5">
        <f t="shared" si="40"/>
        <v>0.1156746221308346</v>
      </c>
      <c r="U875" s="3">
        <v>2.21</v>
      </c>
      <c r="V875" s="5">
        <f t="shared" si="41"/>
        <v>5.2341457977753213E-2</v>
      </c>
      <c r="W875" s="3">
        <v>5.2341457977753213E-2</v>
      </c>
    </row>
    <row r="876" spans="1:23" x14ac:dyDescent="0.55000000000000004">
      <c r="A876" s="3">
        <v>46</v>
      </c>
      <c r="B876" s="3" t="s">
        <v>51</v>
      </c>
      <c r="C876" s="3" t="s">
        <v>49</v>
      </c>
      <c r="D876" s="3" t="s">
        <v>39</v>
      </c>
      <c r="E876" s="3" t="s">
        <v>28</v>
      </c>
      <c r="F876" s="3">
        <v>58</v>
      </c>
      <c r="G876" s="4">
        <v>28.4</v>
      </c>
      <c r="H876" s="4">
        <v>109.5</v>
      </c>
      <c r="I876" s="6">
        <v>8.0998761081251196</v>
      </c>
      <c r="J876" s="5">
        <v>6.0999999999999999E-2</v>
      </c>
      <c r="K876" s="4">
        <v>23.9</v>
      </c>
      <c r="L876" s="4">
        <v>77.3</v>
      </c>
      <c r="M876" s="6">
        <v>6.2099004946906184</v>
      </c>
      <c r="N876" s="5">
        <v>5.2999999999999999E-2</v>
      </c>
      <c r="O876" s="5">
        <v>1.8899756134345012</v>
      </c>
      <c r="P876" s="5">
        <v>1.8899756134345012</v>
      </c>
      <c r="Q876" s="8">
        <v>0.20833333333333334</v>
      </c>
      <c r="R876" s="8">
        <v>0.88888888888888884</v>
      </c>
      <c r="S876" s="6">
        <f t="shared" si="39"/>
        <v>16.333333333333332</v>
      </c>
      <c r="T876" s="5">
        <f t="shared" si="40"/>
        <v>0.11571279265925519</v>
      </c>
      <c r="U876" s="3">
        <v>2.21</v>
      </c>
      <c r="V876" s="5">
        <f t="shared" si="41"/>
        <v>5.2358729710070218E-2</v>
      </c>
      <c r="W876" s="3">
        <v>5.2358729710070218E-2</v>
      </c>
    </row>
    <row r="877" spans="1:23" x14ac:dyDescent="0.55000000000000004">
      <c r="A877" s="3">
        <v>43</v>
      </c>
      <c r="B877" s="3" t="s">
        <v>51</v>
      </c>
      <c r="C877" s="3" t="s">
        <v>50</v>
      </c>
      <c r="D877" s="3" t="s">
        <v>9</v>
      </c>
      <c r="E877" s="3" t="s">
        <v>35</v>
      </c>
      <c r="F877" s="3">
        <v>82</v>
      </c>
      <c r="G877" s="4">
        <v>32.200000000000003</v>
      </c>
      <c r="H877" s="4">
        <v>66.3</v>
      </c>
      <c r="I877" s="6">
        <v>4.5910327373737116</v>
      </c>
      <c r="J877" s="5">
        <v>4.7E-2</v>
      </c>
      <c r="K877" s="4">
        <v>28</v>
      </c>
      <c r="L877" s="4">
        <v>36.299999999999997</v>
      </c>
      <c r="M877" s="6">
        <v>2.7043956988412008</v>
      </c>
      <c r="N877" s="5">
        <v>4.7E-2</v>
      </c>
      <c r="O877" s="5">
        <v>1.8866370385325109</v>
      </c>
      <c r="P877" s="5">
        <v>1.8866370385325109</v>
      </c>
      <c r="Q877" s="8">
        <v>0.20833333333333334</v>
      </c>
      <c r="R877" s="8">
        <v>0.88541666666666663</v>
      </c>
      <c r="S877" s="6">
        <f t="shared" si="39"/>
        <v>16.25</v>
      </c>
      <c r="T877" s="5">
        <f t="shared" si="40"/>
        <v>0.1161007408327699</v>
      </c>
      <c r="U877" s="3">
        <v>2.21</v>
      </c>
      <c r="V877" s="5">
        <f t="shared" si="41"/>
        <v>5.2534271870031631E-2</v>
      </c>
      <c r="W877" s="3">
        <v>5.2534271870031631E-2</v>
      </c>
    </row>
    <row r="878" spans="1:23" x14ac:dyDescent="0.55000000000000004">
      <c r="A878" s="3">
        <v>3</v>
      </c>
      <c r="B878" s="3" t="s">
        <v>51</v>
      </c>
      <c r="C878" s="3" t="s">
        <v>50</v>
      </c>
      <c r="D878" s="3" t="s">
        <v>9</v>
      </c>
      <c r="E878" s="2" t="s">
        <v>13</v>
      </c>
      <c r="F878" s="3">
        <v>8</v>
      </c>
      <c r="G878" s="4">
        <v>21.6</v>
      </c>
      <c r="H878" s="4">
        <v>116.9</v>
      </c>
      <c r="I878" s="6">
        <v>9.8156204249969239</v>
      </c>
      <c r="J878" s="5">
        <v>4.2000000000000003E-2</v>
      </c>
      <c r="K878" s="4">
        <v>19</v>
      </c>
      <c r="L878" s="4">
        <v>90.3</v>
      </c>
      <c r="M878" s="6">
        <v>7.9851089984907162</v>
      </c>
      <c r="N878" s="5">
        <v>0.04</v>
      </c>
      <c r="O878" s="5">
        <v>1.8305114265062077</v>
      </c>
      <c r="P878" s="5">
        <v>1.8305114265062077</v>
      </c>
      <c r="Q878" s="8">
        <v>0.20833333333333334</v>
      </c>
      <c r="R878" s="8">
        <v>0.86319444444444438</v>
      </c>
      <c r="S878" s="6">
        <f t="shared" si="39"/>
        <v>15.716666666666665</v>
      </c>
      <c r="T878" s="5">
        <f t="shared" si="40"/>
        <v>0.11646944389222956</v>
      </c>
      <c r="U878" s="3">
        <v>2.21</v>
      </c>
      <c r="V878" s="5">
        <f t="shared" si="41"/>
        <v>5.2701105833588037E-2</v>
      </c>
      <c r="W878" s="3">
        <v>5.2701105833588037E-2</v>
      </c>
    </row>
    <row r="879" spans="1:23" x14ac:dyDescent="0.55000000000000004">
      <c r="A879" s="3">
        <v>54</v>
      </c>
      <c r="B879" s="3" t="s">
        <v>48</v>
      </c>
      <c r="C879" s="3" t="s">
        <v>50</v>
      </c>
      <c r="D879" s="3" t="s">
        <v>10</v>
      </c>
      <c r="E879" s="3" t="s">
        <v>27</v>
      </c>
      <c r="F879" s="3">
        <v>54</v>
      </c>
      <c r="G879" s="4">
        <v>28.1</v>
      </c>
      <c r="H879" s="4">
        <v>86.5</v>
      </c>
      <c r="I879" s="6">
        <v>6.4328490772838736</v>
      </c>
      <c r="J879" s="5">
        <v>5.2999999999999999E-2</v>
      </c>
      <c r="K879" s="4">
        <v>24.7</v>
      </c>
      <c r="L879" s="4">
        <v>57</v>
      </c>
      <c r="M879" s="6">
        <v>4.5107318038075412</v>
      </c>
      <c r="N879" s="5">
        <v>0.05</v>
      </c>
      <c r="O879" s="5">
        <v>1.9221172734763323</v>
      </c>
      <c r="P879" s="5">
        <v>1.9221172734763323</v>
      </c>
      <c r="Q879" s="8">
        <v>0.20833333333333334</v>
      </c>
      <c r="R879" s="8">
        <v>0.89583333333333337</v>
      </c>
      <c r="S879" s="6">
        <f t="shared" si="39"/>
        <v>16.5</v>
      </c>
      <c r="T879" s="5">
        <f t="shared" si="40"/>
        <v>0.11649195596826256</v>
      </c>
      <c r="U879" s="3">
        <v>2.21</v>
      </c>
      <c r="V879" s="5">
        <f t="shared" si="41"/>
        <v>5.2711292293331477E-2</v>
      </c>
      <c r="W879" s="3">
        <v>5.2711292293331477E-2</v>
      </c>
    </row>
    <row r="880" spans="1:23" x14ac:dyDescent="0.55000000000000004">
      <c r="A880" s="3">
        <v>9</v>
      </c>
      <c r="B880" s="3" t="s">
        <v>48</v>
      </c>
      <c r="C880" s="3" t="s">
        <v>50</v>
      </c>
      <c r="D880" s="3" t="s">
        <v>10</v>
      </c>
      <c r="E880" s="3" t="s">
        <v>34</v>
      </c>
      <c r="F880" s="3">
        <v>79</v>
      </c>
      <c r="G880" s="4">
        <v>29.6</v>
      </c>
      <c r="H880" s="4">
        <v>99</v>
      </c>
      <c r="I880" s="6">
        <v>7.1696364919571396</v>
      </c>
      <c r="J880" s="5">
        <v>7.8E-2</v>
      </c>
      <c r="K880" s="4">
        <v>26</v>
      </c>
      <c r="L880" s="4">
        <v>68.3</v>
      </c>
      <c r="M880" s="6">
        <v>5.2762942711540894</v>
      </c>
      <c r="N880" s="5">
        <v>6.8000000000000005E-2</v>
      </c>
      <c r="O880" s="5">
        <v>1.8933422208030501</v>
      </c>
      <c r="P880" s="5">
        <v>1.8933422208030501</v>
      </c>
      <c r="Q880" s="8">
        <v>0.20833333333333334</v>
      </c>
      <c r="R880" s="8">
        <v>0.88541666666666663</v>
      </c>
      <c r="S880" s="6">
        <f t="shared" si="39"/>
        <v>16.25</v>
      </c>
      <c r="T880" s="5">
        <f t="shared" si="40"/>
        <v>0.11651336743403386</v>
      </c>
      <c r="U880" s="3">
        <v>2.21</v>
      </c>
      <c r="V880" s="5">
        <f t="shared" si="41"/>
        <v>5.2720980739381834E-2</v>
      </c>
      <c r="W880" s="3">
        <v>5.2720980739381834E-2</v>
      </c>
    </row>
    <row r="881" spans="1:23" x14ac:dyDescent="0.55000000000000004">
      <c r="A881" s="3">
        <v>32</v>
      </c>
      <c r="B881" s="3" t="s">
        <v>53</v>
      </c>
      <c r="C881" s="3" t="s">
        <v>50</v>
      </c>
      <c r="D881" s="3" t="s">
        <v>11</v>
      </c>
      <c r="E881" s="2" t="s">
        <v>21</v>
      </c>
      <c r="F881" s="3">
        <v>33</v>
      </c>
      <c r="G881" s="4">
        <v>30</v>
      </c>
      <c r="H881" s="4">
        <v>81.900000000000006</v>
      </c>
      <c r="I881" s="6">
        <v>5.889924276759209</v>
      </c>
      <c r="J881" s="5">
        <v>7.0999999999999994E-2</v>
      </c>
      <c r="K881" s="4">
        <v>26.6</v>
      </c>
      <c r="L881" s="4">
        <v>52.4</v>
      </c>
      <c r="M881" s="6">
        <v>4.0037968122257617</v>
      </c>
      <c r="N881" s="5">
        <v>6.5000000000000002E-2</v>
      </c>
      <c r="O881" s="5">
        <v>1.8861274645334474</v>
      </c>
      <c r="P881" s="5">
        <v>1.8861274645334474</v>
      </c>
      <c r="Q881" s="8">
        <v>0.20833333333333334</v>
      </c>
      <c r="R881" s="8">
        <v>0.88194444444444453</v>
      </c>
      <c r="S881" s="6">
        <f t="shared" si="39"/>
        <v>16.166666666666668</v>
      </c>
      <c r="T881" s="5">
        <f t="shared" si="40"/>
        <v>0.11666767821856375</v>
      </c>
      <c r="U881" s="3">
        <v>2.21</v>
      </c>
      <c r="V881" s="5">
        <f t="shared" si="41"/>
        <v>5.27908046237845E-2</v>
      </c>
      <c r="W881" s="3">
        <v>5.27908046237845E-2</v>
      </c>
    </row>
    <row r="882" spans="1:23" x14ac:dyDescent="0.55000000000000004">
      <c r="A882" s="3">
        <v>16</v>
      </c>
      <c r="B882" s="3" t="s">
        <v>52</v>
      </c>
      <c r="C882" s="3" t="s">
        <v>50</v>
      </c>
      <c r="D882" s="3" t="s">
        <v>12</v>
      </c>
      <c r="E882" s="3" t="s">
        <v>27</v>
      </c>
      <c r="F882" s="3">
        <v>54</v>
      </c>
      <c r="G882" s="4">
        <v>27.3</v>
      </c>
      <c r="H882" s="4">
        <v>78.8</v>
      </c>
      <c r="I882" s="6">
        <v>5.9450151346773099</v>
      </c>
      <c r="J882" s="5">
        <v>6.8000000000000005E-2</v>
      </c>
      <c r="K882" s="4">
        <v>24.1</v>
      </c>
      <c r="L882" s="4">
        <v>50.2</v>
      </c>
      <c r="M882" s="6">
        <v>4.0176194139734056</v>
      </c>
      <c r="N882" s="5">
        <v>6.6000000000000003E-2</v>
      </c>
      <c r="O882" s="5">
        <v>1.9273957207039043</v>
      </c>
      <c r="P882" s="5">
        <v>1.9273957207039043</v>
      </c>
      <c r="Q882" s="8">
        <v>0.20833333333333334</v>
      </c>
      <c r="R882" s="8">
        <v>0.89583333333333337</v>
      </c>
      <c r="S882" s="6">
        <f t="shared" si="39"/>
        <v>16.5</v>
      </c>
      <c r="T882" s="5">
        <f t="shared" si="40"/>
        <v>0.11681186186084269</v>
      </c>
      <c r="U882" s="3">
        <v>2.21</v>
      </c>
      <c r="V882" s="5">
        <f t="shared" si="41"/>
        <v>5.2856046090879044E-2</v>
      </c>
      <c r="W882" s="3">
        <v>5.2856046090879044E-2</v>
      </c>
    </row>
    <row r="883" spans="1:23" x14ac:dyDescent="0.55000000000000004">
      <c r="A883" s="3">
        <v>15</v>
      </c>
      <c r="B883" s="3" t="s">
        <v>48</v>
      </c>
      <c r="C883" s="3" t="s">
        <v>49</v>
      </c>
      <c r="D883" s="3" t="s">
        <v>38</v>
      </c>
      <c r="E883" s="2" t="s">
        <v>25</v>
      </c>
      <c r="F883" s="3">
        <v>47</v>
      </c>
      <c r="G883" s="4">
        <v>28.4</v>
      </c>
      <c r="H883" s="4">
        <v>70.3</v>
      </c>
      <c r="I883" s="6">
        <v>5.2001944328876348</v>
      </c>
      <c r="J883" s="5">
        <v>7.2999999999999995E-2</v>
      </c>
      <c r="K883" s="4">
        <v>24.9</v>
      </c>
      <c r="L883" s="4">
        <v>41.5</v>
      </c>
      <c r="M883" s="6">
        <v>3.2718868455019678</v>
      </c>
      <c r="N883" s="5">
        <v>6.9000000000000006E-2</v>
      </c>
      <c r="O883" s="5">
        <v>1.928307587385667</v>
      </c>
      <c r="P883" s="5">
        <v>1.928307587385667</v>
      </c>
      <c r="Q883" s="8">
        <v>0.20833333333333334</v>
      </c>
      <c r="R883" s="8">
        <v>0.89583333333333337</v>
      </c>
      <c r="S883" s="6">
        <f t="shared" si="39"/>
        <v>16.5</v>
      </c>
      <c r="T883" s="5">
        <f t="shared" si="40"/>
        <v>0.11686712650822224</v>
      </c>
      <c r="U883" s="3">
        <v>2.21</v>
      </c>
      <c r="V883" s="5">
        <f t="shared" si="41"/>
        <v>5.2881052718652601E-2</v>
      </c>
      <c r="W883" s="3">
        <v>5.2881052718652601E-2</v>
      </c>
    </row>
    <row r="884" spans="1:23" x14ac:dyDescent="0.55000000000000004">
      <c r="A884" s="3">
        <v>30</v>
      </c>
      <c r="B884" s="3" t="s">
        <v>52</v>
      </c>
      <c r="C884" s="3" t="s">
        <v>49</v>
      </c>
      <c r="D884" s="3" t="s">
        <v>40</v>
      </c>
      <c r="E884" s="3" t="s">
        <v>26</v>
      </c>
      <c r="F884" s="3">
        <v>51</v>
      </c>
      <c r="G884" s="4">
        <v>26.7</v>
      </c>
      <c r="H884" s="4">
        <v>79.3</v>
      </c>
      <c r="I884" s="6">
        <v>6.0481570878928483</v>
      </c>
      <c r="J884" s="5">
        <v>7.4999999999999997E-2</v>
      </c>
      <c r="K884" s="4">
        <v>24</v>
      </c>
      <c r="L884" s="4">
        <v>52.1</v>
      </c>
      <c r="M884" s="6">
        <v>4.1775558329767799</v>
      </c>
      <c r="N884" s="5">
        <v>7.6999999999999999E-2</v>
      </c>
      <c r="O884" s="5">
        <v>1.8706012549160684</v>
      </c>
      <c r="P884" s="5">
        <v>1.8706012549160684</v>
      </c>
      <c r="Q884" s="8">
        <v>0.20833333333333334</v>
      </c>
      <c r="R884" s="8">
        <v>0.875</v>
      </c>
      <c r="S884" s="6">
        <f t="shared" si="39"/>
        <v>16</v>
      </c>
      <c r="T884" s="5">
        <f t="shared" si="40"/>
        <v>0.11691257843225428</v>
      </c>
      <c r="U884" s="3">
        <v>2.21</v>
      </c>
      <c r="V884" s="5">
        <f t="shared" si="41"/>
        <v>5.290161920011506E-2</v>
      </c>
      <c r="W884" s="3">
        <v>5.290161920011506E-2</v>
      </c>
    </row>
    <row r="885" spans="1:23" x14ac:dyDescent="0.55000000000000004">
      <c r="A885" s="3">
        <v>11</v>
      </c>
      <c r="B885" s="3" t="s">
        <v>53</v>
      </c>
      <c r="C885" s="3" t="s">
        <v>49</v>
      </c>
      <c r="D885" s="3" t="s">
        <v>41</v>
      </c>
      <c r="E885" s="3" t="s">
        <v>35</v>
      </c>
      <c r="F885" s="3">
        <v>82</v>
      </c>
      <c r="G885" s="4">
        <v>30</v>
      </c>
      <c r="H885" s="4">
        <v>65.2</v>
      </c>
      <c r="I885" s="6">
        <v>4.6889262862600782</v>
      </c>
      <c r="J885" s="5">
        <v>5.5E-2</v>
      </c>
      <c r="K885" s="4">
        <v>26.3</v>
      </c>
      <c r="L885" s="4">
        <v>36.299999999999997</v>
      </c>
      <c r="M885" s="6">
        <v>2.7888575950913683</v>
      </c>
      <c r="N885" s="5">
        <v>5.7000000000000002E-2</v>
      </c>
      <c r="O885" s="5">
        <v>1.9000686911687099</v>
      </c>
      <c r="P885" s="5">
        <v>1.9000686911687099</v>
      </c>
      <c r="Q885" s="8">
        <v>0.20833333333333334</v>
      </c>
      <c r="R885" s="8">
        <v>0.88541666666666663</v>
      </c>
      <c r="S885" s="6">
        <f t="shared" si="39"/>
        <v>16.25</v>
      </c>
      <c r="T885" s="5">
        <f t="shared" si="40"/>
        <v>0.1169273040719206</v>
      </c>
      <c r="U885" s="3">
        <v>2.21</v>
      </c>
      <c r="V885" s="5">
        <f t="shared" si="41"/>
        <v>5.2908282385484444E-2</v>
      </c>
      <c r="W885" s="3">
        <v>5.2908282385484444E-2</v>
      </c>
    </row>
    <row r="886" spans="1:23" x14ac:dyDescent="0.55000000000000004">
      <c r="A886" s="3">
        <v>52</v>
      </c>
      <c r="B886" s="3" t="s">
        <v>48</v>
      </c>
      <c r="C886" s="3" t="s">
        <v>49</v>
      </c>
      <c r="D886" s="3" t="s">
        <v>38</v>
      </c>
      <c r="E886" s="3" t="s">
        <v>29</v>
      </c>
      <c r="F886" s="3">
        <v>61</v>
      </c>
      <c r="G886" s="4">
        <v>29.4</v>
      </c>
      <c r="H886" s="4">
        <v>87.3</v>
      </c>
      <c r="I886" s="6">
        <v>6.3445389181697873</v>
      </c>
      <c r="J886" s="5">
        <v>8.3000000000000004E-2</v>
      </c>
      <c r="K886" s="4">
        <v>25</v>
      </c>
      <c r="L886" s="4">
        <v>56.1</v>
      </c>
      <c r="M886" s="6">
        <v>4.4147257309039381</v>
      </c>
      <c r="N886" s="5">
        <v>8.2000000000000003E-2</v>
      </c>
      <c r="O886" s="5">
        <v>1.9298131872658493</v>
      </c>
      <c r="P886" s="5">
        <v>1.9298131872658493</v>
      </c>
      <c r="Q886" s="8">
        <v>0.19791666666666666</v>
      </c>
      <c r="R886" s="8">
        <v>0.88541666666666663</v>
      </c>
      <c r="S886" s="6">
        <f t="shared" si="39"/>
        <v>16.5</v>
      </c>
      <c r="T886" s="5">
        <f t="shared" si="40"/>
        <v>0.11695837498580905</v>
      </c>
      <c r="U886" s="3">
        <v>2.21</v>
      </c>
      <c r="V886" s="5">
        <f t="shared" si="41"/>
        <v>5.2922341622538033E-2</v>
      </c>
      <c r="W886" s="3">
        <v>5.2922341622538033E-2</v>
      </c>
    </row>
    <row r="887" spans="1:23" x14ac:dyDescent="0.55000000000000004">
      <c r="A887" s="3">
        <v>45</v>
      </c>
      <c r="B887" s="3" t="s">
        <v>48</v>
      </c>
      <c r="C887" s="3" t="s">
        <v>50</v>
      </c>
      <c r="D887" s="3" t="s">
        <v>10</v>
      </c>
      <c r="E887" s="2" t="s">
        <v>22</v>
      </c>
      <c r="F887" s="3">
        <v>37</v>
      </c>
      <c r="G887" s="4">
        <v>29.9</v>
      </c>
      <c r="H887" s="4">
        <v>90.9</v>
      </c>
      <c r="I887" s="6">
        <v>6.5485821461234686</v>
      </c>
      <c r="J887" s="5">
        <v>6.2E-2</v>
      </c>
      <c r="K887" s="4">
        <v>24.9</v>
      </c>
      <c r="L887" s="4">
        <v>58.7</v>
      </c>
      <c r="M887" s="6">
        <v>4.6279459718304947</v>
      </c>
      <c r="N887" s="5">
        <v>5.8000000000000003E-2</v>
      </c>
      <c r="O887" s="5">
        <v>1.9206361742929738</v>
      </c>
      <c r="P887" s="5">
        <v>1.9206361742929738</v>
      </c>
      <c r="Q887" s="8">
        <v>0.20138888888888887</v>
      </c>
      <c r="R887" s="8">
        <v>0.88541666666666663</v>
      </c>
      <c r="S887" s="6">
        <f t="shared" si="39"/>
        <v>16.416666666666668</v>
      </c>
      <c r="T887" s="5">
        <f t="shared" si="40"/>
        <v>0.11699306645439433</v>
      </c>
      <c r="U887" s="3">
        <v>2.21</v>
      </c>
      <c r="V887" s="5">
        <f t="shared" si="41"/>
        <v>5.2938039119635447E-2</v>
      </c>
      <c r="W887" s="3">
        <v>5.2938039119635447E-2</v>
      </c>
    </row>
    <row r="888" spans="1:23" x14ac:dyDescent="0.55000000000000004">
      <c r="A888" s="3">
        <v>12</v>
      </c>
      <c r="B888" s="3" t="s">
        <v>53</v>
      </c>
      <c r="C888" s="3" t="s">
        <v>50</v>
      </c>
      <c r="D888" s="3" t="s">
        <v>11</v>
      </c>
      <c r="E888" s="3" t="s">
        <v>33</v>
      </c>
      <c r="F888" s="3">
        <v>75</v>
      </c>
      <c r="G888" s="4">
        <v>27.9</v>
      </c>
      <c r="H888" s="4">
        <v>73</v>
      </c>
      <c r="I888" s="6">
        <v>5.448335527023116</v>
      </c>
      <c r="J888" s="5">
        <v>5.6000000000000001E-2</v>
      </c>
      <c r="K888" s="4">
        <v>24.1</v>
      </c>
      <c r="L888" s="4">
        <v>44.3</v>
      </c>
      <c r="M888" s="6">
        <v>3.5454290844426661</v>
      </c>
      <c r="N888" s="5">
        <v>4.7E-2</v>
      </c>
      <c r="O888" s="5">
        <v>1.9029064425804498</v>
      </c>
      <c r="P888" s="5">
        <v>1.9029064425804498</v>
      </c>
      <c r="Q888" s="8">
        <v>0.20833333333333334</v>
      </c>
      <c r="R888" s="8">
        <v>0.88541666666666663</v>
      </c>
      <c r="S888" s="6">
        <f t="shared" si="39"/>
        <v>16.25</v>
      </c>
      <c r="T888" s="5">
        <f t="shared" si="40"/>
        <v>0.11710193492802769</v>
      </c>
      <c r="U888" s="3">
        <v>2.21</v>
      </c>
      <c r="V888" s="5">
        <f t="shared" si="41"/>
        <v>5.2987300872410714E-2</v>
      </c>
      <c r="W888" s="3">
        <v>5.2987300872410714E-2</v>
      </c>
    </row>
    <row r="889" spans="1:23" x14ac:dyDescent="0.55000000000000004">
      <c r="A889" s="3">
        <v>58</v>
      </c>
      <c r="B889" s="3" t="s">
        <v>53</v>
      </c>
      <c r="C889" s="3" t="s">
        <v>49</v>
      </c>
      <c r="D889" s="3" t="s">
        <v>41</v>
      </c>
      <c r="E889" s="3" t="s">
        <v>31</v>
      </c>
      <c r="F889" s="3">
        <v>68</v>
      </c>
      <c r="G889" s="4">
        <v>25.7</v>
      </c>
      <c r="H889" s="4">
        <v>67.3</v>
      </c>
      <c r="I889" s="6">
        <v>5.227832537980416</v>
      </c>
      <c r="J889" s="5">
        <v>0.06</v>
      </c>
      <c r="K889" s="4">
        <v>24.1</v>
      </c>
      <c r="L889" s="4">
        <v>41.5</v>
      </c>
      <c r="M889" s="6">
        <v>3.3213387585636718</v>
      </c>
      <c r="N889" s="5">
        <v>0.06</v>
      </c>
      <c r="O889" s="5">
        <v>1.9064937794167442</v>
      </c>
      <c r="P889" s="5">
        <v>1.9064937794167442</v>
      </c>
      <c r="Q889" s="8">
        <v>0.20833333333333334</v>
      </c>
      <c r="R889" s="8">
        <v>0.88541666666666663</v>
      </c>
      <c r="S889" s="6">
        <f t="shared" si="39"/>
        <v>16.25</v>
      </c>
      <c r="T889" s="5">
        <f t="shared" si="40"/>
        <v>0.11732269411795349</v>
      </c>
      <c r="U889" s="3">
        <v>2.21</v>
      </c>
      <c r="V889" s="5">
        <f t="shared" si="41"/>
        <v>5.3087191908576241E-2</v>
      </c>
      <c r="W889" s="3">
        <v>5.3087191908576241E-2</v>
      </c>
    </row>
    <row r="890" spans="1:23" x14ac:dyDescent="0.55000000000000004">
      <c r="A890" s="3">
        <v>12</v>
      </c>
      <c r="B890" s="3" t="s">
        <v>53</v>
      </c>
      <c r="C890" s="3" t="s">
        <v>50</v>
      </c>
      <c r="D890" s="3" t="s">
        <v>11</v>
      </c>
      <c r="E890" s="2" t="s">
        <v>18</v>
      </c>
      <c r="F890" s="3">
        <v>24</v>
      </c>
      <c r="G890" s="4">
        <v>22.4</v>
      </c>
      <c r="H890" s="4">
        <v>110.4</v>
      </c>
      <c r="I890" s="6">
        <v>9.1268960937162049</v>
      </c>
      <c r="J890" s="5">
        <v>0.05</v>
      </c>
      <c r="K890" s="4">
        <v>20.100000000000001</v>
      </c>
      <c r="L890" s="4">
        <v>83.7</v>
      </c>
      <c r="M890" s="6">
        <v>7.2393162155680475</v>
      </c>
      <c r="N890" s="5">
        <v>4.8000000000000001E-2</v>
      </c>
      <c r="O890" s="5">
        <v>1.8875798781481574</v>
      </c>
      <c r="P890" s="5">
        <v>1.8875798781481574</v>
      </c>
      <c r="Q890" s="8">
        <v>0.21180555555555555</v>
      </c>
      <c r="R890" s="8">
        <v>0.88194444444444453</v>
      </c>
      <c r="S890" s="6">
        <f t="shared" si="39"/>
        <v>16.083333333333336</v>
      </c>
      <c r="T890" s="5">
        <f t="shared" si="40"/>
        <v>0.11736247947035174</v>
      </c>
      <c r="U890" s="3">
        <v>2.21</v>
      </c>
      <c r="V890" s="5">
        <f t="shared" si="41"/>
        <v>5.3105194330475898E-2</v>
      </c>
      <c r="W890" s="3">
        <v>5.3105194330475898E-2</v>
      </c>
    </row>
    <row r="891" spans="1:23" x14ac:dyDescent="0.55000000000000004">
      <c r="A891" s="3">
        <v>25</v>
      </c>
      <c r="B891" s="3" t="s">
        <v>53</v>
      </c>
      <c r="C891" s="3" t="s">
        <v>49</v>
      </c>
      <c r="D891" s="3" t="s">
        <v>41</v>
      </c>
      <c r="E891" s="3" t="s">
        <v>31</v>
      </c>
      <c r="F891" s="3">
        <v>68</v>
      </c>
      <c r="G891" s="4">
        <v>25.3</v>
      </c>
      <c r="H891" s="4">
        <v>65.7</v>
      </c>
      <c r="I891" s="6">
        <v>5.141442126612267</v>
      </c>
      <c r="J891" s="5">
        <v>7.2999999999999995E-2</v>
      </c>
      <c r="K891" s="4">
        <v>23.9</v>
      </c>
      <c r="L891" s="4">
        <v>40.200000000000003</v>
      </c>
      <c r="M891" s="6">
        <v>3.2294695974975798</v>
      </c>
      <c r="N891" s="5">
        <v>7.2999999999999995E-2</v>
      </c>
      <c r="O891" s="5">
        <v>1.9119725291146872</v>
      </c>
      <c r="P891" s="5">
        <v>1.9119725291146872</v>
      </c>
      <c r="Q891" s="8">
        <v>0.20833333333333334</v>
      </c>
      <c r="R891" s="8">
        <v>0.88541666666666663</v>
      </c>
      <c r="S891" s="6">
        <f t="shared" si="39"/>
        <v>16.25</v>
      </c>
      <c r="T891" s="5">
        <f t="shared" si="40"/>
        <v>0.11765984794551922</v>
      </c>
      <c r="U891" s="3">
        <v>2.21</v>
      </c>
      <c r="V891" s="5">
        <f t="shared" si="41"/>
        <v>5.3239750201592405E-2</v>
      </c>
      <c r="W891" s="3">
        <v>5.3239750201592405E-2</v>
      </c>
    </row>
    <row r="892" spans="1:23" x14ac:dyDescent="0.55000000000000004">
      <c r="A892" s="3">
        <v>3</v>
      </c>
      <c r="B892" s="3" t="s">
        <v>51</v>
      </c>
      <c r="C892" s="3" t="s">
        <v>50</v>
      </c>
      <c r="D892" s="3" t="s">
        <v>9</v>
      </c>
      <c r="E892" s="3" t="s">
        <v>30</v>
      </c>
      <c r="F892" s="3">
        <v>65</v>
      </c>
      <c r="G892" s="4">
        <v>28.3</v>
      </c>
      <c r="H892" s="4">
        <v>94.8</v>
      </c>
      <c r="I892" s="6">
        <v>7.0249933583917583</v>
      </c>
      <c r="J892" s="5">
        <v>5.7000000000000002E-2</v>
      </c>
      <c r="K892" s="4">
        <v>23.3</v>
      </c>
      <c r="L892" s="4">
        <v>62.9</v>
      </c>
      <c r="M892" s="6">
        <v>5.1109740492961517</v>
      </c>
      <c r="N892" s="5">
        <v>5.1999999999999998E-2</v>
      </c>
      <c r="O892" s="5">
        <v>1.9140193090956066</v>
      </c>
      <c r="P892" s="5">
        <v>1.9140193090956066</v>
      </c>
      <c r="Q892" s="8">
        <v>0.20833333333333334</v>
      </c>
      <c r="R892" s="8">
        <v>0.88541666666666663</v>
      </c>
      <c r="S892" s="6">
        <f t="shared" si="39"/>
        <v>16.25</v>
      </c>
      <c r="T892" s="5">
        <f t="shared" si="40"/>
        <v>0.11778580363665271</v>
      </c>
      <c r="U892" s="3">
        <v>2.21</v>
      </c>
      <c r="V892" s="5">
        <f t="shared" si="41"/>
        <v>5.3296743726992182E-2</v>
      </c>
      <c r="W892" s="3">
        <v>5.3296743726992182E-2</v>
      </c>
    </row>
    <row r="893" spans="1:23" x14ac:dyDescent="0.55000000000000004">
      <c r="A893" s="3">
        <v>42</v>
      </c>
      <c r="B893" s="3" t="s">
        <v>53</v>
      </c>
      <c r="C893" s="3" t="s">
        <v>49</v>
      </c>
      <c r="D893" s="3" t="s">
        <v>41</v>
      </c>
      <c r="E893" s="2" t="s">
        <v>23</v>
      </c>
      <c r="F893" s="3">
        <v>40</v>
      </c>
      <c r="G893" s="4">
        <v>27.7</v>
      </c>
      <c r="H893" s="4">
        <v>85.2</v>
      </c>
      <c r="I893" s="6">
        <v>6.3817294575856023</v>
      </c>
      <c r="J893" s="5">
        <v>0.06</v>
      </c>
      <c r="K893" s="4">
        <v>23.6</v>
      </c>
      <c r="L893" s="4">
        <v>55.1</v>
      </c>
      <c r="M893" s="6">
        <v>4.4516957313890622</v>
      </c>
      <c r="N893" s="5">
        <v>0.06</v>
      </c>
      <c r="O893" s="5">
        <v>1.9300337261965401</v>
      </c>
      <c r="P893" s="5">
        <v>1.9300337261965401</v>
      </c>
      <c r="Q893" s="8">
        <v>0.20833333333333334</v>
      </c>
      <c r="R893" s="8">
        <v>0.89027777777777783</v>
      </c>
      <c r="S893" s="6">
        <f t="shared" si="39"/>
        <v>16.366666666666667</v>
      </c>
      <c r="T893" s="5">
        <f t="shared" si="40"/>
        <v>0.1179246675883833</v>
      </c>
      <c r="U893" s="3">
        <v>2.21</v>
      </c>
      <c r="V893" s="5">
        <f t="shared" si="41"/>
        <v>5.3359578094291087E-2</v>
      </c>
      <c r="W893" s="3">
        <v>5.3359578094291087E-2</v>
      </c>
    </row>
    <row r="894" spans="1:23" x14ac:dyDescent="0.55000000000000004">
      <c r="A894" s="3">
        <v>32</v>
      </c>
      <c r="B894" s="3" t="s">
        <v>53</v>
      </c>
      <c r="C894" s="3" t="s">
        <v>50</v>
      </c>
      <c r="D894" s="3" t="s">
        <v>11</v>
      </c>
      <c r="E894" s="2" t="s">
        <v>25</v>
      </c>
      <c r="F894" s="3">
        <v>47</v>
      </c>
      <c r="G894" s="4">
        <v>28.8</v>
      </c>
      <c r="H894" s="4">
        <v>74.5</v>
      </c>
      <c r="I894" s="6">
        <v>5.4718887222357804</v>
      </c>
      <c r="J894" s="5">
        <v>6.4000000000000001E-2</v>
      </c>
      <c r="K894" s="4">
        <v>25.6</v>
      </c>
      <c r="L894" s="4">
        <v>45.3</v>
      </c>
      <c r="M894" s="6">
        <v>3.525383842512348</v>
      </c>
      <c r="N894" s="5">
        <v>6.2E-2</v>
      </c>
      <c r="O894" s="5">
        <v>1.9465048797234323</v>
      </c>
      <c r="P894" s="5">
        <v>1.9465048797234323</v>
      </c>
      <c r="Q894" s="8">
        <v>0.20833333333333334</v>
      </c>
      <c r="R894" s="8">
        <v>0.89583333333333337</v>
      </c>
      <c r="S894" s="6">
        <f t="shared" si="39"/>
        <v>16.5</v>
      </c>
      <c r="T894" s="5">
        <f t="shared" si="40"/>
        <v>0.11796999271051105</v>
      </c>
      <c r="U894" s="3">
        <v>2.21</v>
      </c>
      <c r="V894" s="5">
        <f t="shared" si="41"/>
        <v>5.338008719932627E-2</v>
      </c>
      <c r="W894" s="3">
        <v>5.338008719932627E-2</v>
      </c>
    </row>
    <row r="895" spans="1:23" x14ac:dyDescent="0.55000000000000004">
      <c r="A895" s="3">
        <v>17</v>
      </c>
      <c r="B895" s="3" t="s">
        <v>52</v>
      </c>
      <c r="C895" s="3" t="s">
        <v>50</v>
      </c>
      <c r="D895" s="3" t="s">
        <v>12</v>
      </c>
      <c r="E895" s="2" t="s">
        <v>21</v>
      </c>
      <c r="F895" s="3">
        <v>33</v>
      </c>
      <c r="G895" s="4">
        <v>29.9</v>
      </c>
      <c r="H895" s="4">
        <v>81.3</v>
      </c>
      <c r="I895" s="6">
        <v>5.8569827115493718</v>
      </c>
      <c r="J895" s="5">
        <v>8.7999999999999995E-2</v>
      </c>
      <c r="K895" s="4">
        <v>26</v>
      </c>
      <c r="L895" s="4">
        <v>51.1</v>
      </c>
      <c r="M895" s="6">
        <v>3.9475642350801463</v>
      </c>
      <c r="N895" s="5">
        <v>6.3E-2</v>
      </c>
      <c r="O895" s="5">
        <v>1.9094184764692255</v>
      </c>
      <c r="P895" s="5">
        <v>1.9094184764692255</v>
      </c>
      <c r="Q895" s="8">
        <v>0.20833333333333334</v>
      </c>
      <c r="R895" s="8">
        <v>0.88194444444444453</v>
      </c>
      <c r="S895" s="6">
        <f t="shared" si="39"/>
        <v>16.166666666666668</v>
      </c>
      <c r="T895" s="5">
        <f t="shared" si="40"/>
        <v>0.11810835936923043</v>
      </c>
      <c r="U895" s="3">
        <v>2.21</v>
      </c>
      <c r="V895" s="5">
        <f t="shared" si="41"/>
        <v>5.3442696547163097E-2</v>
      </c>
      <c r="W895" s="3">
        <v>5.3442696547163097E-2</v>
      </c>
    </row>
    <row r="896" spans="1:23" x14ac:dyDescent="0.55000000000000004">
      <c r="A896" s="3">
        <v>57</v>
      </c>
      <c r="B896" s="3" t="s">
        <v>52</v>
      </c>
      <c r="C896" s="3" t="s">
        <v>50</v>
      </c>
      <c r="D896" s="3" t="s">
        <v>12</v>
      </c>
      <c r="E896" s="2" t="s">
        <v>13</v>
      </c>
      <c r="F896" s="3">
        <v>8</v>
      </c>
      <c r="G896" s="4">
        <v>22.1</v>
      </c>
      <c r="H896" s="4">
        <v>125.7</v>
      </c>
      <c r="I896" s="6">
        <v>10.452282718877257</v>
      </c>
      <c r="J896" s="5">
        <v>3.5999999999999997E-2</v>
      </c>
      <c r="K896" s="4">
        <v>19.2</v>
      </c>
      <c r="L896" s="4">
        <v>97.6</v>
      </c>
      <c r="M896" s="6">
        <v>8.5957104243902354</v>
      </c>
      <c r="N896" s="5">
        <v>3.3000000000000002E-2</v>
      </c>
      <c r="O896" s="5">
        <v>1.8565722944870213</v>
      </c>
      <c r="P896" s="5">
        <v>1.8565722944870213</v>
      </c>
      <c r="Q896" s="8">
        <v>0.20833333333333334</v>
      </c>
      <c r="R896" s="8">
        <v>0.86319444444444438</v>
      </c>
      <c r="S896" s="6">
        <f t="shared" si="39"/>
        <v>15.716666666666665</v>
      </c>
      <c r="T896" s="5">
        <f t="shared" si="40"/>
        <v>0.11812761152621558</v>
      </c>
      <c r="U896" s="3">
        <v>2.21</v>
      </c>
      <c r="V896" s="5">
        <f t="shared" si="41"/>
        <v>5.3451407930414287E-2</v>
      </c>
      <c r="W896" s="3">
        <v>5.3451407930414287E-2</v>
      </c>
    </row>
    <row r="897" spans="1:23" x14ac:dyDescent="0.55000000000000004">
      <c r="A897" s="3">
        <v>12</v>
      </c>
      <c r="B897" s="3" t="s">
        <v>53</v>
      </c>
      <c r="C897" s="3" t="s">
        <v>50</v>
      </c>
      <c r="D897" s="3" t="s">
        <v>11</v>
      </c>
      <c r="E897" s="2" t="s">
        <v>19</v>
      </c>
      <c r="F897" s="3">
        <v>26</v>
      </c>
      <c r="G897" s="4">
        <v>24.6</v>
      </c>
      <c r="H897" s="4">
        <v>104.1</v>
      </c>
      <c r="I897" s="6">
        <v>8.2534503904105403</v>
      </c>
      <c r="J897" s="5">
        <v>5.6000000000000001E-2</v>
      </c>
      <c r="K897" s="4">
        <v>23</v>
      </c>
      <c r="L897" s="4">
        <v>77.5</v>
      </c>
      <c r="M897" s="6">
        <v>6.3335093141099454</v>
      </c>
      <c r="N897" s="5">
        <v>5.1999999999999998E-2</v>
      </c>
      <c r="O897" s="5">
        <v>1.9199410763005949</v>
      </c>
      <c r="P897" s="5">
        <v>1.9199410763005949</v>
      </c>
      <c r="Q897" s="8">
        <v>0.20833333333333334</v>
      </c>
      <c r="R897" s="8">
        <v>0.88541666666666663</v>
      </c>
      <c r="S897" s="6">
        <f t="shared" si="39"/>
        <v>16.25</v>
      </c>
      <c r="T897" s="5">
        <f t="shared" si="40"/>
        <v>0.1181502200800366</v>
      </c>
      <c r="U897" s="3">
        <v>2.21</v>
      </c>
      <c r="V897" s="5">
        <f t="shared" si="41"/>
        <v>5.3461638045265436E-2</v>
      </c>
      <c r="W897" s="3">
        <v>5.3461638045265436E-2</v>
      </c>
    </row>
    <row r="898" spans="1:23" x14ac:dyDescent="0.55000000000000004">
      <c r="A898" s="3">
        <v>27</v>
      </c>
      <c r="B898" s="3" t="s">
        <v>48</v>
      </c>
      <c r="C898" s="3" t="s">
        <v>50</v>
      </c>
      <c r="D898" s="3" t="s">
        <v>10</v>
      </c>
      <c r="E898" s="2" t="s">
        <v>14</v>
      </c>
      <c r="F898" s="3">
        <v>10</v>
      </c>
      <c r="G898" s="4">
        <v>21.9</v>
      </c>
      <c r="H898" s="4">
        <v>106.1</v>
      </c>
      <c r="I898" s="6">
        <v>8.8568346869142189</v>
      </c>
      <c r="J898" s="5">
        <v>0.04</v>
      </c>
      <c r="K898" s="4">
        <v>20</v>
      </c>
      <c r="L898" s="4">
        <v>80.5</v>
      </c>
      <c r="M898" s="6">
        <v>6.9764754496750632</v>
      </c>
      <c r="N898" s="5">
        <v>3.7999999999999999E-2</v>
      </c>
      <c r="O898" s="5">
        <v>1.8803592372391558</v>
      </c>
      <c r="P898" s="5">
        <v>1.8803592372391558</v>
      </c>
      <c r="Q898" s="8">
        <v>0.20555555555555557</v>
      </c>
      <c r="R898" s="8">
        <v>0.86805555555555547</v>
      </c>
      <c r="S898" s="6">
        <f t="shared" ref="S898:S961" si="42">(R898-Q898)*24</f>
        <v>15.899999999999997</v>
      </c>
      <c r="T898" s="5">
        <f t="shared" ref="T898:T961" si="43">P898/S898</f>
        <v>0.11826158724774567</v>
      </c>
      <c r="U898" s="3">
        <v>2.21</v>
      </c>
      <c r="V898" s="5">
        <f t="shared" ref="V898:V961" si="44">(I898-M898)/U898/S898</f>
        <v>5.3512030428844198E-2</v>
      </c>
      <c r="W898" s="3">
        <v>5.3512030428844198E-2</v>
      </c>
    </row>
    <row r="899" spans="1:23" x14ac:dyDescent="0.55000000000000004">
      <c r="A899" s="3">
        <v>57</v>
      </c>
      <c r="B899" s="3" t="s">
        <v>52</v>
      </c>
      <c r="C899" s="3" t="s">
        <v>50</v>
      </c>
      <c r="D899" s="3" t="s">
        <v>12</v>
      </c>
      <c r="E899" s="3" t="s">
        <v>33</v>
      </c>
      <c r="F899" s="3">
        <v>75</v>
      </c>
      <c r="G899" s="4">
        <v>28.3</v>
      </c>
      <c r="H899" s="4">
        <v>78.5</v>
      </c>
      <c r="I899" s="6">
        <v>5.817109479258999</v>
      </c>
      <c r="J899" s="5">
        <v>5.5E-2</v>
      </c>
      <c r="K899" s="4">
        <v>24.2</v>
      </c>
      <c r="L899" s="4">
        <v>48.7</v>
      </c>
      <c r="M899" s="6">
        <v>3.8902339234962882</v>
      </c>
      <c r="N899" s="5">
        <v>5.0999999999999997E-2</v>
      </c>
      <c r="O899" s="5">
        <v>1.9268755557627109</v>
      </c>
      <c r="P899" s="5">
        <v>1.9268755557627109</v>
      </c>
      <c r="Q899" s="8">
        <v>0.20833333333333334</v>
      </c>
      <c r="R899" s="8">
        <v>0.88541666666666663</v>
      </c>
      <c r="S899" s="6">
        <f t="shared" si="42"/>
        <v>16.25</v>
      </c>
      <c r="T899" s="5">
        <f t="shared" si="43"/>
        <v>0.11857695727770529</v>
      </c>
      <c r="U899" s="3">
        <v>2.21</v>
      </c>
      <c r="V899" s="5">
        <f t="shared" si="44"/>
        <v>5.3654731799866642E-2</v>
      </c>
      <c r="W899" s="3">
        <v>5.3654731799866642E-2</v>
      </c>
    </row>
    <row r="900" spans="1:23" x14ac:dyDescent="0.55000000000000004">
      <c r="A900" s="3">
        <v>29</v>
      </c>
      <c r="B900" s="3" t="s">
        <v>52</v>
      </c>
      <c r="C900" s="3" t="s">
        <v>50</v>
      </c>
      <c r="D900" s="3" t="s">
        <v>12</v>
      </c>
      <c r="E900" s="2" t="s">
        <v>13</v>
      </c>
      <c r="F900" s="3">
        <v>8</v>
      </c>
      <c r="G900" s="4">
        <v>21.9</v>
      </c>
      <c r="H900" s="4">
        <v>119.4</v>
      </c>
      <c r="I900" s="6">
        <v>9.9670693837658604</v>
      </c>
      <c r="J900" s="5">
        <v>4.4999999999999998E-2</v>
      </c>
      <c r="K900" s="4">
        <v>19.2</v>
      </c>
      <c r="L900" s="4">
        <v>92</v>
      </c>
      <c r="M900" s="6">
        <v>8.1025139246301379</v>
      </c>
      <c r="N900" s="5">
        <v>4.2000000000000003E-2</v>
      </c>
      <c r="O900" s="5">
        <v>1.8645554591357225</v>
      </c>
      <c r="P900" s="5">
        <v>1.8645554591357225</v>
      </c>
      <c r="Q900" s="8">
        <v>0.20833333333333334</v>
      </c>
      <c r="R900" s="8">
        <v>0.86319444444444438</v>
      </c>
      <c r="S900" s="6">
        <f t="shared" si="42"/>
        <v>15.716666666666665</v>
      </c>
      <c r="T900" s="5">
        <f t="shared" si="43"/>
        <v>0.11863555413376815</v>
      </c>
      <c r="U900" s="3">
        <v>2.21</v>
      </c>
      <c r="V900" s="5">
        <f t="shared" si="44"/>
        <v>5.3681246214374728E-2</v>
      </c>
      <c r="W900" s="3">
        <v>5.3681246214374728E-2</v>
      </c>
    </row>
    <row r="901" spans="1:23" x14ac:dyDescent="0.55000000000000004">
      <c r="A901" s="3">
        <v>24</v>
      </c>
      <c r="B901" s="3" t="s">
        <v>52</v>
      </c>
      <c r="C901" s="3" t="s">
        <v>49</v>
      </c>
      <c r="D901" s="3" t="s">
        <v>40</v>
      </c>
      <c r="E901" s="3" t="s">
        <v>28</v>
      </c>
      <c r="F901" s="3">
        <v>58</v>
      </c>
      <c r="G901" s="4">
        <v>28.7</v>
      </c>
      <c r="H901" s="4">
        <v>96.2</v>
      </c>
      <c r="I901" s="6">
        <v>7.0782415137332046</v>
      </c>
      <c r="J901" s="5">
        <v>5.8999999999999997E-2</v>
      </c>
      <c r="K901" s="4">
        <v>24</v>
      </c>
      <c r="L901" s="4">
        <v>64.099999999999994</v>
      </c>
      <c r="M901" s="6">
        <v>5.1397567925875531</v>
      </c>
      <c r="N901" s="5">
        <v>5.6000000000000001E-2</v>
      </c>
      <c r="O901" s="5">
        <v>1.9384847211456515</v>
      </c>
      <c r="P901" s="5">
        <v>1.9384847211456515</v>
      </c>
      <c r="Q901" s="8">
        <v>0.20833333333333334</v>
      </c>
      <c r="R901" s="8">
        <v>0.88888888888888884</v>
      </c>
      <c r="S901" s="6">
        <f t="shared" si="42"/>
        <v>16.333333333333332</v>
      </c>
      <c r="T901" s="5">
        <f t="shared" si="43"/>
        <v>0.11868273802932561</v>
      </c>
      <c r="U901" s="3">
        <v>2.21</v>
      </c>
      <c r="V901" s="5">
        <f t="shared" si="44"/>
        <v>5.370259639336001E-2</v>
      </c>
      <c r="W901" s="3">
        <v>5.370259639336001E-2</v>
      </c>
    </row>
    <row r="902" spans="1:23" x14ac:dyDescent="0.55000000000000004">
      <c r="A902" s="3">
        <v>54</v>
      </c>
      <c r="B902" s="3" t="s">
        <v>48</v>
      </c>
      <c r="C902" s="3" t="s">
        <v>50</v>
      </c>
      <c r="D902" s="3" t="s">
        <v>10</v>
      </c>
      <c r="E902" s="3" t="s">
        <v>26</v>
      </c>
      <c r="F902" s="3">
        <v>51</v>
      </c>
      <c r="G902" s="4">
        <v>27.3</v>
      </c>
      <c r="H902" s="4">
        <v>88.6</v>
      </c>
      <c r="I902" s="6">
        <v>6.6843698087869248</v>
      </c>
      <c r="J902" s="5">
        <v>5.7000000000000002E-2</v>
      </c>
      <c r="K902" s="4">
        <v>24.4</v>
      </c>
      <c r="L902" s="4">
        <v>60.1</v>
      </c>
      <c r="M902" s="6">
        <v>4.782863595465316</v>
      </c>
      <c r="N902" s="5">
        <v>5.3999999999999999E-2</v>
      </c>
      <c r="O902" s="5">
        <v>1.9015062133216087</v>
      </c>
      <c r="P902" s="5">
        <v>1.9015062133216087</v>
      </c>
      <c r="Q902" s="8">
        <v>0.20833333333333334</v>
      </c>
      <c r="R902" s="8">
        <v>0.875</v>
      </c>
      <c r="S902" s="6">
        <f t="shared" si="42"/>
        <v>16</v>
      </c>
      <c r="T902" s="5">
        <f t="shared" si="43"/>
        <v>0.11884413833260055</v>
      </c>
      <c r="U902" s="3">
        <v>2.21</v>
      </c>
      <c r="V902" s="5">
        <f t="shared" si="44"/>
        <v>5.377562820479663E-2</v>
      </c>
      <c r="W902" s="3">
        <v>5.377562820479663E-2</v>
      </c>
    </row>
    <row r="903" spans="1:23" x14ac:dyDescent="0.55000000000000004">
      <c r="A903" s="3">
        <v>22</v>
      </c>
      <c r="B903" s="3" t="s">
        <v>48</v>
      </c>
      <c r="C903" s="3" t="s">
        <v>49</v>
      </c>
      <c r="D903" s="3" t="s">
        <v>38</v>
      </c>
      <c r="E903" s="3" t="s">
        <v>31</v>
      </c>
      <c r="F903" s="3">
        <v>68</v>
      </c>
      <c r="G903" s="4">
        <v>25.4</v>
      </c>
      <c r="H903" s="4">
        <v>71.2</v>
      </c>
      <c r="I903" s="6">
        <v>5.5615351643115432</v>
      </c>
      <c r="J903" s="5">
        <v>8.4000000000000005E-2</v>
      </c>
      <c r="K903" s="4">
        <v>23.8</v>
      </c>
      <c r="L903" s="4">
        <v>45.1</v>
      </c>
      <c r="M903" s="6">
        <v>3.6299734219744222</v>
      </c>
      <c r="N903" s="5">
        <v>8.1000000000000003E-2</v>
      </c>
      <c r="O903" s="5">
        <v>1.931561742337121</v>
      </c>
      <c r="P903" s="5">
        <v>1.931561742337121</v>
      </c>
      <c r="Q903" s="8">
        <v>0.20833333333333334</v>
      </c>
      <c r="R903" s="8">
        <v>0.88541666666666663</v>
      </c>
      <c r="S903" s="6">
        <f t="shared" si="42"/>
        <v>16.25</v>
      </c>
      <c r="T903" s="5">
        <f t="shared" si="43"/>
        <v>0.11886533798997667</v>
      </c>
      <c r="U903" s="3">
        <v>2.21</v>
      </c>
      <c r="V903" s="5">
        <f t="shared" si="44"/>
        <v>5.3785220809944197E-2</v>
      </c>
      <c r="W903" s="3">
        <v>5.3785220809944197E-2</v>
      </c>
    </row>
    <row r="904" spans="1:23" x14ac:dyDescent="0.55000000000000004">
      <c r="A904" s="3">
        <v>50</v>
      </c>
      <c r="B904" s="3" t="s">
        <v>53</v>
      </c>
      <c r="C904" s="3" t="s">
        <v>50</v>
      </c>
      <c r="D904" s="3" t="s">
        <v>11</v>
      </c>
      <c r="E904" s="2" t="s">
        <v>13</v>
      </c>
      <c r="F904" s="3">
        <v>8</v>
      </c>
      <c r="G904" s="4">
        <v>22.1</v>
      </c>
      <c r="H904" s="4">
        <v>119.4</v>
      </c>
      <c r="I904" s="6">
        <v>9.9284212938261298</v>
      </c>
      <c r="J904" s="5">
        <v>3.9E-2</v>
      </c>
      <c r="K904" s="4">
        <v>19.3</v>
      </c>
      <c r="L904" s="4">
        <v>91.7</v>
      </c>
      <c r="M904" s="6">
        <v>8.0597713031066434</v>
      </c>
      <c r="N904" s="5">
        <v>3.6999999999999998E-2</v>
      </c>
      <c r="O904" s="5">
        <v>1.8686499907194865</v>
      </c>
      <c r="P904" s="5">
        <v>1.8686499907194865</v>
      </c>
      <c r="Q904" s="8">
        <v>0.20833333333333334</v>
      </c>
      <c r="R904" s="8">
        <v>0.86319444444444438</v>
      </c>
      <c r="S904" s="6">
        <f t="shared" si="42"/>
        <v>15.716666666666665</v>
      </c>
      <c r="T904" s="5">
        <f t="shared" si="43"/>
        <v>0.11889607576157922</v>
      </c>
      <c r="U904" s="3">
        <v>2.21</v>
      </c>
      <c r="V904" s="5">
        <f t="shared" si="44"/>
        <v>5.3799129303881997E-2</v>
      </c>
      <c r="W904" s="3">
        <v>5.3799129303881997E-2</v>
      </c>
    </row>
    <row r="905" spans="1:23" x14ac:dyDescent="0.55000000000000004">
      <c r="A905" s="3">
        <v>45</v>
      </c>
      <c r="B905" s="3" t="s">
        <v>48</v>
      </c>
      <c r="C905" s="3" t="s">
        <v>50</v>
      </c>
      <c r="D905" s="3" t="s">
        <v>10</v>
      </c>
      <c r="E905" s="3" t="s">
        <v>30</v>
      </c>
      <c r="F905" s="3">
        <v>65</v>
      </c>
      <c r="G905" s="4">
        <v>27.1</v>
      </c>
      <c r="H905" s="4">
        <v>100.8</v>
      </c>
      <c r="I905" s="6">
        <v>7.632335820210649</v>
      </c>
      <c r="J905" s="5">
        <v>5.8000000000000003E-2</v>
      </c>
      <c r="K905" s="4">
        <v>22.9</v>
      </c>
      <c r="L905" s="4">
        <v>69.599999999999994</v>
      </c>
      <c r="M905" s="6">
        <v>5.6988102876785263</v>
      </c>
      <c r="N905" s="5">
        <v>5.1999999999999998E-2</v>
      </c>
      <c r="O905" s="5">
        <v>1.9335255325321228</v>
      </c>
      <c r="P905" s="5">
        <v>1.9335255325321228</v>
      </c>
      <c r="Q905" s="8">
        <v>0.20833333333333334</v>
      </c>
      <c r="R905" s="8">
        <v>0.88541666666666663</v>
      </c>
      <c r="S905" s="6">
        <f t="shared" si="42"/>
        <v>16.25</v>
      </c>
      <c r="T905" s="5">
        <f t="shared" si="43"/>
        <v>0.11898618661736141</v>
      </c>
      <c r="U905" s="3">
        <v>2.21</v>
      </c>
      <c r="V905" s="5">
        <f t="shared" si="44"/>
        <v>5.3839903446769866E-2</v>
      </c>
      <c r="W905" s="3">
        <v>5.3839903446769866E-2</v>
      </c>
    </row>
    <row r="906" spans="1:23" x14ac:dyDescent="0.55000000000000004">
      <c r="A906" s="3">
        <v>54</v>
      </c>
      <c r="B906" s="3" t="s">
        <v>48</v>
      </c>
      <c r="C906" s="3" t="s">
        <v>50</v>
      </c>
      <c r="D906" s="3" t="s">
        <v>10</v>
      </c>
      <c r="E906" s="3" t="s">
        <v>30</v>
      </c>
      <c r="F906" s="3">
        <v>65</v>
      </c>
      <c r="G906" s="4">
        <v>27.6</v>
      </c>
      <c r="H906" s="4">
        <v>95.1</v>
      </c>
      <c r="I906" s="6">
        <v>7.1360807076761477</v>
      </c>
      <c r="J906" s="5">
        <v>5.3999999999999999E-2</v>
      </c>
      <c r="K906" s="4">
        <v>22.8</v>
      </c>
      <c r="L906" s="4">
        <v>63.4</v>
      </c>
      <c r="M906" s="6">
        <v>5.2011293012659419</v>
      </c>
      <c r="N906" s="5">
        <v>5.0999999999999997E-2</v>
      </c>
      <c r="O906" s="5">
        <v>1.9349514064102058</v>
      </c>
      <c r="P906" s="5">
        <v>1.9349514064102058</v>
      </c>
      <c r="Q906" s="8">
        <v>0.20833333333333334</v>
      </c>
      <c r="R906" s="8">
        <v>0.88541666666666663</v>
      </c>
      <c r="S906" s="6">
        <f t="shared" si="42"/>
        <v>16.25</v>
      </c>
      <c r="T906" s="5">
        <f t="shared" si="43"/>
        <v>0.11907393270216651</v>
      </c>
      <c r="U906" s="3">
        <v>2.21</v>
      </c>
      <c r="V906" s="5">
        <f t="shared" si="44"/>
        <v>5.3879607557541412E-2</v>
      </c>
      <c r="W906" s="3">
        <v>5.3879607557541412E-2</v>
      </c>
    </row>
    <row r="907" spans="1:23" x14ac:dyDescent="0.55000000000000004">
      <c r="A907" s="3">
        <v>42</v>
      </c>
      <c r="B907" s="3" t="s">
        <v>53</v>
      </c>
      <c r="C907" s="3" t="s">
        <v>49</v>
      </c>
      <c r="D907" s="3" t="s">
        <v>41</v>
      </c>
      <c r="E907" s="3" t="s">
        <v>26</v>
      </c>
      <c r="F907" s="3">
        <v>51</v>
      </c>
      <c r="G907" s="4">
        <v>26.3</v>
      </c>
      <c r="H907" s="4">
        <v>79.2</v>
      </c>
      <c r="I907" s="6">
        <v>6.0847802074720763</v>
      </c>
      <c r="J907" s="5">
        <v>7.3999999999999996E-2</v>
      </c>
      <c r="K907" s="4">
        <v>24</v>
      </c>
      <c r="L907" s="4">
        <v>52.1</v>
      </c>
      <c r="M907" s="6">
        <v>4.1775558329767799</v>
      </c>
      <c r="N907" s="5">
        <v>7.2999999999999995E-2</v>
      </c>
      <c r="O907" s="5">
        <v>1.9072243744952964</v>
      </c>
      <c r="P907" s="5">
        <v>1.9072243744952964</v>
      </c>
      <c r="Q907" s="8">
        <v>0.20833333333333334</v>
      </c>
      <c r="R907" s="8">
        <v>0.875</v>
      </c>
      <c r="S907" s="6">
        <f t="shared" si="42"/>
        <v>16</v>
      </c>
      <c r="T907" s="5">
        <f t="shared" si="43"/>
        <v>0.11920152340595602</v>
      </c>
      <c r="U907" s="3">
        <v>2.21</v>
      </c>
      <c r="V907" s="5">
        <f t="shared" si="44"/>
        <v>5.393734090767241E-2</v>
      </c>
      <c r="W907" s="3">
        <v>5.393734090767241E-2</v>
      </c>
    </row>
    <row r="908" spans="1:23" x14ac:dyDescent="0.55000000000000004">
      <c r="A908" s="3">
        <v>39</v>
      </c>
      <c r="B908" s="3" t="s">
        <v>51</v>
      </c>
      <c r="C908" s="3" t="s">
        <v>50</v>
      </c>
      <c r="D908" s="3" t="s">
        <v>9</v>
      </c>
      <c r="E908" s="2" t="s">
        <v>18</v>
      </c>
      <c r="F908" s="3">
        <v>24</v>
      </c>
      <c r="G908" s="4">
        <v>22.5</v>
      </c>
      <c r="H908" s="4">
        <v>103.7</v>
      </c>
      <c r="I908" s="6">
        <v>8.5564690838993549</v>
      </c>
      <c r="J908" s="5">
        <v>3.5999999999999997E-2</v>
      </c>
      <c r="K908" s="4">
        <v>20.2</v>
      </c>
      <c r="L908" s="4">
        <v>76.900000000000006</v>
      </c>
      <c r="M908" s="6">
        <v>6.6379139639220206</v>
      </c>
      <c r="N908" s="5">
        <v>3.5000000000000003E-2</v>
      </c>
      <c r="O908" s="5">
        <v>1.9185551199773343</v>
      </c>
      <c r="P908" s="5">
        <v>1.9185551199773343</v>
      </c>
      <c r="Q908" s="8">
        <v>0.21180555555555555</v>
      </c>
      <c r="R908" s="8">
        <v>0.88194444444444453</v>
      </c>
      <c r="S908" s="6">
        <f t="shared" si="42"/>
        <v>16.083333333333336</v>
      </c>
      <c r="T908" s="5">
        <f t="shared" si="43"/>
        <v>0.11928840124211403</v>
      </c>
      <c r="U908" s="3">
        <v>2.21</v>
      </c>
      <c r="V908" s="5">
        <f t="shared" si="44"/>
        <v>5.3976652145752958E-2</v>
      </c>
      <c r="W908" s="3">
        <v>5.3976652145752958E-2</v>
      </c>
    </row>
    <row r="909" spans="1:23" x14ac:dyDescent="0.55000000000000004">
      <c r="A909" s="3">
        <v>54</v>
      </c>
      <c r="B909" s="3" t="s">
        <v>48</v>
      </c>
      <c r="C909" s="3" t="s">
        <v>50</v>
      </c>
      <c r="D909" s="3" t="s">
        <v>10</v>
      </c>
      <c r="E909" s="3" t="s">
        <v>34</v>
      </c>
      <c r="F909" s="3">
        <v>79</v>
      </c>
      <c r="G909" s="4">
        <v>28.4</v>
      </c>
      <c r="H909" s="4">
        <v>83.4</v>
      </c>
      <c r="I909" s="6">
        <v>6.1692207070103668</v>
      </c>
      <c r="J909" s="5">
        <v>6.3E-2</v>
      </c>
      <c r="K909" s="4">
        <v>24.9</v>
      </c>
      <c r="L909" s="4">
        <v>53.6</v>
      </c>
      <c r="M909" s="6">
        <v>4.2258586727447103</v>
      </c>
      <c r="N909" s="5">
        <v>0.06</v>
      </c>
      <c r="O909" s="5">
        <v>1.9433620342656566</v>
      </c>
      <c r="P909" s="5">
        <v>1.9433620342656566</v>
      </c>
      <c r="Q909" s="8">
        <v>0.20833333333333334</v>
      </c>
      <c r="R909" s="8">
        <v>0.88541666666666663</v>
      </c>
      <c r="S909" s="6">
        <f t="shared" si="42"/>
        <v>16.25</v>
      </c>
      <c r="T909" s="5">
        <f t="shared" si="43"/>
        <v>0.11959150980096347</v>
      </c>
      <c r="U909" s="3">
        <v>2.21</v>
      </c>
      <c r="V909" s="5">
        <f t="shared" si="44"/>
        <v>5.4113805339802479E-2</v>
      </c>
      <c r="W909" s="3">
        <v>5.4113805339802479E-2</v>
      </c>
    </row>
    <row r="910" spans="1:23" x14ac:dyDescent="0.55000000000000004">
      <c r="A910" s="3">
        <v>14</v>
      </c>
      <c r="B910" s="3" t="s">
        <v>48</v>
      </c>
      <c r="C910" s="3" t="s">
        <v>50</v>
      </c>
      <c r="D910" s="3" t="s">
        <v>10</v>
      </c>
      <c r="E910" s="3" t="s">
        <v>34</v>
      </c>
      <c r="F910" s="3">
        <v>79</v>
      </c>
      <c r="G910" s="4">
        <v>29.1</v>
      </c>
      <c r="H910" s="4">
        <v>107.5</v>
      </c>
      <c r="I910" s="6">
        <v>7.8539374001419935</v>
      </c>
      <c r="J910" s="5">
        <v>7.2999999999999995E-2</v>
      </c>
      <c r="K910" s="4">
        <v>25.5</v>
      </c>
      <c r="L910" s="4">
        <v>75.8</v>
      </c>
      <c r="M910" s="6">
        <v>5.9098996841315614</v>
      </c>
      <c r="N910" s="5">
        <v>5.2999999999999999E-2</v>
      </c>
      <c r="O910" s="5">
        <v>1.9440377160104321</v>
      </c>
      <c r="P910" s="5">
        <v>1.9440377160104321</v>
      </c>
      <c r="Q910" s="8">
        <v>0.20833333333333334</v>
      </c>
      <c r="R910" s="8">
        <v>0.88541666666666663</v>
      </c>
      <c r="S910" s="6">
        <f t="shared" si="42"/>
        <v>16.25</v>
      </c>
      <c r="T910" s="5">
        <f t="shared" si="43"/>
        <v>0.11963309021602658</v>
      </c>
      <c r="U910" s="3">
        <v>2.21</v>
      </c>
      <c r="V910" s="5">
        <f t="shared" si="44"/>
        <v>5.4132620007251851E-2</v>
      </c>
      <c r="W910" s="3">
        <v>5.4132620007251851E-2</v>
      </c>
    </row>
    <row r="911" spans="1:23" x14ac:dyDescent="0.55000000000000004">
      <c r="A911" s="3">
        <v>42</v>
      </c>
      <c r="B911" s="3" t="s">
        <v>53</v>
      </c>
      <c r="C911" s="3" t="s">
        <v>49</v>
      </c>
      <c r="D911" s="3" t="s">
        <v>41</v>
      </c>
      <c r="E911" s="3" t="s">
        <v>28</v>
      </c>
      <c r="F911" s="3">
        <v>58</v>
      </c>
      <c r="G911" s="4">
        <v>27.4</v>
      </c>
      <c r="H911" s="4">
        <v>78.599999999999994</v>
      </c>
      <c r="I911" s="6">
        <v>5.9192373629990138</v>
      </c>
      <c r="J911" s="5">
        <v>7.1999999999999995E-2</v>
      </c>
      <c r="K911" s="4">
        <v>23</v>
      </c>
      <c r="L911" s="4">
        <v>48.5</v>
      </c>
      <c r="M911" s="6">
        <v>3.9635509901204178</v>
      </c>
      <c r="N911" s="5">
        <v>6.9000000000000006E-2</v>
      </c>
      <c r="O911" s="5">
        <v>1.955686372878596</v>
      </c>
      <c r="P911" s="5">
        <v>1.955686372878596</v>
      </c>
      <c r="Q911" s="8">
        <v>0.20833333333333334</v>
      </c>
      <c r="R911" s="8">
        <v>0.88888888888888884</v>
      </c>
      <c r="S911" s="6">
        <f t="shared" si="42"/>
        <v>16.333333333333332</v>
      </c>
      <c r="T911" s="5">
        <f t="shared" si="43"/>
        <v>0.11973590038032221</v>
      </c>
      <c r="U911" s="3">
        <v>2.21</v>
      </c>
      <c r="V911" s="5">
        <f t="shared" si="44"/>
        <v>5.4179140443584711E-2</v>
      </c>
      <c r="W911" s="3">
        <v>5.4179140443584711E-2</v>
      </c>
    </row>
    <row r="912" spans="1:23" x14ac:dyDescent="0.55000000000000004">
      <c r="A912" s="3">
        <v>24</v>
      </c>
      <c r="B912" s="3" t="s">
        <v>52</v>
      </c>
      <c r="C912" s="3" t="s">
        <v>49</v>
      </c>
      <c r="D912" s="3" t="s">
        <v>40</v>
      </c>
      <c r="E912" s="3" t="s">
        <v>31</v>
      </c>
      <c r="F912" s="3">
        <v>68</v>
      </c>
      <c r="G912" s="4">
        <v>25.7</v>
      </c>
      <c r="H912" s="4">
        <v>88.2</v>
      </c>
      <c r="I912" s="6">
        <v>6.8513347674572485</v>
      </c>
      <c r="J912" s="5">
        <v>5.0999999999999997E-2</v>
      </c>
      <c r="K912" s="4">
        <v>24.2</v>
      </c>
      <c r="L912" s="4">
        <v>61.4</v>
      </c>
      <c r="M912" s="6">
        <v>4.9047302444080501</v>
      </c>
      <c r="N912" s="5">
        <v>5.0999999999999997E-2</v>
      </c>
      <c r="O912" s="5">
        <v>1.9466045230491984</v>
      </c>
      <c r="P912" s="5">
        <v>1.9466045230491984</v>
      </c>
      <c r="Q912" s="8">
        <v>0.20833333333333334</v>
      </c>
      <c r="R912" s="8">
        <v>0.88541666666666663</v>
      </c>
      <c r="S912" s="6">
        <f t="shared" si="42"/>
        <v>16.25</v>
      </c>
      <c r="T912" s="5">
        <f t="shared" si="43"/>
        <v>0.11979104757225836</v>
      </c>
      <c r="U912" s="3">
        <v>2.21</v>
      </c>
      <c r="V912" s="5">
        <f t="shared" si="44"/>
        <v>5.4204093924098813E-2</v>
      </c>
      <c r="W912" s="3">
        <v>5.4204093924098813E-2</v>
      </c>
    </row>
    <row r="913" spans="1:23" x14ac:dyDescent="0.55000000000000004">
      <c r="A913" s="3">
        <v>9</v>
      </c>
      <c r="B913" s="3" t="s">
        <v>48</v>
      </c>
      <c r="C913" s="3" t="s">
        <v>50</v>
      </c>
      <c r="D913" s="3" t="s">
        <v>10</v>
      </c>
      <c r="E913" s="2" t="s">
        <v>14</v>
      </c>
      <c r="F913" s="3">
        <v>10</v>
      </c>
      <c r="G913" s="4">
        <v>22.2</v>
      </c>
      <c r="H913" s="4">
        <v>105.1</v>
      </c>
      <c r="I913" s="6">
        <v>8.7224154016444455</v>
      </c>
      <c r="J913" s="5">
        <v>0.04</v>
      </c>
      <c r="K913" s="4">
        <v>19.899999999999999</v>
      </c>
      <c r="L913" s="4">
        <v>78.5</v>
      </c>
      <c r="M913" s="6">
        <v>6.8167794384762486</v>
      </c>
      <c r="N913" s="5">
        <v>3.6999999999999998E-2</v>
      </c>
      <c r="O913" s="5">
        <v>1.9056359631681969</v>
      </c>
      <c r="P913" s="5">
        <v>1.9056359631681969</v>
      </c>
      <c r="Q913" s="8">
        <v>0.20555555555555557</v>
      </c>
      <c r="R913" s="8">
        <v>0.86805555555555547</v>
      </c>
      <c r="S913" s="6">
        <f t="shared" si="42"/>
        <v>15.899999999999997</v>
      </c>
      <c r="T913" s="5">
        <f t="shared" si="43"/>
        <v>0.11985131843825141</v>
      </c>
      <c r="U913" s="3">
        <v>2.21</v>
      </c>
      <c r="V913" s="5">
        <f t="shared" si="44"/>
        <v>5.4231365809163531E-2</v>
      </c>
      <c r="W913" s="3">
        <v>5.4231365809163531E-2</v>
      </c>
    </row>
    <row r="914" spans="1:23" x14ac:dyDescent="0.55000000000000004">
      <c r="A914" s="3">
        <v>8</v>
      </c>
      <c r="B914" s="3" t="s">
        <v>51</v>
      </c>
      <c r="C914" s="3" t="s">
        <v>50</v>
      </c>
      <c r="D914" s="3" t="s">
        <v>9</v>
      </c>
      <c r="E914" s="3" t="s">
        <v>34</v>
      </c>
      <c r="F914" s="3">
        <v>79</v>
      </c>
      <c r="G914" s="4">
        <v>28.8</v>
      </c>
      <c r="H914" s="4">
        <v>91.1</v>
      </c>
      <c r="I914" s="6">
        <v>6.6911283569889886</v>
      </c>
      <c r="J914" s="5">
        <v>5.5E-2</v>
      </c>
      <c r="K914" s="4">
        <v>25.3</v>
      </c>
      <c r="L914" s="4">
        <v>60.6</v>
      </c>
      <c r="M914" s="6">
        <v>4.7423347469209034</v>
      </c>
      <c r="N914" s="5">
        <v>4.4999999999999998E-2</v>
      </c>
      <c r="O914" s="5">
        <v>1.9487936100680852</v>
      </c>
      <c r="P914" s="5">
        <v>1.9487936100680852</v>
      </c>
      <c r="Q914" s="8">
        <v>0.20833333333333334</v>
      </c>
      <c r="R914" s="8">
        <v>0.88541666666666663</v>
      </c>
      <c r="S914" s="6">
        <f t="shared" si="42"/>
        <v>16.25</v>
      </c>
      <c r="T914" s="5">
        <f t="shared" si="43"/>
        <v>0.11992576061957447</v>
      </c>
      <c r="U914" s="3">
        <v>2.21</v>
      </c>
      <c r="V914" s="5">
        <f t="shared" si="44"/>
        <v>5.4265050054106097E-2</v>
      </c>
      <c r="W914" s="3">
        <v>5.4265050054106097E-2</v>
      </c>
    </row>
    <row r="915" spans="1:23" x14ac:dyDescent="0.55000000000000004">
      <c r="A915" s="3">
        <v>35</v>
      </c>
      <c r="B915" s="3" t="s">
        <v>51</v>
      </c>
      <c r="C915" s="3" t="s">
        <v>50</v>
      </c>
      <c r="D915" s="3" t="s">
        <v>9</v>
      </c>
      <c r="E915" s="3" t="s">
        <v>35</v>
      </c>
      <c r="F915" s="3">
        <v>82</v>
      </c>
      <c r="G915" s="4">
        <v>32.200000000000003</v>
      </c>
      <c r="H915" s="4">
        <v>70.7</v>
      </c>
      <c r="I915" s="6">
        <v>4.8957166596126918</v>
      </c>
      <c r="J915" s="5">
        <v>6.6000000000000003E-2</v>
      </c>
      <c r="K915" s="4">
        <v>28</v>
      </c>
      <c r="L915" s="4">
        <v>39.5</v>
      </c>
      <c r="M915" s="6">
        <v>2.9427997273891862</v>
      </c>
      <c r="N915" s="5">
        <v>0.06</v>
      </c>
      <c r="O915" s="5">
        <v>1.9529169322235056</v>
      </c>
      <c r="P915" s="5">
        <v>1.9529169322235056</v>
      </c>
      <c r="Q915" s="8">
        <v>0.20833333333333334</v>
      </c>
      <c r="R915" s="8">
        <v>0.88541666666666663</v>
      </c>
      <c r="S915" s="6">
        <f t="shared" si="42"/>
        <v>16.25</v>
      </c>
      <c r="T915" s="5">
        <f t="shared" si="43"/>
        <v>0.1201795035214465</v>
      </c>
      <c r="U915" s="3">
        <v>2.21</v>
      </c>
      <c r="V915" s="5">
        <f t="shared" si="44"/>
        <v>5.4379865846808373E-2</v>
      </c>
      <c r="W915" s="3">
        <v>5.4379865846808373E-2</v>
      </c>
    </row>
    <row r="916" spans="1:23" x14ac:dyDescent="0.55000000000000004">
      <c r="A916" s="3">
        <v>11</v>
      </c>
      <c r="B916" s="3" t="s">
        <v>53</v>
      </c>
      <c r="C916" s="3" t="s">
        <v>49</v>
      </c>
      <c r="D916" s="3" t="s">
        <v>41</v>
      </c>
      <c r="E916" s="3" t="s">
        <v>27</v>
      </c>
      <c r="F916" s="3">
        <v>54</v>
      </c>
      <c r="G916" s="4">
        <v>27.3</v>
      </c>
      <c r="H916" s="4">
        <v>77.400000000000006</v>
      </c>
      <c r="I916" s="6">
        <v>5.8393930383759365</v>
      </c>
      <c r="J916" s="5">
        <v>6.5000000000000002E-2</v>
      </c>
      <c r="K916" s="4">
        <v>24.2</v>
      </c>
      <c r="L916" s="4">
        <v>48.2</v>
      </c>
      <c r="M916" s="6">
        <v>3.8502931234603919</v>
      </c>
      <c r="N916" s="5">
        <v>6.0999999999999999E-2</v>
      </c>
      <c r="O916" s="5">
        <v>1.9890999149155446</v>
      </c>
      <c r="P916" s="5">
        <v>1.9890999149155446</v>
      </c>
      <c r="Q916" s="8">
        <v>0.20833333333333334</v>
      </c>
      <c r="R916" s="8">
        <v>0.89583333333333337</v>
      </c>
      <c r="S916" s="6">
        <f t="shared" si="42"/>
        <v>16.5</v>
      </c>
      <c r="T916" s="5">
        <f t="shared" si="43"/>
        <v>0.1205515099948815</v>
      </c>
      <c r="U916" s="3">
        <v>2.21</v>
      </c>
      <c r="V916" s="5">
        <f t="shared" si="44"/>
        <v>5.4548194567819681E-2</v>
      </c>
      <c r="W916" s="3">
        <v>5.4548194567819681E-2</v>
      </c>
    </row>
    <row r="917" spans="1:23" x14ac:dyDescent="0.55000000000000004">
      <c r="A917" s="3">
        <v>41</v>
      </c>
      <c r="B917" s="3" t="s">
        <v>51</v>
      </c>
      <c r="C917" s="3" t="s">
        <v>50</v>
      </c>
      <c r="D917" s="3" t="s">
        <v>9</v>
      </c>
      <c r="E917" s="2" t="s">
        <v>17</v>
      </c>
      <c r="F917" s="3">
        <v>19</v>
      </c>
      <c r="G917" s="4">
        <v>22</v>
      </c>
      <c r="H917" s="4">
        <v>89.3</v>
      </c>
      <c r="I917" s="6">
        <v>7.4399559316415278</v>
      </c>
      <c r="J917" s="5">
        <v>3.9E-2</v>
      </c>
      <c r="K917" s="4">
        <v>17</v>
      </c>
      <c r="L917" s="4">
        <v>59.5</v>
      </c>
      <c r="M917" s="6">
        <v>5.4830380737615769</v>
      </c>
      <c r="N917" s="5">
        <v>3.5999999999999997E-2</v>
      </c>
      <c r="O917" s="5">
        <v>1.9569178578799509</v>
      </c>
      <c r="P917" s="5">
        <v>1.9569178578799509</v>
      </c>
      <c r="Q917" s="8">
        <v>0.19930555555555554</v>
      </c>
      <c r="R917" s="8">
        <v>0.875</v>
      </c>
      <c r="S917" s="6">
        <f t="shared" si="42"/>
        <v>16.216666666666669</v>
      </c>
      <c r="T917" s="5">
        <f t="shared" si="43"/>
        <v>0.12067324920123025</v>
      </c>
      <c r="U917" s="3">
        <v>2.21</v>
      </c>
      <c r="V917" s="5">
        <f t="shared" si="44"/>
        <v>5.4603280181552152E-2</v>
      </c>
      <c r="W917" s="3">
        <v>5.4603280181552152E-2</v>
      </c>
    </row>
    <row r="918" spans="1:23" x14ac:dyDescent="0.55000000000000004">
      <c r="A918" s="3">
        <v>58</v>
      </c>
      <c r="B918" s="3" t="s">
        <v>53</v>
      </c>
      <c r="C918" s="3" t="s">
        <v>49</v>
      </c>
      <c r="D918" s="3" t="s">
        <v>41</v>
      </c>
      <c r="E918" s="3" t="s">
        <v>28</v>
      </c>
      <c r="F918" s="3">
        <v>58</v>
      </c>
      <c r="G918" s="4">
        <v>27.8</v>
      </c>
      <c r="H918" s="4">
        <v>85.9</v>
      </c>
      <c r="I918" s="6">
        <v>6.422624653780324</v>
      </c>
      <c r="J918" s="5">
        <v>5.8999999999999997E-2</v>
      </c>
      <c r="K918" s="4">
        <v>23.9</v>
      </c>
      <c r="L918" s="4">
        <v>55.4</v>
      </c>
      <c r="M918" s="6">
        <v>4.4505625796359682</v>
      </c>
      <c r="N918" s="5">
        <v>5.7000000000000002E-2</v>
      </c>
      <c r="O918" s="5">
        <v>1.9720620741443557</v>
      </c>
      <c r="P918" s="5">
        <v>1.9720620741443557</v>
      </c>
      <c r="Q918" s="8">
        <v>0.20833333333333334</v>
      </c>
      <c r="R918" s="8">
        <v>0.88888888888888884</v>
      </c>
      <c r="S918" s="6">
        <f t="shared" si="42"/>
        <v>16.333333333333332</v>
      </c>
      <c r="T918" s="5">
        <f t="shared" si="43"/>
        <v>0.12073849433536873</v>
      </c>
      <c r="U918" s="3">
        <v>2.21</v>
      </c>
      <c r="V918" s="5">
        <f t="shared" si="44"/>
        <v>5.4632802866682678E-2</v>
      </c>
      <c r="W918" s="3">
        <v>5.4632802866682678E-2</v>
      </c>
    </row>
    <row r="919" spans="1:23" x14ac:dyDescent="0.55000000000000004">
      <c r="A919" s="3">
        <v>59</v>
      </c>
      <c r="B919" s="3" t="s">
        <v>52</v>
      </c>
      <c r="C919" s="3" t="s">
        <v>49</v>
      </c>
      <c r="D919" s="3" t="s">
        <v>40</v>
      </c>
      <c r="E919" s="3" t="s">
        <v>31</v>
      </c>
      <c r="F919" s="3">
        <v>68</v>
      </c>
      <c r="G919" s="4">
        <v>25.7</v>
      </c>
      <c r="H919" s="4">
        <v>85</v>
      </c>
      <c r="I919" s="6">
        <v>6.6027602634225175</v>
      </c>
      <c r="J919" s="5">
        <v>5.8000000000000003E-2</v>
      </c>
      <c r="K919" s="4">
        <v>24.3</v>
      </c>
      <c r="L919" s="4">
        <v>58.2</v>
      </c>
      <c r="M919" s="6">
        <v>4.6403694259666972</v>
      </c>
      <c r="N919" s="5">
        <v>5.6000000000000001E-2</v>
      </c>
      <c r="O919" s="5">
        <v>1.9623908374558203</v>
      </c>
      <c r="P919" s="5">
        <v>1.9623908374558203</v>
      </c>
      <c r="Q919" s="8">
        <v>0.20833333333333334</v>
      </c>
      <c r="R919" s="8">
        <v>0.88541666666666663</v>
      </c>
      <c r="S919" s="6">
        <f t="shared" si="42"/>
        <v>16.25</v>
      </c>
      <c r="T919" s="5">
        <f t="shared" si="43"/>
        <v>0.12076251307420433</v>
      </c>
      <c r="U919" s="3">
        <v>2.21</v>
      </c>
      <c r="V919" s="5">
        <f t="shared" si="44"/>
        <v>5.4643671074300605E-2</v>
      </c>
      <c r="W919" s="3">
        <v>5.4643671074300605E-2</v>
      </c>
    </row>
    <row r="920" spans="1:23" x14ac:dyDescent="0.55000000000000004">
      <c r="A920" s="3">
        <v>46</v>
      </c>
      <c r="B920" s="3" t="s">
        <v>51</v>
      </c>
      <c r="C920" s="3" t="s">
        <v>49</v>
      </c>
      <c r="D920" s="3" t="s">
        <v>39</v>
      </c>
      <c r="E920" s="3" t="s">
        <v>26</v>
      </c>
      <c r="F920" s="3">
        <v>51</v>
      </c>
      <c r="G920" s="4">
        <v>27.3</v>
      </c>
      <c r="H920" s="4">
        <v>104</v>
      </c>
      <c r="I920" s="6">
        <v>7.8462128681020324</v>
      </c>
      <c r="J920" s="5">
        <v>6.2E-2</v>
      </c>
      <c r="K920" s="4">
        <v>24.4</v>
      </c>
      <c r="L920" s="4">
        <v>74.3</v>
      </c>
      <c r="M920" s="6">
        <v>5.912924544809866</v>
      </c>
      <c r="N920" s="5">
        <v>5.8999999999999997E-2</v>
      </c>
      <c r="O920" s="5">
        <v>1.9332883232921665</v>
      </c>
      <c r="P920" s="5">
        <v>1.9332883232921665</v>
      </c>
      <c r="Q920" s="8">
        <v>0.20833333333333334</v>
      </c>
      <c r="R920" s="8">
        <v>0.875</v>
      </c>
      <c r="S920" s="6">
        <f t="shared" si="42"/>
        <v>16</v>
      </c>
      <c r="T920" s="5">
        <f t="shared" si="43"/>
        <v>0.12083052020576041</v>
      </c>
      <c r="U920" s="3">
        <v>2.21</v>
      </c>
      <c r="V920" s="5">
        <f t="shared" si="44"/>
        <v>5.4674443532018287E-2</v>
      </c>
      <c r="W920" s="3">
        <v>5.4674443532018287E-2</v>
      </c>
    </row>
    <row r="921" spans="1:23" x14ac:dyDescent="0.55000000000000004">
      <c r="A921" s="3">
        <v>37</v>
      </c>
      <c r="B921" s="3" t="s">
        <v>53</v>
      </c>
      <c r="C921" s="3" t="s">
        <v>50</v>
      </c>
      <c r="D921" s="3" t="s">
        <v>11</v>
      </c>
      <c r="E921" s="2" t="s">
        <v>20</v>
      </c>
      <c r="F921" s="3">
        <v>30</v>
      </c>
      <c r="G921" s="4">
        <v>27.3</v>
      </c>
      <c r="H921" s="4">
        <v>104.4</v>
      </c>
      <c r="I921" s="6">
        <v>7.8763906099024261</v>
      </c>
      <c r="J921" s="5">
        <v>4.5999999999999999E-2</v>
      </c>
      <c r="K921" s="4">
        <v>23.9</v>
      </c>
      <c r="L921" s="4">
        <v>73.599999999999994</v>
      </c>
      <c r="M921" s="6">
        <v>5.9126607556174591</v>
      </c>
      <c r="N921" s="5">
        <v>4.3999999999999997E-2</v>
      </c>
      <c r="O921" s="5">
        <v>1.963729854284967</v>
      </c>
      <c r="P921" s="5">
        <v>1.963729854284967</v>
      </c>
      <c r="Q921" s="8">
        <v>0.20833333333333334</v>
      </c>
      <c r="R921" s="8">
        <v>0.88541666666666663</v>
      </c>
      <c r="S921" s="6">
        <f t="shared" si="42"/>
        <v>16.25</v>
      </c>
      <c r="T921" s="5">
        <f t="shared" si="43"/>
        <v>0.12084491410984413</v>
      </c>
      <c r="U921" s="3">
        <v>2.21</v>
      </c>
      <c r="V921" s="5">
        <f t="shared" si="44"/>
        <v>5.46809566107892E-2</v>
      </c>
      <c r="W921" s="3">
        <v>5.46809566107892E-2</v>
      </c>
    </row>
    <row r="922" spans="1:23" x14ac:dyDescent="0.55000000000000004">
      <c r="A922" s="3">
        <v>39</v>
      </c>
      <c r="B922" s="3" t="s">
        <v>51</v>
      </c>
      <c r="C922" s="3" t="s">
        <v>50</v>
      </c>
      <c r="D922" s="3" t="s">
        <v>9</v>
      </c>
      <c r="E922" s="2" t="s">
        <v>20</v>
      </c>
      <c r="F922" s="3">
        <v>30</v>
      </c>
      <c r="G922" s="4">
        <v>27.3</v>
      </c>
      <c r="H922" s="4">
        <v>95.3</v>
      </c>
      <c r="I922" s="6">
        <v>7.1898469839434975</v>
      </c>
      <c r="J922" s="5">
        <v>4.3999999999999997E-2</v>
      </c>
      <c r="K922" s="4">
        <v>24.1</v>
      </c>
      <c r="L922" s="4">
        <v>65.3</v>
      </c>
      <c r="M922" s="6">
        <v>5.2261065285351265</v>
      </c>
      <c r="N922" s="5">
        <v>4.3999999999999997E-2</v>
      </c>
      <c r="O922" s="5">
        <v>1.9637404554083711</v>
      </c>
      <c r="P922" s="5">
        <v>1.9637404554083711</v>
      </c>
      <c r="Q922" s="8">
        <v>0.20833333333333334</v>
      </c>
      <c r="R922" s="8">
        <v>0.88541666666666663</v>
      </c>
      <c r="S922" s="6">
        <f t="shared" si="42"/>
        <v>16.25</v>
      </c>
      <c r="T922" s="5">
        <f t="shared" si="43"/>
        <v>0.12084556648666898</v>
      </c>
      <c r="U922" s="3">
        <v>2.21</v>
      </c>
      <c r="V922" s="5">
        <f t="shared" si="44"/>
        <v>5.4681251803922623E-2</v>
      </c>
      <c r="W922" s="3">
        <v>5.4681251803922623E-2</v>
      </c>
    </row>
    <row r="923" spans="1:23" x14ac:dyDescent="0.55000000000000004">
      <c r="A923" s="3">
        <v>55</v>
      </c>
      <c r="B923" s="3" t="s">
        <v>52</v>
      </c>
      <c r="C923" s="3" t="s">
        <v>49</v>
      </c>
      <c r="D923" s="3" t="s">
        <v>40</v>
      </c>
      <c r="E923" s="2" t="s">
        <v>19</v>
      </c>
      <c r="F923" s="3">
        <v>26</v>
      </c>
      <c r="G923" s="4">
        <v>23.7</v>
      </c>
      <c r="H923" s="4">
        <v>94.3</v>
      </c>
      <c r="I923" s="6">
        <v>7.6043396041642053</v>
      </c>
      <c r="J923" s="5">
        <v>4.1000000000000002E-2</v>
      </c>
      <c r="K923" s="4">
        <v>23</v>
      </c>
      <c r="L923" s="4">
        <v>69</v>
      </c>
      <c r="M923" s="6">
        <v>5.6388663570785322</v>
      </c>
      <c r="N923" s="5">
        <v>3.6999999999999998E-2</v>
      </c>
      <c r="O923" s="5">
        <v>1.9654732470856731</v>
      </c>
      <c r="P923" s="5">
        <v>1.9654732470856731</v>
      </c>
      <c r="Q923" s="8">
        <v>0.20833333333333334</v>
      </c>
      <c r="R923" s="8">
        <v>0.88541666666666663</v>
      </c>
      <c r="S923" s="6">
        <f t="shared" si="42"/>
        <v>16.25</v>
      </c>
      <c r="T923" s="5">
        <f t="shared" si="43"/>
        <v>0.1209521998206568</v>
      </c>
      <c r="U923" s="3">
        <v>2.21</v>
      </c>
      <c r="V923" s="5">
        <f t="shared" si="44"/>
        <v>5.4729502181292675E-2</v>
      </c>
      <c r="W923" s="3">
        <v>5.4729502181292675E-2</v>
      </c>
    </row>
    <row r="924" spans="1:23" x14ac:dyDescent="0.55000000000000004">
      <c r="A924" s="3">
        <v>58</v>
      </c>
      <c r="B924" s="3" t="s">
        <v>53</v>
      </c>
      <c r="C924" s="3" t="s">
        <v>49</v>
      </c>
      <c r="D924" s="3" t="s">
        <v>41</v>
      </c>
      <c r="E924" s="3" t="s">
        <v>27</v>
      </c>
      <c r="F924" s="3">
        <v>54</v>
      </c>
      <c r="G924" s="4">
        <v>28.4</v>
      </c>
      <c r="H924" s="4">
        <v>97.9</v>
      </c>
      <c r="I924" s="6">
        <v>7.2418070409630069</v>
      </c>
      <c r="J924" s="5">
        <v>5.8000000000000003E-2</v>
      </c>
      <c r="K924" s="4">
        <v>25</v>
      </c>
      <c r="L924" s="4">
        <v>66.599999999999994</v>
      </c>
      <c r="M924" s="6">
        <v>5.241011295511627</v>
      </c>
      <c r="N924" s="5">
        <v>5.5E-2</v>
      </c>
      <c r="O924" s="5">
        <v>2.0007957454513798</v>
      </c>
      <c r="P924" s="5">
        <v>2.0007957454513798</v>
      </c>
      <c r="Q924" s="8">
        <v>0.20833333333333334</v>
      </c>
      <c r="R924" s="8">
        <v>0.89583333333333337</v>
      </c>
      <c r="S924" s="6">
        <f t="shared" si="42"/>
        <v>16.5</v>
      </c>
      <c r="T924" s="5">
        <f t="shared" si="43"/>
        <v>0.12126034820917453</v>
      </c>
      <c r="U924" s="3">
        <v>2.21</v>
      </c>
      <c r="V924" s="5">
        <f t="shared" si="44"/>
        <v>5.4868935841255448E-2</v>
      </c>
      <c r="W924" s="3">
        <v>5.4868935841255448E-2</v>
      </c>
    </row>
    <row r="925" spans="1:23" x14ac:dyDescent="0.55000000000000004">
      <c r="A925" s="3">
        <v>12</v>
      </c>
      <c r="B925" s="3" t="s">
        <v>53</v>
      </c>
      <c r="C925" s="3" t="s">
        <v>50</v>
      </c>
      <c r="D925" s="3" t="s">
        <v>11</v>
      </c>
      <c r="E925" s="2" t="s">
        <v>15</v>
      </c>
      <c r="F925" s="3">
        <v>12</v>
      </c>
      <c r="G925" s="4">
        <v>22.4</v>
      </c>
      <c r="H925" s="4">
        <v>120.4</v>
      </c>
      <c r="I925" s="6">
        <v>9.9536076964078912</v>
      </c>
      <c r="J925" s="5">
        <v>4.3999999999999997E-2</v>
      </c>
      <c r="K925" s="4">
        <v>19.5</v>
      </c>
      <c r="L925" s="4">
        <v>91.7</v>
      </c>
      <c r="M925" s="6">
        <v>8.0273007629525708</v>
      </c>
      <c r="N925" s="5">
        <v>4.4999999999999998E-2</v>
      </c>
      <c r="O925" s="5">
        <v>1.9263069334553204</v>
      </c>
      <c r="P925" s="5">
        <v>1.9263069334553204</v>
      </c>
      <c r="Q925" s="8">
        <v>0.21319444444444444</v>
      </c>
      <c r="R925" s="8">
        <v>0.875</v>
      </c>
      <c r="S925" s="6">
        <f t="shared" si="42"/>
        <v>15.883333333333333</v>
      </c>
      <c r="T925" s="5">
        <f t="shared" si="43"/>
        <v>0.12127850577892889</v>
      </c>
      <c r="U925" s="3">
        <v>2.21</v>
      </c>
      <c r="V925" s="5">
        <f t="shared" si="44"/>
        <v>5.4877151936166914E-2</v>
      </c>
      <c r="W925" s="3">
        <v>5.4877151936166914E-2</v>
      </c>
    </row>
    <row r="926" spans="1:23" x14ac:dyDescent="0.55000000000000004">
      <c r="A926" s="3">
        <v>49</v>
      </c>
      <c r="B926" s="3" t="s">
        <v>51</v>
      </c>
      <c r="C926" s="3" t="s">
        <v>49</v>
      </c>
      <c r="D926" s="3" t="s">
        <v>39</v>
      </c>
      <c r="E926" s="2" t="s">
        <v>21</v>
      </c>
      <c r="F926" s="3">
        <v>33</v>
      </c>
      <c r="G926" s="4">
        <v>30.1</v>
      </c>
      <c r="H926" s="4">
        <v>98.8</v>
      </c>
      <c r="I926" s="6">
        <v>7.0929373990615625</v>
      </c>
      <c r="J926" s="5">
        <v>4.8000000000000001E-2</v>
      </c>
      <c r="K926" s="4">
        <v>26.3</v>
      </c>
      <c r="L926" s="4">
        <v>66.8</v>
      </c>
      <c r="M926" s="6">
        <v>5.1321125992314993</v>
      </c>
      <c r="N926" s="5">
        <v>4.7E-2</v>
      </c>
      <c r="O926" s="5">
        <v>1.9608247998300632</v>
      </c>
      <c r="P926" s="5">
        <v>1.9608247998300632</v>
      </c>
      <c r="Q926" s="8">
        <v>0.20833333333333334</v>
      </c>
      <c r="R926" s="8">
        <v>0.88194444444444453</v>
      </c>
      <c r="S926" s="6">
        <f t="shared" si="42"/>
        <v>16.166666666666668</v>
      </c>
      <c r="T926" s="5">
        <f t="shared" si="43"/>
        <v>0.12128813194825132</v>
      </c>
      <c r="U926" s="3">
        <v>2.21</v>
      </c>
      <c r="V926" s="5">
        <f t="shared" si="44"/>
        <v>5.4881507668892007E-2</v>
      </c>
      <c r="W926" s="3">
        <v>5.4881507668892007E-2</v>
      </c>
    </row>
    <row r="927" spans="1:23" x14ac:dyDescent="0.55000000000000004">
      <c r="A927" s="3">
        <v>63</v>
      </c>
      <c r="B927" s="3" t="s">
        <v>51</v>
      </c>
      <c r="C927" s="3" t="s">
        <v>49</v>
      </c>
      <c r="D927" s="3" t="s">
        <v>39</v>
      </c>
      <c r="E927" s="2" t="s">
        <v>22</v>
      </c>
      <c r="F927" s="3">
        <v>37</v>
      </c>
      <c r="G927" s="4">
        <v>30.6</v>
      </c>
      <c r="H927" s="4">
        <v>103.3</v>
      </c>
      <c r="I927" s="6">
        <v>7.3519181705355905</v>
      </c>
      <c r="J927" s="5">
        <v>5.2999999999999999E-2</v>
      </c>
      <c r="K927" s="4">
        <v>25.4</v>
      </c>
      <c r="L927" s="4">
        <v>68.599999999999994</v>
      </c>
      <c r="M927" s="6">
        <v>5.358445397075446</v>
      </c>
      <c r="N927" s="5">
        <v>0.05</v>
      </c>
      <c r="O927" s="5">
        <v>1.9934727734601445</v>
      </c>
      <c r="P927" s="5">
        <v>1.9934727734601445</v>
      </c>
      <c r="Q927" s="8">
        <v>0.20138888888888887</v>
      </c>
      <c r="R927" s="8">
        <v>0.88541666666666663</v>
      </c>
      <c r="S927" s="6">
        <f t="shared" si="42"/>
        <v>16.416666666666668</v>
      </c>
      <c r="T927" s="5">
        <f t="shared" si="43"/>
        <v>0.12142981361178544</v>
      </c>
      <c r="U927" s="3">
        <v>2.21</v>
      </c>
      <c r="V927" s="5">
        <f t="shared" si="44"/>
        <v>5.494561701890744E-2</v>
      </c>
      <c r="W927" s="3">
        <v>5.494561701890744E-2</v>
      </c>
    </row>
    <row r="928" spans="1:23" x14ac:dyDescent="0.55000000000000004">
      <c r="A928" s="3">
        <v>16</v>
      </c>
      <c r="B928" s="3" t="s">
        <v>52</v>
      </c>
      <c r="C928" s="3" t="s">
        <v>50</v>
      </c>
      <c r="D928" s="3" t="s">
        <v>12</v>
      </c>
      <c r="E928" s="2" t="s">
        <v>25</v>
      </c>
      <c r="F928" s="3">
        <v>47</v>
      </c>
      <c r="G928" s="4">
        <v>28.1</v>
      </c>
      <c r="H928" s="4">
        <v>67.900000000000006</v>
      </c>
      <c r="I928" s="6">
        <v>5.0496006051742777</v>
      </c>
      <c r="J928" s="5">
        <v>6.7000000000000004E-2</v>
      </c>
      <c r="K928" s="4">
        <v>24.9</v>
      </c>
      <c r="L928" s="4">
        <v>38.6</v>
      </c>
      <c r="M928" s="6">
        <v>3.0432489695512284</v>
      </c>
      <c r="N928" s="5">
        <v>6.4000000000000001E-2</v>
      </c>
      <c r="O928" s="5">
        <v>2.0063516356230493</v>
      </c>
      <c r="P928" s="5">
        <v>2.0063516356230493</v>
      </c>
      <c r="Q928" s="8">
        <v>0.20833333333333334</v>
      </c>
      <c r="R928" s="8">
        <v>0.89583333333333337</v>
      </c>
      <c r="S928" s="6">
        <f t="shared" si="42"/>
        <v>16.5</v>
      </c>
      <c r="T928" s="5">
        <f t="shared" si="43"/>
        <v>0.12159706882563935</v>
      </c>
      <c r="U928" s="3">
        <v>2.21</v>
      </c>
      <c r="V928" s="5">
        <f t="shared" si="44"/>
        <v>5.5021298111149024E-2</v>
      </c>
      <c r="W928" s="3">
        <v>5.5021298111149024E-2</v>
      </c>
    </row>
    <row r="929" spans="1:23" x14ac:dyDescent="0.55000000000000004">
      <c r="A929" s="3">
        <v>1</v>
      </c>
      <c r="B929" s="3" t="s">
        <v>51</v>
      </c>
      <c r="C929" s="3" t="s">
        <v>49</v>
      </c>
      <c r="D929" s="3" t="s">
        <v>39</v>
      </c>
      <c r="E929" s="2" t="s">
        <v>25</v>
      </c>
      <c r="F929" s="3">
        <v>47</v>
      </c>
      <c r="G929" s="4">
        <v>28.5</v>
      </c>
      <c r="H929" s="4">
        <v>78</v>
      </c>
      <c r="I929" s="6">
        <v>5.759523320847646</v>
      </c>
      <c r="J929" s="5">
        <v>5.8000000000000003E-2</v>
      </c>
      <c r="K929" s="4">
        <v>24.8</v>
      </c>
      <c r="L929" s="4">
        <v>47.5</v>
      </c>
      <c r="M929" s="6">
        <v>3.751925578838684</v>
      </c>
      <c r="N929" s="5">
        <v>5.5E-2</v>
      </c>
      <c r="O929" s="5">
        <v>2.0075977420089619</v>
      </c>
      <c r="P929" s="5">
        <v>2.0075977420089619</v>
      </c>
      <c r="Q929" s="8">
        <v>0.20833333333333334</v>
      </c>
      <c r="R929" s="8">
        <v>0.89583333333333337</v>
      </c>
      <c r="S929" s="6">
        <f t="shared" si="42"/>
        <v>16.5</v>
      </c>
      <c r="T929" s="5">
        <f t="shared" si="43"/>
        <v>0.12167259042478556</v>
      </c>
      <c r="U929" s="3">
        <v>2.21</v>
      </c>
      <c r="V929" s="5">
        <f t="shared" si="44"/>
        <v>5.505547078044596E-2</v>
      </c>
      <c r="W929" s="3">
        <v>5.505547078044596E-2</v>
      </c>
    </row>
    <row r="930" spans="1:23" x14ac:dyDescent="0.55000000000000004">
      <c r="A930" s="3">
        <v>32</v>
      </c>
      <c r="B930" s="3" t="s">
        <v>53</v>
      </c>
      <c r="C930" s="3" t="s">
        <v>50</v>
      </c>
      <c r="D930" s="3" t="s">
        <v>11</v>
      </c>
      <c r="E930" s="3" t="s">
        <v>26</v>
      </c>
      <c r="F930" s="3">
        <v>51</v>
      </c>
      <c r="G930" s="4">
        <v>26.9</v>
      </c>
      <c r="H930" s="4">
        <v>70</v>
      </c>
      <c r="I930" s="6">
        <v>5.3194820366562707</v>
      </c>
      <c r="J930" s="5">
        <v>6.5000000000000002E-2</v>
      </c>
      <c r="K930" s="4">
        <v>24.3</v>
      </c>
      <c r="L930" s="4">
        <v>42.3</v>
      </c>
      <c r="M930" s="6">
        <v>3.3726396343366196</v>
      </c>
      <c r="N930" s="5">
        <v>6.3E-2</v>
      </c>
      <c r="O930" s="5">
        <v>1.9468424023196511</v>
      </c>
      <c r="P930" s="5">
        <v>1.9468424023196511</v>
      </c>
      <c r="Q930" s="8">
        <v>0.20833333333333334</v>
      </c>
      <c r="R930" s="8">
        <v>0.875</v>
      </c>
      <c r="S930" s="6">
        <f t="shared" si="42"/>
        <v>16</v>
      </c>
      <c r="T930" s="5">
        <f t="shared" si="43"/>
        <v>0.12167765014497819</v>
      </c>
      <c r="U930" s="3">
        <v>2.21</v>
      </c>
      <c r="V930" s="5">
        <f t="shared" si="44"/>
        <v>5.505776024659647E-2</v>
      </c>
      <c r="W930" s="3">
        <v>5.505776024659647E-2</v>
      </c>
    </row>
    <row r="931" spans="1:23" x14ac:dyDescent="0.55000000000000004">
      <c r="A931" s="3">
        <v>38</v>
      </c>
      <c r="B931" s="3" t="s">
        <v>51</v>
      </c>
      <c r="C931" s="3" t="s">
        <v>49</v>
      </c>
      <c r="D931" s="3" t="s">
        <v>39</v>
      </c>
      <c r="E931" s="2" t="s">
        <v>21</v>
      </c>
      <c r="F931" s="3">
        <v>33</v>
      </c>
      <c r="G931" s="4">
        <v>30.4</v>
      </c>
      <c r="H931" s="4">
        <v>104.4</v>
      </c>
      <c r="I931" s="6">
        <v>7.4559936399353326</v>
      </c>
      <c r="J931" s="5">
        <v>0.05</v>
      </c>
      <c r="K931" s="4">
        <v>26.2</v>
      </c>
      <c r="L931" s="4">
        <v>71.3</v>
      </c>
      <c r="M931" s="6">
        <v>5.4878769847717557</v>
      </c>
      <c r="N931" s="5">
        <v>4.5999999999999999E-2</v>
      </c>
      <c r="O931" s="5">
        <v>1.9681166551635769</v>
      </c>
      <c r="P931" s="5">
        <v>1.9681166551635769</v>
      </c>
      <c r="Q931" s="8">
        <v>0.20833333333333334</v>
      </c>
      <c r="R931" s="8">
        <v>0.88194444444444453</v>
      </c>
      <c r="S931" s="6">
        <f t="shared" si="42"/>
        <v>16.166666666666668</v>
      </c>
      <c r="T931" s="5">
        <f t="shared" si="43"/>
        <v>0.12173917454620063</v>
      </c>
      <c r="U931" s="3">
        <v>2.21</v>
      </c>
      <c r="V931" s="5">
        <f t="shared" si="44"/>
        <v>5.5085599342172234E-2</v>
      </c>
      <c r="W931" s="3">
        <v>5.5085599342172234E-2</v>
      </c>
    </row>
    <row r="932" spans="1:23" x14ac:dyDescent="0.55000000000000004">
      <c r="A932" s="3">
        <v>20</v>
      </c>
      <c r="B932" s="3" t="s">
        <v>52</v>
      </c>
      <c r="C932" s="3" t="s">
        <v>50</v>
      </c>
      <c r="D932" s="3" t="s">
        <v>12</v>
      </c>
      <c r="E932" s="3" t="s">
        <v>35</v>
      </c>
      <c r="F932" s="3">
        <v>82</v>
      </c>
      <c r="G932" s="4">
        <v>32.1</v>
      </c>
      <c r="H932" s="4">
        <v>72.3</v>
      </c>
      <c r="I932" s="6">
        <v>5.0150152575502291</v>
      </c>
      <c r="J932" s="5">
        <v>5.8999999999999997E-2</v>
      </c>
      <c r="K932" s="4">
        <v>27.8</v>
      </c>
      <c r="L932" s="4">
        <v>40.6</v>
      </c>
      <c r="M932" s="6">
        <v>3.035606064534123</v>
      </c>
      <c r="N932" s="5">
        <v>5.2999999999999999E-2</v>
      </c>
      <c r="O932" s="5">
        <v>1.9794091930161062</v>
      </c>
      <c r="P932" s="5">
        <v>1.9794091930161062</v>
      </c>
      <c r="Q932" s="8">
        <v>0.20833333333333334</v>
      </c>
      <c r="R932" s="8">
        <v>0.88541666666666663</v>
      </c>
      <c r="S932" s="6">
        <f t="shared" si="42"/>
        <v>16.25</v>
      </c>
      <c r="T932" s="5">
        <f t="shared" si="43"/>
        <v>0.12180979649329884</v>
      </c>
      <c r="U932" s="3">
        <v>2.21</v>
      </c>
      <c r="V932" s="5">
        <f t="shared" si="44"/>
        <v>5.5117554974343369E-2</v>
      </c>
      <c r="W932" s="3">
        <v>5.5117554974343369E-2</v>
      </c>
    </row>
    <row r="933" spans="1:23" x14ac:dyDescent="0.55000000000000004">
      <c r="A933" s="3">
        <v>41</v>
      </c>
      <c r="B933" s="3" t="s">
        <v>51</v>
      </c>
      <c r="C933" s="3" t="s">
        <v>50</v>
      </c>
      <c r="D933" s="3" t="s">
        <v>9</v>
      </c>
      <c r="E933" s="3" t="s">
        <v>27</v>
      </c>
      <c r="F933" s="3">
        <v>54</v>
      </c>
      <c r="G933" s="4">
        <v>28.2</v>
      </c>
      <c r="H933" s="4">
        <v>102.8</v>
      </c>
      <c r="I933" s="6">
        <v>7.631414220572827</v>
      </c>
      <c r="J933" s="5">
        <v>5.1999999999999998E-2</v>
      </c>
      <c r="K933" s="4">
        <v>25.3</v>
      </c>
      <c r="L933" s="4">
        <v>71.8</v>
      </c>
      <c r="M933" s="6">
        <v>5.6188058552627203</v>
      </c>
      <c r="N933" s="5">
        <v>4.5999999999999999E-2</v>
      </c>
      <c r="O933" s="5">
        <v>2.0126083653101068</v>
      </c>
      <c r="P933" s="5">
        <v>2.0126083653101068</v>
      </c>
      <c r="Q933" s="8">
        <v>0.20833333333333334</v>
      </c>
      <c r="R933" s="8">
        <v>0.89583333333333337</v>
      </c>
      <c r="S933" s="6">
        <f t="shared" si="42"/>
        <v>16.5</v>
      </c>
      <c r="T933" s="5">
        <f t="shared" si="43"/>
        <v>0.1219762645642489</v>
      </c>
      <c r="U933" s="3">
        <v>2.21</v>
      </c>
      <c r="V933" s="5">
        <f t="shared" si="44"/>
        <v>5.5192879893325296E-2</v>
      </c>
      <c r="W933" s="3">
        <v>5.5192879893325296E-2</v>
      </c>
    </row>
    <row r="934" spans="1:23" x14ac:dyDescent="0.55000000000000004">
      <c r="A934" s="3">
        <v>12</v>
      </c>
      <c r="B934" s="3" t="s">
        <v>53</v>
      </c>
      <c r="C934" s="3" t="s">
        <v>50</v>
      </c>
      <c r="D934" s="3" t="s">
        <v>11</v>
      </c>
      <c r="E934" s="2" t="s">
        <v>17</v>
      </c>
      <c r="F934" s="3">
        <v>19</v>
      </c>
      <c r="G934" s="4">
        <v>22.2</v>
      </c>
      <c r="H934" s="4">
        <v>80.900000000000006</v>
      </c>
      <c r="I934" s="6">
        <v>6.7140190865179408</v>
      </c>
      <c r="J934" s="5">
        <v>5.0999999999999997E-2</v>
      </c>
      <c r="K934" s="4">
        <v>17.100000000000001</v>
      </c>
      <c r="L934" s="4">
        <v>51.5</v>
      </c>
      <c r="M934" s="6">
        <v>4.7359021847279994</v>
      </c>
      <c r="N934" s="5">
        <v>4.7E-2</v>
      </c>
      <c r="O934" s="5">
        <v>1.9781169017899414</v>
      </c>
      <c r="P934" s="5">
        <v>1.9781169017899414</v>
      </c>
      <c r="Q934" s="8">
        <v>0.19930555555555554</v>
      </c>
      <c r="R934" s="8">
        <v>0.875</v>
      </c>
      <c r="S934" s="6">
        <f t="shared" si="42"/>
        <v>16.216666666666669</v>
      </c>
      <c r="T934" s="5">
        <f t="shared" si="43"/>
        <v>0.12198048726351127</v>
      </c>
      <c r="U934" s="3">
        <v>2.21</v>
      </c>
      <c r="V934" s="5">
        <f t="shared" si="44"/>
        <v>5.5194790616973431E-2</v>
      </c>
      <c r="W934" s="3">
        <v>5.5194790616973431E-2</v>
      </c>
    </row>
    <row r="935" spans="1:23" x14ac:dyDescent="0.55000000000000004">
      <c r="A935" s="3">
        <v>42</v>
      </c>
      <c r="B935" s="3" t="s">
        <v>53</v>
      </c>
      <c r="C935" s="3" t="s">
        <v>49</v>
      </c>
      <c r="D935" s="3" t="s">
        <v>41</v>
      </c>
      <c r="E935" s="2" t="s">
        <v>25</v>
      </c>
      <c r="F935" s="3">
        <v>47</v>
      </c>
      <c r="G935" s="4">
        <v>28.2</v>
      </c>
      <c r="H935" s="4">
        <v>67.900000000000006</v>
      </c>
      <c r="I935" s="6">
        <v>5.0405936340164885</v>
      </c>
      <c r="J935" s="5">
        <v>7.4999999999999997E-2</v>
      </c>
      <c r="K935" s="4">
        <v>25.1</v>
      </c>
      <c r="L935" s="4">
        <v>38.5</v>
      </c>
      <c r="M935" s="6">
        <v>3.0240808263408674</v>
      </c>
      <c r="N935" s="5">
        <v>7.0999999999999994E-2</v>
      </c>
      <c r="O935" s="5">
        <v>2.0165128076756211</v>
      </c>
      <c r="P935" s="5">
        <v>2.0165128076756211</v>
      </c>
      <c r="Q935" s="8">
        <v>0.20833333333333334</v>
      </c>
      <c r="R935" s="8">
        <v>0.89583333333333337</v>
      </c>
      <c r="S935" s="6">
        <f t="shared" si="42"/>
        <v>16.5</v>
      </c>
      <c r="T935" s="5">
        <f t="shared" si="43"/>
        <v>0.12221289743488613</v>
      </c>
      <c r="U935" s="3">
        <v>2.21</v>
      </c>
      <c r="V935" s="5">
        <f t="shared" si="44"/>
        <v>5.5299953590446219E-2</v>
      </c>
      <c r="W935" s="3">
        <v>5.5299953590446219E-2</v>
      </c>
    </row>
    <row r="936" spans="1:23" x14ac:dyDescent="0.55000000000000004">
      <c r="A936" s="3">
        <v>59</v>
      </c>
      <c r="B936" s="3" t="s">
        <v>52</v>
      </c>
      <c r="C936" s="3" t="s">
        <v>49</v>
      </c>
      <c r="D936" s="3" t="s">
        <v>40</v>
      </c>
      <c r="E936" s="2" t="s">
        <v>23</v>
      </c>
      <c r="F936" s="3">
        <v>40</v>
      </c>
      <c r="G936" s="4">
        <v>28.9</v>
      </c>
      <c r="H936" s="4">
        <v>90.7</v>
      </c>
      <c r="I936" s="6">
        <v>6.6499739476851065</v>
      </c>
      <c r="J936" s="5">
        <v>5.1999999999999998E-2</v>
      </c>
      <c r="K936" s="4">
        <v>24.3</v>
      </c>
      <c r="L936" s="4">
        <v>58.3</v>
      </c>
      <c r="M936" s="6">
        <v>4.648342569310282</v>
      </c>
      <c r="N936" s="5">
        <v>5.0999999999999997E-2</v>
      </c>
      <c r="O936" s="5">
        <v>2.0016313783748245</v>
      </c>
      <c r="P936" s="5">
        <v>2.0016313783748245</v>
      </c>
      <c r="Q936" s="8">
        <v>0.20833333333333334</v>
      </c>
      <c r="R936" s="8">
        <v>0.89027777777777783</v>
      </c>
      <c r="S936" s="6">
        <f t="shared" si="42"/>
        <v>16.366666666666667</v>
      </c>
      <c r="T936" s="5">
        <f t="shared" si="43"/>
        <v>0.12229926955446993</v>
      </c>
      <c r="U936" s="3">
        <v>2.21</v>
      </c>
      <c r="V936" s="5">
        <f t="shared" si="44"/>
        <v>5.5339035997497704E-2</v>
      </c>
      <c r="W936" s="3">
        <v>5.5339035997497704E-2</v>
      </c>
    </row>
    <row r="937" spans="1:23" x14ac:dyDescent="0.55000000000000004">
      <c r="A937" s="3">
        <v>14</v>
      </c>
      <c r="B937" s="3" t="s">
        <v>48</v>
      </c>
      <c r="C937" s="3" t="s">
        <v>50</v>
      </c>
      <c r="D937" s="3" t="s">
        <v>10</v>
      </c>
      <c r="E937" s="2" t="s">
        <v>24</v>
      </c>
      <c r="F937" s="3">
        <v>44</v>
      </c>
      <c r="G937" s="4">
        <v>25.9</v>
      </c>
      <c r="H937" s="4">
        <v>101.1</v>
      </c>
      <c r="I937" s="6">
        <v>7.8245219091426153</v>
      </c>
      <c r="J937" s="5">
        <v>5.5E-2</v>
      </c>
      <c r="K937" s="4">
        <v>21.3</v>
      </c>
      <c r="L937" s="4">
        <v>68.3</v>
      </c>
      <c r="M937" s="6">
        <v>5.7686624213373969</v>
      </c>
      <c r="N937" s="5">
        <v>5.0999999999999997E-2</v>
      </c>
      <c r="O937" s="5">
        <v>2.0558594878052183</v>
      </c>
      <c r="P937" s="5">
        <v>2.0558594878052183</v>
      </c>
      <c r="Q937" s="8">
        <v>0.20277777777777781</v>
      </c>
      <c r="R937" s="8">
        <v>0.90277777777777779</v>
      </c>
      <c r="S937" s="6">
        <f t="shared" si="42"/>
        <v>16.799999999999997</v>
      </c>
      <c r="T937" s="5">
        <f t="shared" si="43"/>
        <v>0.12237258855983445</v>
      </c>
      <c r="U937" s="3">
        <v>2.21</v>
      </c>
      <c r="V937" s="5">
        <f t="shared" si="44"/>
        <v>5.5372212018024634E-2</v>
      </c>
      <c r="W937" s="3">
        <v>5.5372212018024634E-2</v>
      </c>
    </row>
    <row r="938" spans="1:23" x14ac:dyDescent="0.55000000000000004">
      <c r="A938" s="3">
        <v>21</v>
      </c>
      <c r="B938" s="3" t="s">
        <v>48</v>
      </c>
      <c r="C938" s="3" t="s">
        <v>49</v>
      </c>
      <c r="D938" s="3" t="s">
        <v>38</v>
      </c>
      <c r="E938" s="3" t="s">
        <v>31</v>
      </c>
      <c r="F938" s="3">
        <v>68</v>
      </c>
      <c r="G938" s="4">
        <v>25.3</v>
      </c>
      <c r="H938" s="4">
        <v>68.2</v>
      </c>
      <c r="I938" s="6">
        <v>5.3370829990099935</v>
      </c>
      <c r="J938" s="5">
        <v>9.4E-2</v>
      </c>
      <c r="K938" s="4">
        <v>23.8</v>
      </c>
      <c r="L938" s="4">
        <v>41.6</v>
      </c>
      <c r="M938" s="6">
        <v>3.3482681674974715</v>
      </c>
      <c r="N938" s="5">
        <v>9.0999999999999998E-2</v>
      </c>
      <c r="O938" s="5">
        <v>1.988814831512522</v>
      </c>
      <c r="P938" s="5">
        <v>1.988814831512522</v>
      </c>
      <c r="Q938" s="8">
        <v>0.20833333333333334</v>
      </c>
      <c r="R938" s="8">
        <v>0.88541666666666663</v>
      </c>
      <c r="S938" s="6">
        <f t="shared" si="42"/>
        <v>16.25</v>
      </c>
      <c r="T938" s="5">
        <f t="shared" si="43"/>
        <v>0.1223886050161552</v>
      </c>
      <c r="U938" s="3">
        <v>2.21</v>
      </c>
      <c r="V938" s="5">
        <f t="shared" si="44"/>
        <v>5.5379459283328145E-2</v>
      </c>
      <c r="W938" s="3">
        <v>5.5379459283328145E-2</v>
      </c>
    </row>
    <row r="939" spans="1:23" x14ac:dyDescent="0.55000000000000004">
      <c r="A939" s="3">
        <v>21</v>
      </c>
      <c r="B939" s="3" t="s">
        <v>48</v>
      </c>
      <c r="C939" s="3" t="s">
        <v>49</v>
      </c>
      <c r="D939" s="3" t="s">
        <v>38</v>
      </c>
      <c r="E939" s="2" t="s">
        <v>19</v>
      </c>
      <c r="F939" s="3">
        <v>26</v>
      </c>
      <c r="G939" s="4">
        <v>24.7</v>
      </c>
      <c r="H939" s="4">
        <v>100.4</v>
      </c>
      <c r="I939" s="6">
        <v>7.9452188263557399</v>
      </c>
      <c r="J939" s="5">
        <v>4.4999999999999998E-2</v>
      </c>
      <c r="K939" s="4">
        <v>22.6</v>
      </c>
      <c r="L939" s="4">
        <v>72.3</v>
      </c>
      <c r="M939" s="6">
        <v>5.9541136615316823</v>
      </c>
      <c r="N939" s="5">
        <v>4.2000000000000003E-2</v>
      </c>
      <c r="O939" s="5">
        <v>1.9911051648240576</v>
      </c>
      <c r="P939" s="5">
        <v>1.9911051648240576</v>
      </c>
      <c r="Q939" s="8">
        <v>0.20833333333333334</v>
      </c>
      <c r="R939" s="8">
        <v>0.88541666666666663</v>
      </c>
      <c r="S939" s="6">
        <f t="shared" si="42"/>
        <v>16.25</v>
      </c>
      <c r="T939" s="5">
        <f t="shared" si="43"/>
        <v>0.12252954860455739</v>
      </c>
      <c r="U939" s="3">
        <v>2.21</v>
      </c>
      <c r="V939" s="5">
        <f t="shared" si="44"/>
        <v>5.5443234662695649E-2</v>
      </c>
      <c r="W939" s="3">
        <v>5.5443234662695649E-2</v>
      </c>
    </row>
    <row r="940" spans="1:23" x14ac:dyDescent="0.55000000000000004">
      <c r="A940" s="3">
        <v>8</v>
      </c>
      <c r="B940" s="3" t="s">
        <v>51</v>
      </c>
      <c r="C940" s="3" t="s">
        <v>50</v>
      </c>
      <c r="D940" s="3" t="s">
        <v>9</v>
      </c>
      <c r="E940" s="2" t="s">
        <v>13</v>
      </c>
      <c r="F940" s="3">
        <v>8</v>
      </c>
      <c r="G940" s="4">
        <v>21.5</v>
      </c>
      <c r="H940" s="4">
        <v>116.3</v>
      </c>
      <c r="I940" s="6">
        <v>9.7843530391601874</v>
      </c>
      <c r="J940" s="5">
        <v>3.3000000000000002E-2</v>
      </c>
      <c r="K940" s="4">
        <v>18.8</v>
      </c>
      <c r="L940" s="4">
        <v>88.5</v>
      </c>
      <c r="M940" s="6">
        <v>7.8578340955915698</v>
      </c>
      <c r="N940" s="5">
        <v>3.1E-2</v>
      </c>
      <c r="O940" s="5">
        <v>1.9265189435686176</v>
      </c>
      <c r="P940" s="5">
        <v>1.9265189435686176</v>
      </c>
      <c r="Q940" s="8">
        <v>0.20833333333333334</v>
      </c>
      <c r="R940" s="8">
        <v>0.86319444444444438</v>
      </c>
      <c r="S940" s="6">
        <f t="shared" si="42"/>
        <v>15.716666666666665</v>
      </c>
      <c r="T940" s="5">
        <f t="shared" si="43"/>
        <v>0.12257808760775936</v>
      </c>
      <c r="U940" s="3">
        <v>2.21</v>
      </c>
      <c r="V940" s="5">
        <f t="shared" si="44"/>
        <v>5.5465198012560793E-2</v>
      </c>
      <c r="W940" s="3">
        <v>5.5465198012560793E-2</v>
      </c>
    </row>
    <row r="941" spans="1:23" x14ac:dyDescent="0.55000000000000004">
      <c r="A941" s="3">
        <v>23</v>
      </c>
      <c r="B941" s="3" t="s">
        <v>52</v>
      </c>
      <c r="C941" s="3" t="s">
        <v>49</v>
      </c>
      <c r="D941" s="3" t="s">
        <v>40</v>
      </c>
      <c r="E941" s="3" t="s">
        <v>34</v>
      </c>
      <c r="F941" s="3">
        <v>79</v>
      </c>
      <c r="G941" s="4">
        <v>27.7</v>
      </c>
      <c r="H941" s="4">
        <v>75.5</v>
      </c>
      <c r="I941" s="6">
        <v>5.6551710568980385</v>
      </c>
      <c r="J941" s="5">
        <v>7.0999999999999994E-2</v>
      </c>
      <c r="K941" s="4">
        <v>24.4</v>
      </c>
      <c r="L941" s="4">
        <v>46</v>
      </c>
      <c r="M941" s="6">
        <v>3.6607608218203751</v>
      </c>
      <c r="N941" s="5">
        <v>7.0000000000000007E-2</v>
      </c>
      <c r="O941" s="5">
        <v>1.9944102350776634</v>
      </c>
      <c r="P941" s="5">
        <v>1.9944102350776634</v>
      </c>
      <c r="Q941" s="8">
        <v>0.20833333333333334</v>
      </c>
      <c r="R941" s="8">
        <v>0.88541666666666663</v>
      </c>
      <c r="S941" s="6">
        <f t="shared" si="42"/>
        <v>16.25</v>
      </c>
      <c r="T941" s="5">
        <f t="shared" si="43"/>
        <v>0.12273293754324083</v>
      </c>
      <c r="U941" s="3">
        <v>2.21</v>
      </c>
      <c r="V941" s="5">
        <f t="shared" si="44"/>
        <v>5.5535265856670062E-2</v>
      </c>
      <c r="W941" s="3">
        <v>5.5535265856670062E-2</v>
      </c>
    </row>
    <row r="942" spans="1:23" x14ac:dyDescent="0.55000000000000004">
      <c r="A942" s="3">
        <v>50</v>
      </c>
      <c r="B942" s="3" t="s">
        <v>53</v>
      </c>
      <c r="C942" s="3" t="s">
        <v>50</v>
      </c>
      <c r="D942" s="3" t="s">
        <v>11</v>
      </c>
      <c r="E942" s="2" t="s">
        <v>20</v>
      </c>
      <c r="F942" s="3">
        <v>30</v>
      </c>
      <c r="G942" s="4">
        <v>27.5</v>
      </c>
      <c r="H942" s="4">
        <v>101.1</v>
      </c>
      <c r="I942" s="6">
        <v>7.5999697311406793</v>
      </c>
      <c r="J942" s="5">
        <v>4.5999999999999999E-2</v>
      </c>
      <c r="K942" s="4">
        <v>24.3</v>
      </c>
      <c r="L942" s="4">
        <v>70.3</v>
      </c>
      <c r="M942" s="6">
        <v>5.6051197705405285</v>
      </c>
      <c r="N942" s="5">
        <v>4.2000000000000003E-2</v>
      </c>
      <c r="O942" s="5">
        <v>1.9948499606001509</v>
      </c>
      <c r="P942" s="5">
        <v>1.9948499606001509</v>
      </c>
      <c r="Q942" s="8">
        <v>0.20833333333333334</v>
      </c>
      <c r="R942" s="8">
        <v>0.88541666666666663</v>
      </c>
      <c r="S942" s="6">
        <f t="shared" si="42"/>
        <v>16.25</v>
      </c>
      <c r="T942" s="5">
        <f t="shared" si="43"/>
        <v>0.12275999757539389</v>
      </c>
      <c r="U942" s="3">
        <v>2.21</v>
      </c>
      <c r="V942" s="5">
        <f t="shared" si="44"/>
        <v>5.5547510215110361E-2</v>
      </c>
      <c r="W942" s="3">
        <v>5.5547510215110361E-2</v>
      </c>
    </row>
    <row r="943" spans="1:23" x14ac:dyDescent="0.55000000000000004">
      <c r="A943" s="3">
        <v>62</v>
      </c>
      <c r="B943" s="3" t="s">
        <v>52</v>
      </c>
      <c r="C943" s="3" t="s">
        <v>49</v>
      </c>
      <c r="D943" s="3" t="s">
        <v>40</v>
      </c>
      <c r="E943" s="2" t="s">
        <v>19</v>
      </c>
      <c r="F943" s="3">
        <v>26</v>
      </c>
      <c r="G943" s="4">
        <v>21.5</v>
      </c>
      <c r="H943" s="4">
        <v>101.3</v>
      </c>
      <c r="I943" s="6">
        <v>8.5223986488987702</v>
      </c>
      <c r="J943" s="5">
        <v>3.9E-2</v>
      </c>
      <c r="K943" s="4">
        <v>22.3</v>
      </c>
      <c r="L943" s="4">
        <v>78.8</v>
      </c>
      <c r="M943" s="6">
        <v>6.5270908264278269</v>
      </c>
      <c r="N943" s="5">
        <v>3.6999999999999998E-2</v>
      </c>
      <c r="O943" s="5">
        <v>1.9953078224709433</v>
      </c>
      <c r="P943" s="5">
        <v>1.9953078224709433</v>
      </c>
      <c r="Q943" s="8">
        <v>0.20833333333333334</v>
      </c>
      <c r="R943" s="8">
        <v>0.88541666666666663</v>
      </c>
      <c r="S943" s="6">
        <f t="shared" si="42"/>
        <v>16.25</v>
      </c>
      <c r="T943" s="5">
        <f t="shared" si="43"/>
        <v>0.12278817369051959</v>
      </c>
      <c r="U943" s="3">
        <v>2.21</v>
      </c>
      <c r="V943" s="5">
        <f t="shared" si="44"/>
        <v>5.5560259588470398E-2</v>
      </c>
      <c r="W943" s="3">
        <v>5.5560259588470398E-2</v>
      </c>
    </row>
    <row r="944" spans="1:23" x14ac:dyDescent="0.55000000000000004">
      <c r="A944" s="3">
        <v>40</v>
      </c>
      <c r="B944" s="3" t="s">
        <v>48</v>
      </c>
      <c r="C944" s="3" t="s">
        <v>50</v>
      </c>
      <c r="D944" s="3" t="s">
        <v>10</v>
      </c>
      <c r="E944" s="3" t="s">
        <v>32</v>
      </c>
      <c r="F944" s="3">
        <v>72</v>
      </c>
      <c r="G944" s="4">
        <v>28.6</v>
      </c>
      <c r="H944" s="4">
        <v>82.8</v>
      </c>
      <c r="I944" s="6">
        <v>6.1031066447149769</v>
      </c>
      <c r="J944" s="5">
        <v>5.7000000000000002E-2</v>
      </c>
      <c r="K944" s="4">
        <v>24</v>
      </c>
      <c r="L944" s="4">
        <v>51.2</v>
      </c>
      <c r="M944" s="6">
        <v>4.1053907610059719</v>
      </c>
      <c r="N944" s="5">
        <v>5.3999999999999999E-2</v>
      </c>
      <c r="O944" s="5">
        <v>1.997715883709005</v>
      </c>
      <c r="P944" s="5">
        <v>1.997715883709005</v>
      </c>
      <c r="Q944" s="8">
        <v>0.20833333333333334</v>
      </c>
      <c r="R944" s="8">
        <v>0.88541666666666663</v>
      </c>
      <c r="S944" s="6">
        <f t="shared" si="42"/>
        <v>16.25</v>
      </c>
      <c r="T944" s="5">
        <f t="shared" si="43"/>
        <v>0.12293636207440031</v>
      </c>
      <c r="U944" s="3">
        <v>2.21</v>
      </c>
      <c r="V944" s="5">
        <f t="shared" si="44"/>
        <v>5.5627313155837244E-2</v>
      </c>
      <c r="W944" s="3">
        <v>5.5627313155837244E-2</v>
      </c>
    </row>
    <row r="945" spans="1:23" x14ac:dyDescent="0.55000000000000004">
      <c r="A945" s="3">
        <v>12</v>
      </c>
      <c r="B945" s="3" t="s">
        <v>53</v>
      </c>
      <c r="C945" s="3" t="s">
        <v>50</v>
      </c>
      <c r="D945" s="3" t="s">
        <v>11</v>
      </c>
      <c r="E945" s="2" t="s">
        <v>20</v>
      </c>
      <c r="F945" s="3">
        <v>30</v>
      </c>
      <c r="G945" s="4">
        <v>27.1</v>
      </c>
      <c r="H945" s="4">
        <v>92.3</v>
      </c>
      <c r="I945" s="6">
        <v>6.9887360734666943</v>
      </c>
      <c r="J945" s="5">
        <v>6.0999999999999999E-2</v>
      </c>
      <c r="K945" s="4">
        <v>23.8</v>
      </c>
      <c r="L945" s="4">
        <v>62</v>
      </c>
      <c r="M945" s="6">
        <v>4.9902073650202698</v>
      </c>
      <c r="N945" s="5">
        <v>0.06</v>
      </c>
      <c r="O945" s="5">
        <v>1.9985287084464245</v>
      </c>
      <c r="P945" s="5">
        <v>1.9985287084464245</v>
      </c>
      <c r="Q945" s="8">
        <v>0.20833333333333334</v>
      </c>
      <c r="R945" s="8">
        <v>0.88541666666666663</v>
      </c>
      <c r="S945" s="6">
        <f t="shared" si="42"/>
        <v>16.25</v>
      </c>
      <c r="T945" s="5">
        <f t="shared" si="43"/>
        <v>0.12298638205824151</v>
      </c>
      <c r="U945" s="3">
        <v>2.21</v>
      </c>
      <c r="V945" s="5">
        <f t="shared" si="44"/>
        <v>5.5649946632688463E-2</v>
      </c>
      <c r="W945" s="3">
        <v>5.5649946632688463E-2</v>
      </c>
    </row>
    <row r="946" spans="1:23" x14ac:dyDescent="0.55000000000000004">
      <c r="A946" s="3">
        <v>7</v>
      </c>
      <c r="B946" s="3" t="s">
        <v>53</v>
      </c>
      <c r="C946" s="3" t="s">
        <v>49</v>
      </c>
      <c r="D946" s="3" t="s">
        <v>41</v>
      </c>
      <c r="E946" s="3" t="s">
        <v>26</v>
      </c>
      <c r="F946" s="3">
        <v>51</v>
      </c>
      <c r="G946" s="4">
        <v>26.8</v>
      </c>
      <c r="H946" s="4">
        <v>87.8</v>
      </c>
      <c r="I946" s="6">
        <v>6.6842791732218902</v>
      </c>
      <c r="J946" s="5">
        <v>7.4999999999999997E-2</v>
      </c>
      <c r="K946" s="4">
        <v>23.9</v>
      </c>
      <c r="L946" s="4">
        <v>58.7</v>
      </c>
      <c r="M946" s="6">
        <v>4.7156682928633815</v>
      </c>
      <c r="N946" s="5">
        <v>7.0000000000000007E-2</v>
      </c>
      <c r="O946" s="5">
        <v>1.9686108803585087</v>
      </c>
      <c r="P946" s="5">
        <v>1.9686108803585087</v>
      </c>
      <c r="Q946" s="8">
        <v>0.20833333333333334</v>
      </c>
      <c r="R946" s="8">
        <v>0.875</v>
      </c>
      <c r="S946" s="6">
        <f t="shared" si="42"/>
        <v>16</v>
      </c>
      <c r="T946" s="5">
        <f t="shared" si="43"/>
        <v>0.1230381800224068</v>
      </c>
      <c r="U946" s="3">
        <v>2.21</v>
      </c>
      <c r="V946" s="5">
        <f t="shared" si="44"/>
        <v>5.5673384625523438E-2</v>
      </c>
      <c r="W946" s="3">
        <v>5.5673384625523438E-2</v>
      </c>
    </row>
    <row r="947" spans="1:23" x14ac:dyDescent="0.55000000000000004">
      <c r="A947" s="3">
        <v>44</v>
      </c>
      <c r="B947" s="3" t="s">
        <v>53</v>
      </c>
      <c r="C947" s="3" t="s">
        <v>49</v>
      </c>
      <c r="D947" s="3" t="s">
        <v>41</v>
      </c>
      <c r="E947" s="3" t="s">
        <v>29</v>
      </c>
      <c r="F947" s="3">
        <v>61</v>
      </c>
      <c r="G947" s="4">
        <v>29.6</v>
      </c>
      <c r="H947" s="4">
        <v>89.1</v>
      </c>
      <c r="I947" s="6">
        <v>6.4526728427614266</v>
      </c>
      <c r="J947" s="5">
        <v>7.8E-2</v>
      </c>
      <c r="K947" s="4">
        <v>25.4</v>
      </c>
      <c r="L947" s="4">
        <v>56.6</v>
      </c>
      <c r="M947" s="6">
        <v>4.4211080098319284</v>
      </c>
      <c r="N947" s="5">
        <v>7.0999999999999994E-2</v>
      </c>
      <c r="O947" s="5">
        <v>2.0315648329294982</v>
      </c>
      <c r="P947" s="5">
        <v>2.0315648329294982</v>
      </c>
      <c r="Q947" s="8">
        <v>0.19791666666666666</v>
      </c>
      <c r="R947" s="8">
        <v>0.88541666666666663</v>
      </c>
      <c r="S947" s="6">
        <f t="shared" si="42"/>
        <v>16.5</v>
      </c>
      <c r="T947" s="5">
        <f t="shared" si="43"/>
        <v>0.12312514138966656</v>
      </c>
      <c r="U947" s="3">
        <v>2.21</v>
      </c>
      <c r="V947" s="5">
        <f t="shared" si="44"/>
        <v>5.5712733660482607E-2</v>
      </c>
      <c r="W947" s="3">
        <v>5.5712733660482607E-2</v>
      </c>
    </row>
    <row r="948" spans="1:23" x14ac:dyDescent="0.55000000000000004">
      <c r="A948" s="3">
        <v>61</v>
      </c>
      <c r="B948" s="3" t="s">
        <v>53</v>
      </c>
      <c r="C948" s="3" t="s">
        <v>50</v>
      </c>
      <c r="D948" s="3" t="s">
        <v>11</v>
      </c>
      <c r="E948" s="2" t="s">
        <v>13</v>
      </c>
      <c r="F948" s="3">
        <v>8</v>
      </c>
      <c r="G948" s="4">
        <v>21.3</v>
      </c>
      <c r="H948" s="4">
        <v>123.8</v>
      </c>
      <c r="I948" s="6">
        <v>10.456228517738941</v>
      </c>
      <c r="J948" s="5">
        <v>4.4999999999999998E-2</v>
      </c>
      <c r="K948" s="4">
        <v>19.5</v>
      </c>
      <c r="L948" s="4">
        <v>97.3</v>
      </c>
      <c r="M948" s="6">
        <v>8.5175176034382236</v>
      </c>
      <c r="N948" s="5">
        <v>4.1000000000000002E-2</v>
      </c>
      <c r="O948" s="5">
        <v>1.9387109143007173</v>
      </c>
      <c r="P948" s="5">
        <v>1.9387109143007173</v>
      </c>
      <c r="Q948" s="8">
        <v>0.20833333333333334</v>
      </c>
      <c r="R948" s="8">
        <v>0.86319444444444438</v>
      </c>
      <c r="S948" s="6">
        <f t="shared" si="42"/>
        <v>15.716666666666665</v>
      </c>
      <c r="T948" s="5">
        <f t="shared" si="43"/>
        <v>0.12335382275508276</v>
      </c>
      <c r="U948" s="3">
        <v>2.21</v>
      </c>
      <c r="V948" s="5">
        <f t="shared" si="44"/>
        <v>5.5816209391440164E-2</v>
      </c>
      <c r="W948" s="3">
        <v>5.5816209391440164E-2</v>
      </c>
    </row>
    <row r="949" spans="1:23" x14ac:dyDescent="0.55000000000000004">
      <c r="A949" s="3">
        <v>34</v>
      </c>
      <c r="B949" s="3" t="s">
        <v>48</v>
      </c>
      <c r="C949" s="3" t="s">
        <v>50</v>
      </c>
      <c r="D949" s="3" t="s">
        <v>10</v>
      </c>
      <c r="E949" s="2" t="s">
        <v>13</v>
      </c>
      <c r="F949" s="3">
        <v>8</v>
      </c>
      <c r="G949" s="4">
        <v>22</v>
      </c>
      <c r="H949" s="4">
        <v>123.5</v>
      </c>
      <c r="I949" s="6">
        <v>10.289300756525517</v>
      </c>
      <c r="J949" s="5">
        <v>3.7999999999999999E-2</v>
      </c>
      <c r="K949" s="4">
        <v>19.3</v>
      </c>
      <c r="L949" s="4">
        <v>95</v>
      </c>
      <c r="M949" s="6">
        <v>8.349817598638289</v>
      </c>
      <c r="N949" s="5">
        <v>3.5999999999999997E-2</v>
      </c>
      <c r="O949" s="5">
        <v>1.9394831578872278</v>
      </c>
      <c r="P949" s="5">
        <v>1.9394831578872278</v>
      </c>
      <c r="Q949" s="8">
        <v>0.20833333333333334</v>
      </c>
      <c r="R949" s="8">
        <v>0.86319444444444438</v>
      </c>
      <c r="S949" s="6">
        <f t="shared" si="42"/>
        <v>15.716666666666665</v>
      </c>
      <c r="T949" s="5">
        <f t="shared" si="43"/>
        <v>0.12340295808402299</v>
      </c>
      <c r="U949" s="3">
        <v>2.21</v>
      </c>
      <c r="V949" s="5">
        <f t="shared" si="44"/>
        <v>5.5838442571956103E-2</v>
      </c>
      <c r="W949" s="3">
        <v>5.5838442571956103E-2</v>
      </c>
    </row>
    <row r="950" spans="1:23" x14ac:dyDescent="0.55000000000000004">
      <c r="A950" s="3">
        <v>56</v>
      </c>
      <c r="B950" s="3" t="s">
        <v>53</v>
      </c>
      <c r="C950" s="3" t="s">
        <v>49</v>
      </c>
      <c r="D950" s="3" t="s">
        <v>41</v>
      </c>
      <c r="E950" s="3" t="s">
        <v>26</v>
      </c>
      <c r="F950" s="3">
        <v>51</v>
      </c>
      <c r="G950" s="4">
        <v>27.6</v>
      </c>
      <c r="H950" s="4">
        <v>95.1</v>
      </c>
      <c r="I950" s="6">
        <v>7.1360807076761477</v>
      </c>
      <c r="J950" s="5">
        <v>6.6000000000000003E-2</v>
      </c>
      <c r="K950" s="4">
        <v>24.6</v>
      </c>
      <c r="L950" s="4">
        <v>65.099999999999994</v>
      </c>
      <c r="M950" s="6">
        <v>5.1613796389599056</v>
      </c>
      <c r="N950" s="5">
        <v>6.5000000000000002E-2</v>
      </c>
      <c r="O950" s="5">
        <v>1.9747010687162421</v>
      </c>
      <c r="P950" s="5">
        <v>1.9747010687162421</v>
      </c>
      <c r="Q950" s="8">
        <v>0.20833333333333334</v>
      </c>
      <c r="R950" s="8">
        <v>0.875</v>
      </c>
      <c r="S950" s="6">
        <f t="shared" si="42"/>
        <v>16</v>
      </c>
      <c r="T950" s="5">
        <f t="shared" si="43"/>
        <v>0.12341881679476513</v>
      </c>
      <c r="U950" s="3">
        <v>2.21</v>
      </c>
      <c r="V950" s="5">
        <f t="shared" si="44"/>
        <v>5.5845618459169744E-2</v>
      </c>
      <c r="W950" s="3">
        <v>5.5845618459169744E-2</v>
      </c>
    </row>
    <row r="951" spans="1:23" x14ac:dyDescent="0.55000000000000004">
      <c r="A951" s="3">
        <v>44</v>
      </c>
      <c r="B951" s="3" t="s">
        <v>53</v>
      </c>
      <c r="C951" s="3" t="s">
        <v>49</v>
      </c>
      <c r="D951" s="3" t="s">
        <v>41</v>
      </c>
      <c r="E951" s="3" t="s">
        <v>34</v>
      </c>
      <c r="F951" s="3">
        <v>79</v>
      </c>
      <c r="G951" s="4">
        <v>28.6</v>
      </c>
      <c r="H951" s="4">
        <v>84.9</v>
      </c>
      <c r="I951" s="6">
        <v>6.2578955813563004</v>
      </c>
      <c r="J951" s="5">
        <v>7.0000000000000007E-2</v>
      </c>
      <c r="K951" s="4">
        <v>25.1</v>
      </c>
      <c r="L951" s="4">
        <v>54.1</v>
      </c>
      <c r="M951" s="6">
        <v>4.249422667663401</v>
      </c>
      <c r="N951" s="5">
        <v>6.6000000000000003E-2</v>
      </c>
      <c r="O951" s="5">
        <v>2.0084729136928994</v>
      </c>
      <c r="P951" s="5">
        <v>2.0084729136928994</v>
      </c>
      <c r="Q951" s="8">
        <v>0.20833333333333334</v>
      </c>
      <c r="R951" s="8">
        <v>0.88541666666666663</v>
      </c>
      <c r="S951" s="6">
        <f t="shared" si="42"/>
        <v>16.25</v>
      </c>
      <c r="T951" s="5">
        <f t="shared" si="43"/>
        <v>0.12359833315033227</v>
      </c>
      <c r="U951" s="3">
        <v>2.21</v>
      </c>
      <c r="V951" s="5">
        <f t="shared" si="44"/>
        <v>5.5926847579335866E-2</v>
      </c>
      <c r="W951" s="3">
        <v>5.5926847579335866E-2</v>
      </c>
    </row>
    <row r="952" spans="1:23" x14ac:dyDescent="0.55000000000000004">
      <c r="A952" s="3">
        <v>24</v>
      </c>
      <c r="B952" s="3" t="s">
        <v>52</v>
      </c>
      <c r="C952" s="3" t="s">
        <v>49</v>
      </c>
      <c r="D952" s="3" t="s">
        <v>40</v>
      </c>
      <c r="E952" s="3" t="s">
        <v>30</v>
      </c>
      <c r="F952" s="3">
        <v>65</v>
      </c>
      <c r="G952" s="4">
        <v>27.9</v>
      </c>
      <c r="H952" s="4">
        <v>109.5</v>
      </c>
      <c r="I952" s="6">
        <v>8.1725032905346744</v>
      </c>
      <c r="J952" s="5">
        <v>5.1999999999999998E-2</v>
      </c>
      <c r="K952" s="4">
        <v>23.4</v>
      </c>
      <c r="L952" s="4">
        <v>76</v>
      </c>
      <c r="M952" s="6">
        <v>6.1636656557453406</v>
      </c>
      <c r="N952" s="5">
        <v>4.7E-2</v>
      </c>
      <c r="O952" s="5">
        <v>2.0088376347893337</v>
      </c>
      <c r="P952" s="5">
        <v>2.0088376347893337</v>
      </c>
      <c r="Q952" s="8">
        <v>0.20833333333333334</v>
      </c>
      <c r="R952" s="8">
        <v>0.88541666666666663</v>
      </c>
      <c r="S952" s="6">
        <f t="shared" si="42"/>
        <v>16.25</v>
      </c>
      <c r="T952" s="5">
        <f t="shared" si="43"/>
        <v>0.12362077752549747</v>
      </c>
      <c r="U952" s="3">
        <v>2.21</v>
      </c>
      <c r="V952" s="5">
        <f t="shared" si="44"/>
        <v>5.5937003405202475E-2</v>
      </c>
      <c r="W952" s="3">
        <v>5.5937003405202475E-2</v>
      </c>
    </row>
    <row r="953" spans="1:23" x14ac:dyDescent="0.55000000000000004">
      <c r="A953" s="3">
        <v>10</v>
      </c>
      <c r="B953" s="3" t="s">
        <v>51</v>
      </c>
      <c r="C953" s="3" t="s">
        <v>49</v>
      </c>
      <c r="D953" s="3" t="s">
        <v>39</v>
      </c>
      <c r="E953" s="3" t="s">
        <v>35</v>
      </c>
      <c r="F953" s="3">
        <v>82</v>
      </c>
      <c r="G953" s="4">
        <v>31.7</v>
      </c>
      <c r="H953" s="4">
        <v>74.2</v>
      </c>
      <c r="I953" s="6">
        <v>5.1819751712265871</v>
      </c>
      <c r="J953" s="5">
        <v>6.4000000000000001E-2</v>
      </c>
      <c r="K953" s="4">
        <v>27.8</v>
      </c>
      <c r="L953" s="4">
        <v>42.3</v>
      </c>
      <c r="M953" s="6">
        <v>3.1627127224087044</v>
      </c>
      <c r="N953" s="5">
        <v>5.6000000000000001E-2</v>
      </c>
      <c r="O953" s="5">
        <v>2.0192624488178827</v>
      </c>
      <c r="P953" s="5">
        <v>2.0192624488178827</v>
      </c>
      <c r="Q953" s="8">
        <v>0.20833333333333334</v>
      </c>
      <c r="R953" s="8">
        <v>0.88541666666666663</v>
      </c>
      <c r="S953" s="6">
        <f t="shared" si="42"/>
        <v>16.25</v>
      </c>
      <c r="T953" s="5">
        <f t="shared" si="43"/>
        <v>0.12426230454263894</v>
      </c>
      <c r="U953" s="3">
        <v>2.21</v>
      </c>
      <c r="V953" s="5">
        <f t="shared" si="44"/>
        <v>5.6227287123366033E-2</v>
      </c>
      <c r="W953" s="3">
        <v>5.6227287123366033E-2</v>
      </c>
    </row>
    <row r="954" spans="1:23" x14ac:dyDescent="0.55000000000000004">
      <c r="A954" s="3">
        <v>11</v>
      </c>
      <c r="B954" s="3" t="s">
        <v>53</v>
      </c>
      <c r="C954" s="3" t="s">
        <v>49</v>
      </c>
      <c r="D954" s="3" t="s">
        <v>41</v>
      </c>
      <c r="E954" s="3" t="s">
        <v>31</v>
      </c>
      <c r="F954" s="3">
        <v>68</v>
      </c>
      <c r="G954" s="4">
        <v>25.1</v>
      </c>
      <c r="H954" s="4">
        <v>70.8</v>
      </c>
      <c r="I954" s="6">
        <v>5.5611668183099585</v>
      </c>
      <c r="J954" s="5">
        <v>5.8000000000000003E-2</v>
      </c>
      <c r="K954" s="4">
        <v>23.8</v>
      </c>
      <c r="L954" s="4">
        <v>44</v>
      </c>
      <c r="M954" s="6">
        <v>3.5414374848530947</v>
      </c>
      <c r="N954" s="5">
        <v>5.8999999999999997E-2</v>
      </c>
      <c r="O954" s="5">
        <v>2.0197293334568638</v>
      </c>
      <c r="P954" s="5">
        <v>2.0197293334568638</v>
      </c>
      <c r="Q954" s="8">
        <v>0.20833333333333334</v>
      </c>
      <c r="R954" s="8">
        <v>0.88541666666666663</v>
      </c>
      <c r="S954" s="6">
        <f t="shared" si="42"/>
        <v>16.25</v>
      </c>
      <c r="T954" s="5">
        <f t="shared" si="43"/>
        <v>0.12429103590503777</v>
      </c>
      <c r="U954" s="3">
        <v>2.21</v>
      </c>
      <c r="V954" s="5">
        <f t="shared" si="44"/>
        <v>5.6240287739836095E-2</v>
      </c>
      <c r="W954" s="3">
        <v>5.6240287739836095E-2</v>
      </c>
    </row>
    <row r="955" spans="1:23" x14ac:dyDescent="0.55000000000000004">
      <c r="A955" s="3">
        <v>23</v>
      </c>
      <c r="B955" s="3" t="s">
        <v>52</v>
      </c>
      <c r="C955" s="3" t="s">
        <v>49</v>
      </c>
      <c r="D955" s="3" t="s">
        <v>40</v>
      </c>
      <c r="E955" s="3" t="s">
        <v>29</v>
      </c>
      <c r="F955" s="3">
        <v>61</v>
      </c>
      <c r="G955" s="4">
        <v>28.3</v>
      </c>
      <c r="H955" s="4">
        <v>80.099999999999994</v>
      </c>
      <c r="I955" s="6">
        <v>5.9356747680082256</v>
      </c>
      <c r="J955" s="5">
        <v>8.3000000000000004E-2</v>
      </c>
      <c r="K955" s="4">
        <v>24.5</v>
      </c>
      <c r="L955" s="4">
        <v>48.9</v>
      </c>
      <c r="M955" s="6">
        <v>3.8842525961369669</v>
      </c>
      <c r="N955" s="5">
        <v>7.8E-2</v>
      </c>
      <c r="O955" s="5">
        <v>2.0514221718712586</v>
      </c>
      <c r="P955" s="5">
        <v>2.0514221718712586</v>
      </c>
      <c r="Q955" s="8">
        <v>0.19791666666666666</v>
      </c>
      <c r="R955" s="8">
        <v>0.88541666666666663</v>
      </c>
      <c r="S955" s="6">
        <f t="shared" si="42"/>
        <v>16.5</v>
      </c>
      <c r="T955" s="5">
        <f t="shared" si="43"/>
        <v>0.12432861647704598</v>
      </c>
      <c r="U955" s="3">
        <v>2.21</v>
      </c>
      <c r="V955" s="5">
        <f t="shared" si="44"/>
        <v>5.6257292523550217E-2</v>
      </c>
      <c r="W955" s="3">
        <v>5.6257292523550217E-2</v>
      </c>
    </row>
    <row r="956" spans="1:23" x14ac:dyDescent="0.55000000000000004">
      <c r="A956" s="3">
        <v>45</v>
      </c>
      <c r="B956" s="3" t="s">
        <v>48</v>
      </c>
      <c r="C956" s="3" t="s">
        <v>50</v>
      </c>
      <c r="D956" s="3" t="s">
        <v>10</v>
      </c>
      <c r="E956" s="3" t="s">
        <v>31</v>
      </c>
      <c r="F956" s="3">
        <v>68</v>
      </c>
      <c r="G956" s="4">
        <v>25.6</v>
      </c>
      <c r="H956" s="4">
        <v>81.099999999999994</v>
      </c>
      <c r="I956" s="6">
        <v>6.3114487776545563</v>
      </c>
      <c r="J956" s="5">
        <v>5.7000000000000002E-2</v>
      </c>
      <c r="K956" s="4">
        <v>24</v>
      </c>
      <c r="L956" s="4">
        <v>53.5</v>
      </c>
      <c r="M956" s="6">
        <v>4.2898126115980366</v>
      </c>
      <c r="N956" s="5">
        <v>5.8999999999999997E-2</v>
      </c>
      <c r="O956" s="5">
        <v>2.0216361660565196</v>
      </c>
      <c r="P956" s="5">
        <v>2.0216361660565196</v>
      </c>
      <c r="Q956" s="8">
        <v>0.20833333333333334</v>
      </c>
      <c r="R956" s="8">
        <v>0.88541666666666663</v>
      </c>
      <c r="S956" s="6">
        <f t="shared" si="42"/>
        <v>16.25</v>
      </c>
      <c r="T956" s="5">
        <f t="shared" si="43"/>
        <v>0.12440837944963198</v>
      </c>
      <c r="U956" s="3">
        <v>2.21</v>
      </c>
      <c r="V956" s="5">
        <f t="shared" si="44"/>
        <v>5.6293384366349314E-2</v>
      </c>
      <c r="W956" s="3">
        <v>5.6293384366349314E-2</v>
      </c>
    </row>
    <row r="957" spans="1:23" x14ac:dyDescent="0.55000000000000004">
      <c r="A957" s="3">
        <v>14</v>
      </c>
      <c r="B957" s="3" t="s">
        <v>48</v>
      </c>
      <c r="C957" s="3" t="s">
        <v>50</v>
      </c>
      <c r="D957" s="3" t="s">
        <v>10</v>
      </c>
      <c r="E957" s="3" t="s">
        <v>31</v>
      </c>
      <c r="F957" s="3">
        <v>68</v>
      </c>
      <c r="G957" s="4">
        <v>25.4</v>
      </c>
      <c r="H957" s="4">
        <v>92.7</v>
      </c>
      <c r="I957" s="6">
        <v>7.2409313164561802</v>
      </c>
      <c r="J957" s="5">
        <v>0.06</v>
      </c>
      <c r="K957" s="4">
        <v>24.1</v>
      </c>
      <c r="L957" s="4">
        <v>65.2</v>
      </c>
      <c r="M957" s="6">
        <v>5.2181033026108778</v>
      </c>
      <c r="N957" s="5">
        <v>5.1999999999999998E-2</v>
      </c>
      <c r="O957" s="5">
        <v>2.0228280138453023</v>
      </c>
      <c r="P957" s="5">
        <v>2.0228280138453023</v>
      </c>
      <c r="Q957" s="8">
        <v>0.20833333333333334</v>
      </c>
      <c r="R957" s="8">
        <v>0.88541666666666663</v>
      </c>
      <c r="S957" s="6">
        <f t="shared" si="42"/>
        <v>16.25</v>
      </c>
      <c r="T957" s="5">
        <f t="shared" si="43"/>
        <v>0.12448172392894168</v>
      </c>
      <c r="U957" s="3">
        <v>2.21</v>
      </c>
      <c r="V957" s="5">
        <f t="shared" si="44"/>
        <v>5.6326571913548271E-2</v>
      </c>
      <c r="W957" s="3">
        <v>5.6326571913548271E-2</v>
      </c>
    </row>
    <row r="958" spans="1:23" x14ac:dyDescent="0.55000000000000004">
      <c r="A958" s="3">
        <v>11</v>
      </c>
      <c r="B958" s="3" t="s">
        <v>53</v>
      </c>
      <c r="C958" s="3" t="s">
        <v>49</v>
      </c>
      <c r="D958" s="3" t="s">
        <v>41</v>
      </c>
      <c r="E958" s="3" t="s">
        <v>29</v>
      </c>
      <c r="F958" s="3">
        <v>61</v>
      </c>
      <c r="G958" s="4">
        <v>28.4</v>
      </c>
      <c r="H958" s="4">
        <v>73.400000000000006</v>
      </c>
      <c r="I958" s="6">
        <v>5.4295059939395784</v>
      </c>
      <c r="J958" s="5">
        <v>7.0000000000000007E-2</v>
      </c>
      <c r="K958" s="4">
        <v>24.4</v>
      </c>
      <c r="L958" s="4">
        <v>42.4</v>
      </c>
      <c r="M958" s="6">
        <v>3.3742664966344322</v>
      </c>
      <c r="N958" s="5">
        <v>6.5000000000000002E-2</v>
      </c>
      <c r="O958" s="5">
        <v>2.0552394973051462</v>
      </c>
      <c r="P958" s="5">
        <v>2.0552394973051462</v>
      </c>
      <c r="Q958" s="8">
        <v>0.19791666666666666</v>
      </c>
      <c r="R958" s="8">
        <v>0.88541666666666663</v>
      </c>
      <c r="S958" s="6">
        <f t="shared" si="42"/>
        <v>16.5</v>
      </c>
      <c r="T958" s="5">
        <f t="shared" si="43"/>
        <v>0.12455996953364523</v>
      </c>
      <c r="U958" s="3">
        <v>2.21</v>
      </c>
      <c r="V958" s="5">
        <f t="shared" si="44"/>
        <v>5.636197716454535E-2</v>
      </c>
      <c r="W958" s="3">
        <v>5.636197716454535E-2</v>
      </c>
    </row>
    <row r="959" spans="1:23" x14ac:dyDescent="0.55000000000000004">
      <c r="A959" s="3">
        <v>6</v>
      </c>
      <c r="B959" s="3" t="s">
        <v>51</v>
      </c>
      <c r="C959" s="3" t="s">
        <v>49</v>
      </c>
      <c r="D959" s="3" t="s">
        <v>39</v>
      </c>
      <c r="E959" s="2" t="s">
        <v>21</v>
      </c>
      <c r="F959" s="3">
        <v>33</v>
      </c>
      <c r="G959" s="4">
        <v>30.3</v>
      </c>
      <c r="H959" s="4">
        <v>100.1</v>
      </c>
      <c r="I959" s="6">
        <v>7.1613165771506111</v>
      </c>
      <c r="J959" s="5">
        <v>4.8000000000000001E-2</v>
      </c>
      <c r="K959" s="4">
        <v>26.3</v>
      </c>
      <c r="L959" s="4">
        <v>67</v>
      </c>
      <c r="M959" s="6">
        <v>5.1474782058160251</v>
      </c>
      <c r="N959" s="5">
        <v>4.4999999999999998E-2</v>
      </c>
      <c r="O959" s="5">
        <v>2.013838371334586</v>
      </c>
      <c r="P959" s="5">
        <v>2.013838371334586</v>
      </c>
      <c r="Q959" s="8">
        <v>0.20833333333333334</v>
      </c>
      <c r="R959" s="8">
        <v>0.88194444444444453</v>
      </c>
      <c r="S959" s="6">
        <f t="shared" si="42"/>
        <v>16.166666666666668</v>
      </c>
      <c r="T959" s="5">
        <f t="shared" si="43"/>
        <v>0.1245673219382218</v>
      </c>
      <c r="U959" s="3">
        <v>2.21</v>
      </c>
      <c r="V959" s="5">
        <f t="shared" si="44"/>
        <v>5.6365304044444259E-2</v>
      </c>
      <c r="W959" s="3">
        <v>5.6365304044444259E-2</v>
      </c>
    </row>
    <row r="960" spans="1:23" x14ac:dyDescent="0.55000000000000004">
      <c r="A960" s="3">
        <v>34</v>
      </c>
      <c r="B960" s="3" t="s">
        <v>48</v>
      </c>
      <c r="C960" s="3" t="s">
        <v>50</v>
      </c>
      <c r="D960" s="3" t="s">
        <v>10</v>
      </c>
      <c r="E960" s="3" t="s">
        <v>26</v>
      </c>
      <c r="F960" s="3">
        <v>51</v>
      </c>
      <c r="G960" s="4">
        <v>27.2</v>
      </c>
      <c r="H960" s="4">
        <v>90.1</v>
      </c>
      <c r="I960" s="6">
        <v>6.809827539633452</v>
      </c>
      <c r="J960" s="5">
        <v>8.4000000000000005E-2</v>
      </c>
      <c r="K960" s="4">
        <v>24.3</v>
      </c>
      <c r="L960" s="4">
        <v>60.4</v>
      </c>
      <c r="M960" s="6">
        <v>4.815778579525575</v>
      </c>
      <c r="N960" s="5">
        <v>7.6999999999999999E-2</v>
      </c>
      <c r="O960" s="5">
        <v>1.994048960107877</v>
      </c>
      <c r="P960" s="5">
        <v>1.994048960107877</v>
      </c>
      <c r="Q960" s="8">
        <v>0.20833333333333334</v>
      </c>
      <c r="R960" s="8">
        <v>0.875</v>
      </c>
      <c r="S960" s="6">
        <f t="shared" si="42"/>
        <v>16</v>
      </c>
      <c r="T960" s="5">
        <f t="shared" si="43"/>
        <v>0.12462806000674231</v>
      </c>
      <c r="U960" s="3">
        <v>2.21</v>
      </c>
      <c r="V960" s="5">
        <f t="shared" si="44"/>
        <v>5.6392787333367562E-2</v>
      </c>
      <c r="W960" s="3">
        <v>5.6392787333367562E-2</v>
      </c>
    </row>
    <row r="961" spans="1:23" x14ac:dyDescent="0.55000000000000004">
      <c r="A961" s="3">
        <v>11</v>
      </c>
      <c r="B961" s="3" t="s">
        <v>53</v>
      </c>
      <c r="C961" s="3" t="s">
        <v>49</v>
      </c>
      <c r="D961" s="3" t="s">
        <v>41</v>
      </c>
      <c r="E961" s="2" t="s">
        <v>19</v>
      </c>
      <c r="F961" s="3">
        <v>26</v>
      </c>
      <c r="G961" s="4">
        <v>24.4</v>
      </c>
      <c r="H961" s="4">
        <v>93.3</v>
      </c>
      <c r="I961" s="6">
        <v>7.4249779277356733</v>
      </c>
      <c r="J961" s="5">
        <v>4.1000000000000002E-2</v>
      </c>
      <c r="K961" s="4">
        <v>22.5</v>
      </c>
      <c r="L961" s="4">
        <v>65.400000000000006</v>
      </c>
      <c r="M961" s="6">
        <v>5.3962688340117442</v>
      </c>
      <c r="N961" s="5">
        <v>3.7999999999999999E-2</v>
      </c>
      <c r="O961" s="5">
        <v>2.0287090937239292</v>
      </c>
      <c r="P961" s="5">
        <v>2.0287090937239292</v>
      </c>
      <c r="Q961" s="8">
        <v>0.20833333333333334</v>
      </c>
      <c r="R961" s="8">
        <v>0.88541666666666663</v>
      </c>
      <c r="S961" s="6">
        <f t="shared" si="42"/>
        <v>16.25</v>
      </c>
      <c r="T961" s="5">
        <f t="shared" si="43"/>
        <v>0.12484363653685718</v>
      </c>
      <c r="U961" s="3">
        <v>2.21</v>
      </c>
      <c r="V961" s="5">
        <f t="shared" si="44"/>
        <v>5.6490333274596009E-2</v>
      </c>
      <c r="W961" s="3">
        <v>5.6490333274596009E-2</v>
      </c>
    </row>
    <row r="962" spans="1:23" x14ac:dyDescent="0.55000000000000004">
      <c r="A962" s="3">
        <v>18</v>
      </c>
      <c r="B962" s="3" t="s">
        <v>51</v>
      </c>
      <c r="C962" s="3" t="s">
        <v>50</v>
      </c>
      <c r="D962" s="3" t="s">
        <v>9</v>
      </c>
      <c r="E962" s="3" t="s">
        <v>35</v>
      </c>
      <c r="F962" s="3">
        <v>82</v>
      </c>
      <c r="G962" s="4">
        <v>32.4</v>
      </c>
      <c r="H962" s="4">
        <v>79.7</v>
      </c>
      <c r="I962" s="6">
        <v>5.5002658653223753</v>
      </c>
      <c r="J962" s="5">
        <v>8.7999999999999995E-2</v>
      </c>
      <c r="K962" s="4">
        <v>27.8</v>
      </c>
      <c r="L962" s="4">
        <v>46.3</v>
      </c>
      <c r="M962" s="6">
        <v>3.4617872115253663</v>
      </c>
      <c r="N962" s="5">
        <v>7.9000000000000001E-2</v>
      </c>
      <c r="O962" s="5">
        <v>2.038478653797009</v>
      </c>
      <c r="P962" s="5">
        <v>2.038478653797009</v>
      </c>
      <c r="Q962" s="8">
        <v>0.20833333333333334</v>
      </c>
      <c r="R962" s="8">
        <v>0.88541666666666663</v>
      </c>
      <c r="S962" s="6">
        <f t="shared" ref="S962:S1025" si="45">(R962-Q962)*24</f>
        <v>16.25</v>
      </c>
      <c r="T962" s="5">
        <f t="shared" ref="T962:T1025" si="46">P962/S962</f>
        <v>0.12544484023366209</v>
      </c>
      <c r="U962" s="3">
        <v>2.21</v>
      </c>
      <c r="V962" s="5">
        <f t="shared" ref="V962:V1025" si="47">(I962-M962)/U962/S962</f>
        <v>5.6762371146453432E-2</v>
      </c>
      <c r="W962" s="3">
        <v>5.6762371146453432E-2</v>
      </c>
    </row>
    <row r="963" spans="1:23" x14ac:dyDescent="0.55000000000000004">
      <c r="A963" s="3">
        <v>17</v>
      </c>
      <c r="B963" s="3" t="s">
        <v>52</v>
      </c>
      <c r="C963" s="3" t="s">
        <v>50</v>
      </c>
      <c r="D963" s="3" t="s">
        <v>12</v>
      </c>
      <c r="E963" s="3" t="s">
        <v>26</v>
      </c>
      <c r="F963" s="3">
        <v>51</v>
      </c>
      <c r="G963" s="4">
        <v>27.1</v>
      </c>
      <c r="H963" s="4">
        <v>81.400000000000006</v>
      </c>
      <c r="I963" s="6">
        <v>6.163414045289155</v>
      </c>
      <c r="J963" s="5">
        <v>7.6999999999999999E-2</v>
      </c>
      <c r="K963" s="4">
        <v>24.3</v>
      </c>
      <c r="L963" s="4">
        <v>52</v>
      </c>
      <c r="M963" s="6">
        <v>4.1460345386644022</v>
      </c>
      <c r="N963" s="5">
        <v>7.3999999999999996E-2</v>
      </c>
      <c r="O963" s="5">
        <v>2.0173795066247528</v>
      </c>
      <c r="P963" s="5">
        <v>2.0173795066247528</v>
      </c>
      <c r="Q963" s="8">
        <v>0.20833333333333334</v>
      </c>
      <c r="R963" s="8">
        <v>0.875</v>
      </c>
      <c r="S963" s="6">
        <f t="shared" si="45"/>
        <v>16</v>
      </c>
      <c r="T963" s="5">
        <f t="shared" si="46"/>
        <v>0.12608621916404705</v>
      </c>
      <c r="U963" s="3">
        <v>2.21</v>
      </c>
      <c r="V963" s="5">
        <f t="shared" si="47"/>
        <v>5.7052587857034869E-2</v>
      </c>
      <c r="W963" s="3">
        <v>5.7052587857034869E-2</v>
      </c>
    </row>
    <row r="964" spans="1:23" x14ac:dyDescent="0.55000000000000004">
      <c r="A964" s="3">
        <v>38</v>
      </c>
      <c r="B964" s="3" t="s">
        <v>51</v>
      </c>
      <c r="C964" s="3" t="s">
        <v>49</v>
      </c>
      <c r="D964" s="3" t="s">
        <v>39</v>
      </c>
      <c r="E964" s="3" t="s">
        <v>35</v>
      </c>
      <c r="F964" s="3">
        <v>82</v>
      </c>
      <c r="G964" s="4">
        <v>31.6</v>
      </c>
      <c r="H964" s="4">
        <v>68.8</v>
      </c>
      <c r="I964" s="6">
        <v>4.8130625324481873</v>
      </c>
      <c r="J964" s="5">
        <v>4.7E-2</v>
      </c>
      <c r="K964" s="4">
        <v>27.7</v>
      </c>
      <c r="L964" s="4">
        <v>36.9</v>
      </c>
      <c r="M964" s="6">
        <v>2.7639180397289755</v>
      </c>
      <c r="N964" s="5">
        <v>4.7E-2</v>
      </c>
      <c r="O964" s="5">
        <v>2.0491444927192117</v>
      </c>
      <c r="P964" s="5">
        <v>2.0491444927192117</v>
      </c>
      <c r="Q964" s="8">
        <v>0.20833333333333334</v>
      </c>
      <c r="R964" s="8">
        <v>0.88541666666666663</v>
      </c>
      <c r="S964" s="6">
        <f t="shared" si="45"/>
        <v>16.25</v>
      </c>
      <c r="T964" s="5">
        <f t="shared" si="46"/>
        <v>0.12610119955195148</v>
      </c>
      <c r="U964" s="3">
        <v>2.21</v>
      </c>
      <c r="V964" s="5">
        <f t="shared" si="47"/>
        <v>5.7059366313100227E-2</v>
      </c>
      <c r="W964" s="3">
        <v>5.7059366313100227E-2</v>
      </c>
    </row>
    <row r="965" spans="1:23" x14ac:dyDescent="0.55000000000000004">
      <c r="A965" s="3">
        <v>54</v>
      </c>
      <c r="B965" s="3" t="s">
        <v>48</v>
      </c>
      <c r="C965" s="3" t="s">
        <v>50</v>
      </c>
      <c r="D965" s="3" t="s">
        <v>10</v>
      </c>
      <c r="E965" s="3" t="s">
        <v>31</v>
      </c>
      <c r="F965" s="3">
        <v>68</v>
      </c>
      <c r="G965" s="4">
        <v>25.6</v>
      </c>
      <c r="H965" s="4">
        <v>75.400000000000006</v>
      </c>
      <c r="I965" s="6">
        <v>5.8678574332324738</v>
      </c>
      <c r="J965" s="5">
        <v>5.7000000000000002E-2</v>
      </c>
      <c r="K965" s="4">
        <v>24.1</v>
      </c>
      <c r="L965" s="4">
        <v>47.7</v>
      </c>
      <c r="M965" s="6">
        <v>3.8175387658671607</v>
      </c>
      <c r="N965" s="5">
        <v>5.8000000000000003E-2</v>
      </c>
      <c r="O965" s="5">
        <v>2.0503186673653131</v>
      </c>
      <c r="P965" s="5">
        <v>2.0503186673653131</v>
      </c>
      <c r="Q965" s="8">
        <v>0.20833333333333334</v>
      </c>
      <c r="R965" s="8">
        <v>0.88541666666666663</v>
      </c>
      <c r="S965" s="6">
        <f t="shared" si="45"/>
        <v>16.25</v>
      </c>
      <c r="T965" s="5">
        <f t="shared" si="46"/>
        <v>0.12617345645325004</v>
      </c>
      <c r="U965" s="3">
        <v>2.21</v>
      </c>
      <c r="V965" s="5">
        <f t="shared" si="47"/>
        <v>5.7092061743552053E-2</v>
      </c>
      <c r="W965" s="3">
        <v>5.7092061743552053E-2</v>
      </c>
    </row>
    <row r="966" spans="1:23" x14ac:dyDescent="0.55000000000000004">
      <c r="A966" s="3">
        <v>3</v>
      </c>
      <c r="B966" s="3" t="s">
        <v>51</v>
      </c>
      <c r="C966" s="3" t="s">
        <v>50</v>
      </c>
      <c r="D966" s="3" t="s">
        <v>9</v>
      </c>
      <c r="E966" s="2" t="s">
        <v>24</v>
      </c>
      <c r="F966" s="3">
        <v>44</v>
      </c>
      <c r="G966" s="4">
        <v>24.5</v>
      </c>
      <c r="H966" s="4">
        <v>89.3</v>
      </c>
      <c r="I966" s="6">
        <v>7.0933283606345832</v>
      </c>
      <c r="J966" s="5">
        <v>4.8000000000000001E-2</v>
      </c>
      <c r="K966" s="4">
        <v>21.4</v>
      </c>
      <c r="L966" s="4">
        <v>59</v>
      </c>
      <c r="M966" s="6">
        <v>4.9734161748093237</v>
      </c>
      <c r="N966" s="5">
        <v>4.3999999999999997E-2</v>
      </c>
      <c r="O966" s="5">
        <v>2.1199121858252594</v>
      </c>
      <c r="P966" s="5">
        <v>2.1199121858252594</v>
      </c>
      <c r="Q966" s="8">
        <v>0.20277777777777781</v>
      </c>
      <c r="R966" s="8">
        <v>0.90277777777777779</v>
      </c>
      <c r="S966" s="6">
        <f t="shared" si="45"/>
        <v>16.799999999999997</v>
      </c>
      <c r="T966" s="5">
        <f t="shared" si="46"/>
        <v>0.12618524915626547</v>
      </c>
      <c r="U966" s="3">
        <v>2.21</v>
      </c>
      <c r="V966" s="5">
        <f t="shared" si="47"/>
        <v>5.7097397808264914E-2</v>
      </c>
      <c r="W966" s="3">
        <v>5.7097397808264914E-2</v>
      </c>
    </row>
    <row r="967" spans="1:23" x14ac:dyDescent="0.55000000000000004">
      <c r="A967" s="3">
        <v>51</v>
      </c>
      <c r="B967" s="3" t="s">
        <v>48</v>
      </c>
      <c r="C967" s="3" t="s">
        <v>50</v>
      </c>
      <c r="D967" s="3" t="s">
        <v>10</v>
      </c>
      <c r="E967" s="3" t="s">
        <v>31</v>
      </c>
      <c r="F967" s="3">
        <v>68</v>
      </c>
      <c r="G967" s="4">
        <v>25.6</v>
      </c>
      <c r="H967" s="4">
        <v>75.599999999999994</v>
      </c>
      <c r="I967" s="6">
        <v>5.8834220418086867</v>
      </c>
      <c r="J967" s="5">
        <v>6.4000000000000001E-2</v>
      </c>
      <c r="K967" s="4">
        <v>24</v>
      </c>
      <c r="L967" s="4">
        <v>47.8</v>
      </c>
      <c r="M967" s="6">
        <v>3.8327671557829182</v>
      </c>
      <c r="N967" s="5">
        <v>6.4000000000000001E-2</v>
      </c>
      <c r="O967" s="5">
        <v>2.0506548860257685</v>
      </c>
      <c r="P967" s="5">
        <v>2.0506548860257685</v>
      </c>
      <c r="Q967" s="8">
        <v>0.20833333333333334</v>
      </c>
      <c r="R967" s="8">
        <v>0.88541666666666663</v>
      </c>
      <c r="S967" s="6">
        <f t="shared" si="45"/>
        <v>16.25</v>
      </c>
      <c r="T967" s="5">
        <f t="shared" si="46"/>
        <v>0.126194146832355</v>
      </c>
      <c r="U967" s="3">
        <v>2.21</v>
      </c>
      <c r="V967" s="5">
        <f t="shared" si="47"/>
        <v>5.7101423906042982E-2</v>
      </c>
      <c r="W967" s="3">
        <v>5.7101423906042982E-2</v>
      </c>
    </row>
    <row r="968" spans="1:23" x14ac:dyDescent="0.55000000000000004">
      <c r="A968" s="3">
        <v>19</v>
      </c>
      <c r="B968" s="3" t="s">
        <v>53</v>
      </c>
      <c r="C968" s="3" t="s">
        <v>49</v>
      </c>
      <c r="D968" s="3" t="s">
        <v>41</v>
      </c>
      <c r="E968" s="2" t="s">
        <v>23</v>
      </c>
      <c r="F968" s="3">
        <v>40</v>
      </c>
      <c r="G968" s="4">
        <v>29.1</v>
      </c>
      <c r="H968" s="4">
        <v>113.3</v>
      </c>
      <c r="I968" s="6">
        <v>8.2776847203357011</v>
      </c>
      <c r="J968" s="5">
        <v>5.1999999999999998E-2</v>
      </c>
      <c r="K968" s="4">
        <v>24.3</v>
      </c>
      <c r="L968" s="4">
        <v>77.900000000000006</v>
      </c>
      <c r="M968" s="6">
        <v>6.2110786646530185</v>
      </c>
      <c r="N968" s="5">
        <v>5.1999999999999998E-2</v>
      </c>
      <c r="O968" s="5">
        <v>2.0666060556826826</v>
      </c>
      <c r="P968" s="5">
        <v>2.0666060556826826</v>
      </c>
      <c r="Q968" s="8">
        <v>0.20833333333333334</v>
      </c>
      <c r="R968" s="8">
        <v>0.89027777777777783</v>
      </c>
      <c r="S968" s="6">
        <f t="shared" si="45"/>
        <v>16.366666666666667</v>
      </c>
      <c r="T968" s="5">
        <f t="shared" si="46"/>
        <v>0.12626920910484823</v>
      </c>
      <c r="U968" s="3">
        <v>2.21</v>
      </c>
      <c r="V968" s="5">
        <f t="shared" si="47"/>
        <v>5.7135388735225445E-2</v>
      </c>
      <c r="W968" s="3">
        <v>5.7135388735225445E-2</v>
      </c>
    </row>
    <row r="969" spans="1:23" x14ac:dyDescent="0.55000000000000004">
      <c r="A969" s="3">
        <v>55</v>
      </c>
      <c r="B969" s="3" t="s">
        <v>52</v>
      </c>
      <c r="C969" s="3" t="s">
        <v>49</v>
      </c>
      <c r="D969" s="3" t="s">
        <v>40</v>
      </c>
      <c r="E969" s="3" t="s">
        <v>26</v>
      </c>
      <c r="F969" s="3">
        <v>51</v>
      </c>
      <c r="G969" s="4">
        <v>27.5</v>
      </c>
      <c r="H969" s="4">
        <v>90.9</v>
      </c>
      <c r="I969" s="6">
        <v>6.8332072063371685</v>
      </c>
      <c r="J969" s="5">
        <v>6.9000000000000006E-2</v>
      </c>
      <c r="K969" s="4">
        <v>24.6</v>
      </c>
      <c r="L969" s="4">
        <v>60.7</v>
      </c>
      <c r="M969" s="6">
        <v>4.8125306311039369</v>
      </c>
      <c r="N969" s="5">
        <v>6.8000000000000005E-2</v>
      </c>
      <c r="O969" s="5">
        <v>2.0206765752332316</v>
      </c>
      <c r="P969" s="5">
        <v>2.0206765752332316</v>
      </c>
      <c r="Q969" s="8">
        <v>0.20833333333333334</v>
      </c>
      <c r="R969" s="8">
        <v>0.875</v>
      </c>
      <c r="S969" s="6">
        <f t="shared" si="45"/>
        <v>16</v>
      </c>
      <c r="T969" s="5">
        <f t="shared" si="46"/>
        <v>0.12629228595207698</v>
      </c>
      <c r="U969" s="3">
        <v>2.21</v>
      </c>
      <c r="V969" s="5">
        <f t="shared" si="47"/>
        <v>5.7145830747546145E-2</v>
      </c>
      <c r="W969" s="3">
        <v>5.7145830747546145E-2</v>
      </c>
    </row>
    <row r="970" spans="1:23" x14ac:dyDescent="0.55000000000000004">
      <c r="A970" s="3">
        <v>16</v>
      </c>
      <c r="B970" s="3" t="s">
        <v>52</v>
      </c>
      <c r="C970" s="3" t="s">
        <v>50</v>
      </c>
      <c r="D970" s="3" t="s">
        <v>12</v>
      </c>
      <c r="E970" s="2" t="s">
        <v>19</v>
      </c>
      <c r="F970" s="3">
        <v>26</v>
      </c>
      <c r="G970" s="4">
        <v>25.6</v>
      </c>
      <c r="H970" s="4">
        <v>99.6</v>
      </c>
      <c r="I970" s="6">
        <v>7.751175070954301</v>
      </c>
      <c r="J970" s="5">
        <v>5.2999999999999999E-2</v>
      </c>
      <c r="K970" s="4">
        <v>22.2</v>
      </c>
      <c r="L970" s="4">
        <v>68.599999999999994</v>
      </c>
      <c r="M970" s="6">
        <v>5.6932226123007501</v>
      </c>
      <c r="N970" s="5">
        <v>4.7E-2</v>
      </c>
      <c r="O970" s="5">
        <v>2.0579524586535509</v>
      </c>
      <c r="P970" s="5">
        <v>2.0579524586535509</v>
      </c>
      <c r="Q970" s="8">
        <v>0.20833333333333334</v>
      </c>
      <c r="R970" s="8">
        <v>0.88541666666666663</v>
      </c>
      <c r="S970" s="6">
        <f t="shared" si="45"/>
        <v>16.25</v>
      </c>
      <c r="T970" s="5">
        <f t="shared" si="46"/>
        <v>0.1266432282248339</v>
      </c>
      <c r="U970" s="3">
        <v>2.21</v>
      </c>
      <c r="V970" s="5">
        <f t="shared" si="47"/>
        <v>5.7304628156033439E-2</v>
      </c>
      <c r="W970" s="3">
        <v>5.7304628156033439E-2</v>
      </c>
    </row>
    <row r="971" spans="1:23" x14ac:dyDescent="0.55000000000000004">
      <c r="A971" s="3">
        <v>58</v>
      </c>
      <c r="B971" s="3" t="s">
        <v>53</v>
      </c>
      <c r="C971" s="3" t="s">
        <v>49</v>
      </c>
      <c r="D971" s="3" t="s">
        <v>41</v>
      </c>
      <c r="E971" s="3" t="s">
        <v>30</v>
      </c>
      <c r="F971" s="3">
        <v>65</v>
      </c>
      <c r="G971" s="4">
        <v>27.1</v>
      </c>
      <c r="H971" s="4">
        <v>83.1</v>
      </c>
      <c r="I971" s="6">
        <v>6.2921339946379451</v>
      </c>
      <c r="J971" s="5">
        <v>5.8000000000000003E-2</v>
      </c>
      <c r="K971" s="4">
        <v>22.8</v>
      </c>
      <c r="L971" s="4">
        <v>51.6</v>
      </c>
      <c r="M971" s="6">
        <v>4.2330957720082436</v>
      </c>
      <c r="N971" s="5">
        <v>5.0999999999999997E-2</v>
      </c>
      <c r="O971" s="5">
        <v>2.0590382226297015</v>
      </c>
      <c r="P971" s="5">
        <v>2.0590382226297015</v>
      </c>
      <c r="Q971" s="8">
        <v>0.20833333333333334</v>
      </c>
      <c r="R971" s="8">
        <v>0.88541666666666663</v>
      </c>
      <c r="S971" s="6">
        <f t="shared" si="45"/>
        <v>16.25</v>
      </c>
      <c r="T971" s="5">
        <f t="shared" si="46"/>
        <v>0.12671004446952008</v>
      </c>
      <c r="U971" s="3">
        <v>2.21</v>
      </c>
      <c r="V971" s="5">
        <f t="shared" si="47"/>
        <v>5.7334861750914068E-2</v>
      </c>
      <c r="W971" s="3">
        <v>5.7334861750914068E-2</v>
      </c>
    </row>
    <row r="972" spans="1:23" x14ac:dyDescent="0.55000000000000004">
      <c r="A972" s="3">
        <v>43</v>
      </c>
      <c r="B972" s="3" t="s">
        <v>51</v>
      </c>
      <c r="C972" s="3" t="s">
        <v>50</v>
      </c>
      <c r="D972" s="3" t="s">
        <v>9</v>
      </c>
      <c r="E972" s="3" t="s">
        <v>27</v>
      </c>
      <c r="F972" s="3">
        <v>54</v>
      </c>
      <c r="G972" s="4">
        <v>28.1</v>
      </c>
      <c r="H972" s="4">
        <v>92.9</v>
      </c>
      <c r="I972" s="6">
        <v>6.9088055408054547</v>
      </c>
      <c r="J972" s="5">
        <v>3.9E-2</v>
      </c>
      <c r="K972" s="4">
        <v>24.9</v>
      </c>
      <c r="L972" s="4">
        <v>61.1</v>
      </c>
      <c r="M972" s="6">
        <v>4.8171635243414519</v>
      </c>
      <c r="N972" s="5">
        <v>3.5000000000000003E-2</v>
      </c>
      <c r="O972" s="5">
        <v>2.0916420164640028</v>
      </c>
      <c r="P972" s="5">
        <v>2.0916420164640028</v>
      </c>
      <c r="Q972" s="8">
        <v>0.20833333333333334</v>
      </c>
      <c r="R972" s="8">
        <v>0.89583333333333337</v>
      </c>
      <c r="S972" s="6">
        <f t="shared" si="45"/>
        <v>16.5</v>
      </c>
      <c r="T972" s="5">
        <f t="shared" si="46"/>
        <v>0.12676618281600016</v>
      </c>
      <c r="U972" s="3">
        <v>2.21</v>
      </c>
      <c r="V972" s="5">
        <f t="shared" si="47"/>
        <v>5.7360263717647138E-2</v>
      </c>
      <c r="W972" s="3">
        <v>5.7360263717647138E-2</v>
      </c>
    </row>
    <row r="973" spans="1:23" x14ac:dyDescent="0.55000000000000004">
      <c r="A973" s="3">
        <v>42</v>
      </c>
      <c r="B973" s="3" t="s">
        <v>53</v>
      </c>
      <c r="C973" s="3" t="s">
        <v>49</v>
      </c>
      <c r="D973" s="3" t="s">
        <v>41</v>
      </c>
      <c r="E973" s="3" t="s">
        <v>30</v>
      </c>
      <c r="F973" s="3">
        <v>65</v>
      </c>
      <c r="G973" s="4">
        <v>26.8</v>
      </c>
      <c r="H973" s="4">
        <v>84.1</v>
      </c>
      <c r="I973" s="6">
        <v>6.4025954267421517</v>
      </c>
      <c r="J973" s="5">
        <v>7.1999999999999995E-2</v>
      </c>
      <c r="K973" s="4">
        <v>22.1</v>
      </c>
      <c r="L973" s="4">
        <v>52.2</v>
      </c>
      <c r="M973" s="6">
        <v>4.3405660932807697</v>
      </c>
      <c r="N973" s="5">
        <v>6.5000000000000002E-2</v>
      </c>
      <c r="O973" s="5">
        <v>2.062029333461382</v>
      </c>
      <c r="P973" s="5">
        <v>2.062029333461382</v>
      </c>
      <c r="Q973" s="8">
        <v>0.20833333333333334</v>
      </c>
      <c r="R973" s="8">
        <v>0.88541666666666663</v>
      </c>
      <c r="S973" s="6">
        <f t="shared" si="45"/>
        <v>16.25</v>
      </c>
      <c r="T973" s="5">
        <f t="shared" si="46"/>
        <v>0.12689411282839275</v>
      </c>
      <c r="U973" s="3">
        <v>2.21</v>
      </c>
      <c r="V973" s="5">
        <f t="shared" si="47"/>
        <v>5.7418150601082685E-2</v>
      </c>
      <c r="W973" s="3">
        <v>5.7418150601082685E-2</v>
      </c>
    </row>
    <row r="974" spans="1:23" x14ac:dyDescent="0.55000000000000004">
      <c r="A974" s="3">
        <v>51</v>
      </c>
      <c r="B974" s="3" t="s">
        <v>48</v>
      </c>
      <c r="C974" s="3" t="s">
        <v>50</v>
      </c>
      <c r="D974" s="3" t="s">
        <v>10</v>
      </c>
      <c r="E974" s="2" t="s">
        <v>22</v>
      </c>
      <c r="F974" s="3">
        <v>37</v>
      </c>
      <c r="G974" s="4">
        <v>30.6</v>
      </c>
      <c r="H974" s="4">
        <v>86.9</v>
      </c>
      <c r="I974" s="6">
        <v>6.1847210940904436</v>
      </c>
      <c r="J974" s="5">
        <v>7.6999999999999999E-2</v>
      </c>
      <c r="K974" s="4">
        <v>25.4</v>
      </c>
      <c r="L974" s="4">
        <v>52.5</v>
      </c>
      <c r="M974" s="6">
        <v>4.1008510691903934</v>
      </c>
      <c r="N974" s="5">
        <v>7.0000000000000007E-2</v>
      </c>
      <c r="O974" s="5">
        <v>2.0838700249000501</v>
      </c>
      <c r="P974" s="5">
        <v>2.0838700249000501</v>
      </c>
      <c r="Q974" s="8">
        <v>0.20138888888888887</v>
      </c>
      <c r="R974" s="8">
        <v>0.88541666666666663</v>
      </c>
      <c r="S974" s="6">
        <f t="shared" si="45"/>
        <v>16.416666666666668</v>
      </c>
      <c r="T974" s="5">
        <f t="shared" si="46"/>
        <v>0.12693624517157664</v>
      </c>
      <c r="U974" s="3">
        <v>2.21</v>
      </c>
      <c r="V974" s="5">
        <f t="shared" si="47"/>
        <v>5.743721500976319E-2</v>
      </c>
      <c r="W974" s="3">
        <v>5.743721500976319E-2</v>
      </c>
    </row>
    <row r="975" spans="1:23" x14ac:dyDescent="0.55000000000000004">
      <c r="A975" s="3">
        <v>51</v>
      </c>
      <c r="B975" s="3" t="s">
        <v>48</v>
      </c>
      <c r="C975" s="3" t="s">
        <v>50</v>
      </c>
      <c r="D975" s="3" t="s">
        <v>10</v>
      </c>
      <c r="E975" s="2" t="s">
        <v>24</v>
      </c>
      <c r="F975" s="3">
        <v>44</v>
      </c>
      <c r="G975" s="4">
        <v>25.7</v>
      </c>
      <c r="H975" s="4">
        <v>98.2</v>
      </c>
      <c r="I975" s="6">
        <v>7.6281300925657796</v>
      </c>
      <c r="J975" s="5">
        <v>6.6000000000000003E-2</v>
      </c>
      <c r="K975" s="4">
        <v>21.1</v>
      </c>
      <c r="L975" s="4">
        <v>64.8</v>
      </c>
      <c r="M975" s="6">
        <v>5.4946043085761138</v>
      </c>
      <c r="N975" s="5">
        <v>6.2E-2</v>
      </c>
      <c r="O975" s="5">
        <v>2.1335257839896657</v>
      </c>
      <c r="P975" s="5">
        <v>2.1335257839896657</v>
      </c>
      <c r="Q975" s="8">
        <v>0.20277777777777781</v>
      </c>
      <c r="R975" s="8">
        <v>0.90277777777777779</v>
      </c>
      <c r="S975" s="6">
        <f t="shared" si="45"/>
        <v>16.799999999999997</v>
      </c>
      <c r="T975" s="5">
        <f t="shared" si="46"/>
        <v>0.12699558238033726</v>
      </c>
      <c r="U975" s="3">
        <v>2.21</v>
      </c>
      <c r="V975" s="5">
        <f t="shared" si="47"/>
        <v>5.7464064425491977E-2</v>
      </c>
      <c r="W975" s="3">
        <v>5.7464064425491977E-2</v>
      </c>
    </row>
    <row r="976" spans="1:23" x14ac:dyDescent="0.55000000000000004">
      <c r="A976" s="3">
        <v>62</v>
      </c>
      <c r="B976" s="3" t="s">
        <v>52</v>
      </c>
      <c r="C976" s="3" t="s">
        <v>49</v>
      </c>
      <c r="D976" s="3" t="s">
        <v>40</v>
      </c>
      <c r="E976" s="3" t="s">
        <v>34</v>
      </c>
      <c r="F976" s="3">
        <v>79</v>
      </c>
      <c r="G976" s="4">
        <v>28.7</v>
      </c>
      <c r="H976" s="4">
        <v>80.900000000000006</v>
      </c>
      <c r="I976" s="6">
        <v>5.9524920837943478</v>
      </c>
      <c r="J976" s="5">
        <v>6.5000000000000002E-2</v>
      </c>
      <c r="K976" s="4">
        <v>25.2</v>
      </c>
      <c r="L976" s="4">
        <v>49.6</v>
      </c>
      <c r="M976" s="6">
        <v>3.8887251412144188</v>
      </c>
      <c r="N976" s="5">
        <v>6.0999999999999999E-2</v>
      </c>
      <c r="O976" s="5">
        <v>2.063766942579929</v>
      </c>
      <c r="P976" s="5">
        <v>2.063766942579929</v>
      </c>
      <c r="Q976" s="8">
        <v>0.20833333333333334</v>
      </c>
      <c r="R976" s="8">
        <v>0.88541666666666663</v>
      </c>
      <c r="S976" s="6">
        <f t="shared" si="45"/>
        <v>16.25</v>
      </c>
      <c r="T976" s="5">
        <f t="shared" si="46"/>
        <v>0.12700104262030332</v>
      </c>
      <c r="U976" s="3">
        <v>2.21</v>
      </c>
      <c r="V976" s="5">
        <f t="shared" si="47"/>
        <v>5.7466535122309197E-2</v>
      </c>
      <c r="W976" s="3">
        <v>5.7466535122309197E-2</v>
      </c>
    </row>
    <row r="977" spans="1:23" x14ac:dyDescent="0.55000000000000004">
      <c r="A977" s="3">
        <v>20</v>
      </c>
      <c r="B977" s="3" t="s">
        <v>52</v>
      </c>
      <c r="C977" s="3" t="s">
        <v>50</v>
      </c>
      <c r="D977" s="3" t="s">
        <v>12</v>
      </c>
      <c r="E977" s="2" t="s">
        <v>19</v>
      </c>
      <c r="F977" s="3">
        <v>26</v>
      </c>
      <c r="G977" s="4">
        <v>25.5</v>
      </c>
      <c r="H977" s="4">
        <v>114.7</v>
      </c>
      <c r="I977" s="6">
        <v>8.9428165404998694</v>
      </c>
      <c r="J977" s="5">
        <v>4.2000000000000003E-2</v>
      </c>
      <c r="K977" s="4">
        <v>23.1</v>
      </c>
      <c r="L977" s="4">
        <v>84.3</v>
      </c>
      <c r="M977" s="6">
        <v>6.8760530202823986</v>
      </c>
      <c r="N977" s="5">
        <v>3.7999999999999999E-2</v>
      </c>
      <c r="O977" s="5">
        <v>2.0667635202174708</v>
      </c>
      <c r="P977" s="5">
        <v>2.0667635202174708</v>
      </c>
      <c r="Q977" s="8">
        <v>0.20833333333333334</v>
      </c>
      <c r="R977" s="8">
        <v>0.88541666666666663</v>
      </c>
      <c r="S977" s="6">
        <f t="shared" si="45"/>
        <v>16.25</v>
      </c>
      <c r="T977" s="5">
        <f t="shared" si="46"/>
        <v>0.1271854473979982</v>
      </c>
      <c r="U977" s="3">
        <v>2.21</v>
      </c>
      <c r="V977" s="5">
        <f t="shared" si="47"/>
        <v>5.7549976198189232E-2</v>
      </c>
      <c r="W977" s="3">
        <v>5.7549976198189232E-2</v>
      </c>
    </row>
    <row r="978" spans="1:23" x14ac:dyDescent="0.55000000000000004">
      <c r="A978" s="3">
        <v>55</v>
      </c>
      <c r="B978" s="3" t="s">
        <v>52</v>
      </c>
      <c r="C978" s="3" t="s">
        <v>49</v>
      </c>
      <c r="D978" s="3" t="s">
        <v>40</v>
      </c>
      <c r="E978" s="2" t="s">
        <v>25</v>
      </c>
      <c r="F978" s="3">
        <v>47</v>
      </c>
      <c r="G978" s="4">
        <v>29</v>
      </c>
      <c r="H978" s="4">
        <v>99.9</v>
      </c>
      <c r="I978" s="6">
        <v>7.3115727967925288</v>
      </c>
      <c r="J978" s="5">
        <v>6.7000000000000004E-2</v>
      </c>
      <c r="K978" s="4">
        <v>25.7</v>
      </c>
      <c r="L978" s="4">
        <v>67.099999999999994</v>
      </c>
      <c r="M978" s="6">
        <v>5.212296631478246</v>
      </c>
      <c r="N978" s="5">
        <v>6.4000000000000001E-2</v>
      </c>
      <c r="O978" s="5">
        <v>2.0992761653142828</v>
      </c>
      <c r="P978" s="5">
        <v>2.0992761653142828</v>
      </c>
      <c r="Q978" s="8">
        <v>0.20833333333333334</v>
      </c>
      <c r="R978" s="8">
        <v>0.89583333333333337</v>
      </c>
      <c r="S978" s="6">
        <f t="shared" si="45"/>
        <v>16.5</v>
      </c>
      <c r="T978" s="5">
        <f t="shared" si="46"/>
        <v>0.12722885850389593</v>
      </c>
      <c r="U978" s="3">
        <v>2.21</v>
      </c>
      <c r="V978" s="5">
        <f t="shared" si="47"/>
        <v>5.7569619232532093E-2</v>
      </c>
      <c r="W978" s="3">
        <v>5.7569619232532093E-2</v>
      </c>
    </row>
    <row r="979" spans="1:23" x14ac:dyDescent="0.55000000000000004">
      <c r="A979" s="3">
        <v>8</v>
      </c>
      <c r="B979" s="3" t="s">
        <v>51</v>
      </c>
      <c r="C979" s="3" t="s">
        <v>50</v>
      </c>
      <c r="D979" s="3" t="s">
        <v>9</v>
      </c>
      <c r="E979" s="3" t="s">
        <v>28</v>
      </c>
      <c r="F979" s="3">
        <v>58</v>
      </c>
      <c r="G979" s="4">
        <v>27.9</v>
      </c>
      <c r="H979" s="4">
        <v>88.7</v>
      </c>
      <c r="I979" s="6">
        <v>6.6201008389993206</v>
      </c>
      <c r="J979" s="5">
        <v>3.7999999999999999E-2</v>
      </c>
      <c r="K979" s="4">
        <v>23.7</v>
      </c>
      <c r="L979" s="4">
        <v>56.3</v>
      </c>
      <c r="M979" s="6">
        <v>4.5400245993048225</v>
      </c>
      <c r="N979" s="5">
        <v>3.9E-2</v>
      </c>
      <c r="O979" s="5">
        <v>2.0800762396944981</v>
      </c>
      <c r="P979" s="5">
        <v>2.0800762396944981</v>
      </c>
      <c r="Q979" s="8">
        <v>0.20833333333333334</v>
      </c>
      <c r="R979" s="8">
        <v>0.88888888888888884</v>
      </c>
      <c r="S979" s="6">
        <f t="shared" si="45"/>
        <v>16.333333333333332</v>
      </c>
      <c r="T979" s="5">
        <f t="shared" si="46"/>
        <v>0.12735160651190805</v>
      </c>
      <c r="U979" s="3">
        <v>2.21</v>
      </c>
      <c r="V979" s="5">
        <f t="shared" si="47"/>
        <v>5.7625161317605457E-2</v>
      </c>
      <c r="W979" s="3">
        <v>5.7625161317605457E-2</v>
      </c>
    </row>
    <row r="980" spans="1:23" x14ac:dyDescent="0.55000000000000004">
      <c r="A980" s="3">
        <v>48</v>
      </c>
      <c r="B980" s="3" t="s">
        <v>52</v>
      </c>
      <c r="C980" s="3" t="s">
        <v>49</v>
      </c>
      <c r="D980" s="3" t="s">
        <v>40</v>
      </c>
      <c r="E980" s="3" t="s">
        <v>31</v>
      </c>
      <c r="F980" s="3">
        <v>68</v>
      </c>
      <c r="G980" s="4">
        <v>25.6</v>
      </c>
      <c r="H980" s="4">
        <v>66.8</v>
      </c>
      <c r="I980" s="6">
        <v>5.1985792644552937</v>
      </c>
      <c r="J980" s="5">
        <v>7.8E-2</v>
      </c>
      <c r="K980" s="4">
        <v>24</v>
      </c>
      <c r="L980" s="4">
        <v>39</v>
      </c>
      <c r="M980" s="6">
        <v>3.1271531187350172</v>
      </c>
      <c r="N980" s="5">
        <v>7.9000000000000001E-2</v>
      </c>
      <c r="O980" s="5">
        <v>2.0714261457202765</v>
      </c>
      <c r="P980" s="5">
        <v>2.0714261457202765</v>
      </c>
      <c r="Q980" s="8">
        <v>0.20833333333333334</v>
      </c>
      <c r="R980" s="8">
        <v>0.88541666666666663</v>
      </c>
      <c r="S980" s="6">
        <f t="shared" si="45"/>
        <v>16.25</v>
      </c>
      <c r="T980" s="5">
        <f t="shared" si="46"/>
        <v>0.12747237819817087</v>
      </c>
      <c r="U980" s="3">
        <v>2.21</v>
      </c>
      <c r="V980" s="5">
        <f t="shared" si="47"/>
        <v>5.767980913944383E-2</v>
      </c>
      <c r="W980" s="3">
        <v>5.767980913944383E-2</v>
      </c>
    </row>
    <row r="981" spans="1:23" x14ac:dyDescent="0.55000000000000004">
      <c r="A981" s="3">
        <v>57</v>
      </c>
      <c r="B981" s="3" t="s">
        <v>52</v>
      </c>
      <c r="C981" s="3" t="s">
        <v>50</v>
      </c>
      <c r="D981" s="3" t="s">
        <v>12</v>
      </c>
      <c r="E981" s="2" t="s">
        <v>24</v>
      </c>
      <c r="F981" s="3">
        <v>44</v>
      </c>
      <c r="G981" s="4">
        <v>25.6</v>
      </c>
      <c r="H981" s="4">
        <v>97.7</v>
      </c>
      <c r="I981" s="6">
        <v>7.6033112894802741</v>
      </c>
      <c r="J981" s="5">
        <v>5.2999999999999999E-2</v>
      </c>
      <c r="K981" s="4">
        <v>21</v>
      </c>
      <c r="L981" s="4">
        <v>64.2</v>
      </c>
      <c r="M981" s="6">
        <v>5.4544606990608875</v>
      </c>
      <c r="N981" s="5">
        <v>4.8000000000000001E-2</v>
      </c>
      <c r="O981" s="5">
        <v>2.1488505904193866</v>
      </c>
      <c r="P981" s="5">
        <v>2.1488505904193866</v>
      </c>
      <c r="Q981" s="8">
        <v>0.20277777777777781</v>
      </c>
      <c r="R981" s="8">
        <v>0.90277777777777779</v>
      </c>
      <c r="S981" s="6">
        <f t="shared" si="45"/>
        <v>16.799999999999997</v>
      </c>
      <c r="T981" s="5">
        <f t="shared" si="46"/>
        <v>0.12790777323924923</v>
      </c>
      <c r="U981" s="3">
        <v>2.21</v>
      </c>
      <c r="V981" s="5">
        <f t="shared" si="47"/>
        <v>5.7876820470248523E-2</v>
      </c>
      <c r="W981" s="3">
        <v>5.7876820470248523E-2</v>
      </c>
    </row>
    <row r="982" spans="1:23" x14ac:dyDescent="0.55000000000000004">
      <c r="A982" s="3">
        <v>40</v>
      </c>
      <c r="B982" s="3" t="s">
        <v>48</v>
      </c>
      <c r="C982" s="3" t="s">
        <v>50</v>
      </c>
      <c r="D982" s="3" t="s">
        <v>10</v>
      </c>
      <c r="E982" s="3" t="s">
        <v>27</v>
      </c>
      <c r="F982" s="3">
        <v>54</v>
      </c>
      <c r="G982" s="4">
        <v>27.5</v>
      </c>
      <c r="H982" s="4">
        <v>88.3</v>
      </c>
      <c r="I982" s="6">
        <v>6.637757935308823</v>
      </c>
      <c r="J982" s="5">
        <v>5.6000000000000001E-2</v>
      </c>
      <c r="K982" s="4">
        <v>24.4</v>
      </c>
      <c r="L982" s="4">
        <v>56.8</v>
      </c>
      <c r="M982" s="6">
        <v>4.5202437973782024</v>
      </c>
      <c r="N982" s="5">
        <v>5.6000000000000001E-2</v>
      </c>
      <c r="O982" s="5">
        <v>2.1175141379306206</v>
      </c>
      <c r="P982" s="5">
        <v>2.1175141379306206</v>
      </c>
      <c r="Q982" s="8">
        <v>0.20833333333333334</v>
      </c>
      <c r="R982" s="8">
        <v>0.89583333333333337</v>
      </c>
      <c r="S982" s="6">
        <f t="shared" si="45"/>
        <v>16.5</v>
      </c>
      <c r="T982" s="5">
        <f t="shared" si="46"/>
        <v>0.12833419017761338</v>
      </c>
      <c r="U982" s="3">
        <v>2.21</v>
      </c>
      <c r="V982" s="5">
        <f t="shared" si="47"/>
        <v>5.8069769311137276E-2</v>
      </c>
      <c r="W982" s="3">
        <v>5.8069769311137276E-2</v>
      </c>
    </row>
    <row r="983" spans="1:23" x14ac:dyDescent="0.55000000000000004">
      <c r="A983" s="3">
        <v>50</v>
      </c>
      <c r="B983" s="3" t="s">
        <v>53</v>
      </c>
      <c r="C983" s="3" t="s">
        <v>50</v>
      </c>
      <c r="D983" s="3" t="s">
        <v>11</v>
      </c>
      <c r="E983" s="2" t="s">
        <v>21</v>
      </c>
      <c r="F983" s="3">
        <v>33</v>
      </c>
      <c r="G983" s="4">
        <v>30.6</v>
      </c>
      <c r="H983" s="4">
        <v>91.1</v>
      </c>
      <c r="I983" s="6">
        <v>6.483637418545908</v>
      </c>
      <c r="J983" s="5">
        <v>5.0999999999999997E-2</v>
      </c>
      <c r="K983" s="4">
        <v>26.7</v>
      </c>
      <c r="L983" s="4">
        <v>57.8</v>
      </c>
      <c r="M983" s="6">
        <v>4.4083667046684312</v>
      </c>
      <c r="N983" s="5">
        <v>4.8000000000000001E-2</v>
      </c>
      <c r="O983" s="5">
        <v>2.0752707138774769</v>
      </c>
      <c r="P983" s="5">
        <v>2.0752707138774769</v>
      </c>
      <c r="Q983" s="8">
        <v>0.20833333333333334</v>
      </c>
      <c r="R983" s="8">
        <v>0.88194444444444453</v>
      </c>
      <c r="S983" s="6">
        <f t="shared" si="45"/>
        <v>16.166666666666668</v>
      </c>
      <c r="T983" s="5">
        <f t="shared" si="46"/>
        <v>0.12836726065221504</v>
      </c>
      <c r="U983" s="3">
        <v>2.21</v>
      </c>
      <c r="V983" s="5">
        <f t="shared" si="47"/>
        <v>5.808473332679414E-2</v>
      </c>
      <c r="W983" s="3">
        <v>5.808473332679414E-2</v>
      </c>
    </row>
    <row r="984" spans="1:23" x14ac:dyDescent="0.55000000000000004">
      <c r="A984" s="3">
        <v>6</v>
      </c>
      <c r="B984" s="3" t="s">
        <v>51</v>
      </c>
      <c r="C984" s="3" t="s">
        <v>49</v>
      </c>
      <c r="D984" s="3" t="s">
        <v>39</v>
      </c>
      <c r="E984" s="3" t="s">
        <v>27</v>
      </c>
      <c r="F984" s="3">
        <v>54</v>
      </c>
      <c r="G984" s="4">
        <v>27.8</v>
      </c>
      <c r="H984" s="4">
        <v>103.8</v>
      </c>
      <c r="I984" s="6">
        <v>7.7609829925773877</v>
      </c>
      <c r="J984" s="5">
        <v>4.9000000000000002E-2</v>
      </c>
      <c r="K984" s="4">
        <v>24.7</v>
      </c>
      <c r="L984" s="4">
        <v>71.3</v>
      </c>
      <c r="M984" s="6">
        <v>5.6423715370434682</v>
      </c>
      <c r="N984" s="5">
        <v>5.1999999999999998E-2</v>
      </c>
      <c r="O984" s="5">
        <v>2.1186114555339195</v>
      </c>
      <c r="P984" s="5">
        <v>2.1186114555339195</v>
      </c>
      <c r="Q984" s="8">
        <v>0.20833333333333334</v>
      </c>
      <c r="R984" s="8">
        <v>0.89583333333333337</v>
      </c>
      <c r="S984" s="6">
        <f t="shared" si="45"/>
        <v>16.5</v>
      </c>
      <c r="T984" s="5">
        <f t="shared" si="46"/>
        <v>0.12840069427478301</v>
      </c>
      <c r="U984" s="3">
        <v>2.21</v>
      </c>
      <c r="V984" s="5">
        <f t="shared" si="47"/>
        <v>5.8099861662797743E-2</v>
      </c>
      <c r="W984" s="3">
        <v>5.8099861662797743E-2</v>
      </c>
    </row>
    <row r="985" spans="1:23" x14ac:dyDescent="0.55000000000000004">
      <c r="A985" s="3">
        <v>46</v>
      </c>
      <c r="B985" s="3" t="s">
        <v>51</v>
      </c>
      <c r="C985" s="3" t="s">
        <v>49</v>
      </c>
      <c r="D985" s="3" t="s">
        <v>39</v>
      </c>
      <c r="E985" s="3" t="s">
        <v>30</v>
      </c>
      <c r="F985" s="3">
        <v>65</v>
      </c>
      <c r="G985" s="4">
        <v>27.7</v>
      </c>
      <c r="H985" s="4">
        <v>119.1</v>
      </c>
      <c r="I985" s="6">
        <v>8.9209387135967742</v>
      </c>
      <c r="J985" s="5">
        <v>5.5E-2</v>
      </c>
      <c r="K985" s="4">
        <v>23.1</v>
      </c>
      <c r="L985" s="4">
        <v>83.7</v>
      </c>
      <c r="M985" s="6">
        <v>6.8271131411344808</v>
      </c>
      <c r="N985" s="5">
        <v>4.8000000000000001E-2</v>
      </c>
      <c r="O985" s="5">
        <v>2.0938255724622934</v>
      </c>
      <c r="P985" s="5">
        <v>2.0938255724622934</v>
      </c>
      <c r="Q985" s="8">
        <v>0.20833333333333334</v>
      </c>
      <c r="R985" s="8">
        <v>0.88541666666666663</v>
      </c>
      <c r="S985" s="6">
        <f t="shared" si="45"/>
        <v>16.25</v>
      </c>
      <c r="T985" s="5">
        <f t="shared" si="46"/>
        <v>0.12885080445921807</v>
      </c>
      <c r="U985" s="3">
        <v>2.21</v>
      </c>
      <c r="V985" s="5">
        <f t="shared" si="47"/>
        <v>5.8303531429510433E-2</v>
      </c>
      <c r="W985" s="3">
        <v>5.8303531429510433E-2</v>
      </c>
    </row>
    <row r="986" spans="1:23" x14ac:dyDescent="0.55000000000000004">
      <c r="A986" s="3">
        <v>7</v>
      </c>
      <c r="B986" s="3" t="s">
        <v>53</v>
      </c>
      <c r="C986" s="3" t="s">
        <v>49</v>
      </c>
      <c r="D986" s="3" t="s">
        <v>41</v>
      </c>
      <c r="E986" s="3" t="s">
        <v>29</v>
      </c>
      <c r="F986" s="3">
        <v>61</v>
      </c>
      <c r="G986" s="4">
        <v>27.9</v>
      </c>
      <c r="H986" s="4">
        <v>76.3</v>
      </c>
      <c r="I986" s="6">
        <v>5.6946301467378602</v>
      </c>
      <c r="J986" s="5">
        <v>8.3000000000000004E-2</v>
      </c>
      <c r="K986" s="4">
        <v>24</v>
      </c>
      <c r="L986" s="4">
        <v>44.5</v>
      </c>
      <c r="M986" s="6">
        <v>3.5681618918899556</v>
      </c>
      <c r="N986" s="5">
        <v>7.3999999999999996E-2</v>
      </c>
      <c r="O986" s="5">
        <v>2.1264682548479046</v>
      </c>
      <c r="P986" s="5">
        <v>2.1264682548479046</v>
      </c>
      <c r="Q986" s="8">
        <v>0.19791666666666666</v>
      </c>
      <c r="R986" s="8">
        <v>0.88541666666666663</v>
      </c>
      <c r="S986" s="6">
        <f t="shared" si="45"/>
        <v>16.5</v>
      </c>
      <c r="T986" s="5">
        <f t="shared" si="46"/>
        <v>0.12887686393017603</v>
      </c>
      <c r="U986" s="3">
        <v>2.21</v>
      </c>
      <c r="V986" s="5">
        <f t="shared" si="47"/>
        <v>5.8315323045328521E-2</v>
      </c>
      <c r="W986" s="3">
        <v>5.8315323045328521E-2</v>
      </c>
    </row>
    <row r="987" spans="1:23" x14ac:dyDescent="0.55000000000000004">
      <c r="A987" s="3">
        <v>26</v>
      </c>
      <c r="B987" s="3" t="s">
        <v>52</v>
      </c>
      <c r="C987" s="3" t="s">
        <v>50</v>
      </c>
      <c r="D987" s="3" t="s">
        <v>12</v>
      </c>
      <c r="E987" s="2" t="s">
        <v>19</v>
      </c>
      <c r="F987" s="3">
        <v>26</v>
      </c>
      <c r="G987" s="4">
        <v>22.6</v>
      </c>
      <c r="H987" s="4">
        <v>109.7</v>
      </c>
      <c r="I987" s="6">
        <v>9.0341115998620403</v>
      </c>
      <c r="J987" s="5">
        <v>4.7E-2</v>
      </c>
      <c r="K987" s="4">
        <v>23</v>
      </c>
      <c r="L987" s="4">
        <v>84.9</v>
      </c>
      <c r="M987" s="6">
        <v>6.9382573002314123</v>
      </c>
      <c r="N987" s="5">
        <v>3.9E-2</v>
      </c>
      <c r="O987" s="5">
        <v>2.095854299630628</v>
      </c>
      <c r="P987" s="5">
        <v>2.095854299630628</v>
      </c>
      <c r="Q987" s="8">
        <v>0.20833333333333334</v>
      </c>
      <c r="R987" s="8">
        <v>0.88541666666666663</v>
      </c>
      <c r="S987" s="6">
        <f t="shared" si="45"/>
        <v>16.25</v>
      </c>
      <c r="T987" s="5">
        <f t="shared" si="46"/>
        <v>0.12897564920803864</v>
      </c>
      <c r="U987" s="3">
        <v>2.21</v>
      </c>
      <c r="V987" s="5">
        <f t="shared" si="47"/>
        <v>5.8360022266080835E-2</v>
      </c>
      <c r="W987" s="3">
        <v>5.8360022266080835E-2</v>
      </c>
    </row>
    <row r="988" spans="1:23" x14ac:dyDescent="0.55000000000000004">
      <c r="A988" s="3">
        <v>40</v>
      </c>
      <c r="B988" s="3" t="s">
        <v>48</v>
      </c>
      <c r="C988" s="3" t="s">
        <v>50</v>
      </c>
      <c r="D988" s="3" t="s">
        <v>10</v>
      </c>
      <c r="E988" s="3" t="s">
        <v>31</v>
      </c>
      <c r="F988" s="3">
        <v>68</v>
      </c>
      <c r="G988" s="4">
        <v>25.2</v>
      </c>
      <c r="H988" s="4">
        <v>76.900000000000006</v>
      </c>
      <c r="I988" s="6">
        <v>6.0290920032134849</v>
      </c>
      <c r="J988" s="5">
        <v>5.5E-2</v>
      </c>
      <c r="K988" s="4">
        <v>23.9</v>
      </c>
      <c r="L988" s="4">
        <v>48.9</v>
      </c>
      <c r="M988" s="6">
        <v>3.9283846596425782</v>
      </c>
      <c r="N988" s="5">
        <v>5.6000000000000001E-2</v>
      </c>
      <c r="O988" s="5">
        <v>2.1007073435709067</v>
      </c>
      <c r="P988" s="5">
        <v>2.1007073435709067</v>
      </c>
      <c r="Q988" s="8">
        <v>0.20833333333333334</v>
      </c>
      <c r="R988" s="8">
        <v>0.88541666666666663</v>
      </c>
      <c r="S988" s="6">
        <f t="shared" si="45"/>
        <v>16.25</v>
      </c>
      <c r="T988" s="5">
        <f t="shared" si="46"/>
        <v>0.12927429806590196</v>
      </c>
      <c r="U988" s="3">
        <v>2.21</v>
      </c>
      <c r="V988" s="5">
        <f t="shared" si="47"/>
        <v>5.8495157495883236E-2</v>
      </c>
      <c r="W988" s="3">
        <v>5.8495157495883236E-2</v>
      </c>
    </row>
    <row r="989" spans="1:23" x14ac:dyDescent="0.55000000000000004">
      <c r="A989" s="3">
        <v>43</v>
      </c>
      <c r="B989" s="3" t="s">
        <v>51</v>
      </c>
      <c r="C989" s="3" t="s">
        <v>50</v>
      </c>
      <c r="D989" s="3" t="s">
        <v>9</v>
      </c>
      <c r="E989" s="3" t="s">
        <v>33</v>
      </c>
      <c r="F989" s="3">
        <v>75</v>
      </c>
      <c r="G989" s="4">
        <v>28.4</v>
      </c>
      <c r="H989" s="4">
        <v>87.5</v>
      </c>
      <c r="I989" s="6">
        <v>6.4725037393693876</v>
      </c>
      <c r="J989" s="5">
        <v>4.5999999999999999E-2</v>
      </c>
      <c r="K989" s="4">
        <v>24.5</v>
      </c>
      <c r="L989" s="4">
        <v>55</v>
      </c>
      <c r="M989" s="6">
        <v>4.3687912635487365</v>
      </c>
      <c r="N989" s="5">
        <v>3.5999999999999997E-2</v>
      </c>
      <c r="O989" s="5">
        <v>2.1037124758206511</v>
      </c>
      <c r="P989" s="5">
        <v>2.1037124758206511</v>
      </c>
      <c r="Q989" s="8">
        <v>0.20833333333333334</v>
      </c>
      <c r="R989" s="8">
        <v>0.88541666666666663</v>
      </c>
      <c r="S989" s="6">
        <f t="shared" si="45"/>
        <v>16.25</v>
      </c>
      <c r="T989" s="5">
        <f t="shared" si="46"/>
        <v>0.12945922928127085</v>
      </c>
      <c r="U989" s="3">
        <v>2.21</v>
      </c>
      <c r="V989" s="5">
        <f t="shared" si="47"/>
        <v>5.8578836778855579E-2</v>
      </c>
      <c r="W989" s="3">
        <v>5.8578836778855579E-2</v>
      </c>
    </row>
    <row r="990" spans="1:23" x14ac:dyDescent="0.55000000000000004">
      <c r="A990" s="3">
        <v>46</v>
      </c>
      <c r="B990" s="3" t="s">
        <v>51</v>
      </c>
      <c r="C990" s="3" t="s">
        <v>49</v>
      </c>
      <c r="D990" s="3" t="s">
        <v>39</v>
      </c>
      <c r="E990" s="2" t="s">
        <v>23</v>
      </c>
      <c r="F990" s="3">
        <v>40</v>
      </c>
      <c r="G990" s="4">
        <v>28.7</v>
      </c>
      <c r="H990" s="4">
        <v>94.3</v>
      </c>
      <c r="I990" s="6">
        <v>6.938442564917267</v>
      </c>
      <c r="J990" s="5">
        <v>4.9000000000000002E-2</v>
      </c>
      <c r="K990" s="4">
        <v>24</v>
      </c>
      <c r="L990" s="4">
        <v>60.1</v>
      </c>
      <c r="M990" s="6">
        <v>4.8190231393839627</v>
      </c>
      <c r="N990" s="5">
        <v>4.9000000000000002E-2</v>
      </c>
      <c r="O990" s="5">
        <v>2.1194194255333043</v>
      </c>
      <c r="P990" s="5">
        <v>2.1194194255333043</v>
      </c>
      <c r="Q990" s="8">
        <v>0.20833333333333334</v>
      </c>
      <c r="R990" s="8">
        <v>0.89027777777777783</v>
      </c>
      <c r="S990" s="6">
        <f t="shared" si="45"/>
        <v>16.366666666666667</v>
      </c>
      <c r="T990" s="5">
        <f t="shared" si="46"/>
        <v>0.12949609524643407</v>
      </c>
      <c r="U990" s="3">
        <v>2.21</v>
      </c>
      <c r="V990" s="5">
        <f t="shared" si="47"/>
        <v>5.8595518211056137E-2</v>
      </c>
      <c r="W990" s="3">
        <v>5.8595518211056137E-2</v>
      </c>
    </row>
    <row r="991" spans="1:23" x14ac:dyDescent="0.55000000000000004">
      <c r="A991" s="3">
        <v>34</v>
      </c>
      <c r="B991" s="3" t="s">
        <v>48</v>
      </c>
      <c r="C991" s="3" t="s">
        <v>50</v>
      </c>
      <c r="D991" s="3" t="s">
        <v>10</v>
      </c>
      <c r="E991" s="3" t="s">
        <v>28</v>
      </c>
      <c r="F991" s="3">
        <v>58</v>
      </c>
      <c r="G991" s="4">
        <v>27.9</v>
      </c>
      <c r="H991" s="4">
        <v>105.9</v>
      </c>
      <c r="I991" s="6">
        <v>7.9038182508458634</v>
      </c>
      <c r="J991" s="5">
        <v>7.2999999999999995E-2</v>
      </c>
      <c r="K991" s="4">
        <v>23.6</v>
      </c>
      <c r="L991" s="4">
        <v>71.599999999999994</v>
      </c>
      <c r="M991" s="6">
        <v>5.7847806600264393</v>
      </c>
      <c r="N991" s="5">
        <v>7.0000000000000007E-2</v>
      </c>
      <c r="O991" s="5">
        <v>2.1190375908194241</v>
      </c>
      <c r="P991" s="5">
        <v>2.1190375908194241</v>
      </c>
      <c r="Q991" s="8">
        <v>0.20833333333333334</v>
      </c>
      <c r="R991" s="8">
        <v>0.88888888888888884</v>
      </c>
      <c r="S991" s="6">
        <f t="shared" si="45"/>
        <v>16.333333333333332</v>
      </c>
      <c r="T991" s="5">
        <f t="shared" si="46"/>
        <v>0.12973699535629127</v>
      </c>
      <c r="U991" s="3">
        <v>2.21</v>
      </c>
      <c r="V991" s="5">
        <f t="shared" si="47"/>
        <v>5.8704522785652163E-2</v>
      </c>
      <c r="W991" s="3">
        <v>5.8704522785652163E-2</v>
      </c>
    </row>
    <row r="992" spans="1:23" x14ac:dyDescent="0.55000000000000004">
      <c r="A992" s="3">
        <v>33</v>
      </c>
      <c r="B992" s="3" t="s">
        <v>51</v>
      </c>
      <c r="C992" s="3" t="s">
        <v>50</v>
      </c>
      <c r="D992" s="3" t="s">
        <v>9</v>
      </c>
      <c r="E992" s="2" t="s">
        <v>18</v>
      </c>
      <c r="F992" s="3">
        <v>24</v>
      </c>
      <c r="G992" s="4">
        <v>22.6</v>
      </c>
      <c r="H992" s="4">
        <v>121.9</v>
      </c>
      <c r="I992" s="6">
        <v>10.038816809691731</v>
      </c>
      <c r="J992" s="5">
        <v>4.3999999999999997E-2</v>
      </c>
      <c r="K992" s="4">
        <v>20.3</v>
      </c>
      <c r="L992" s="4">
        <v>92.3</v>
      </c>
      <c r="M992" s="6">
        <v>7.9513607420136863</v>
      </c>
      <c r="N992" s="5">
        <v>0.04</v>
      </c>
      <c r="O992" s="5">
        <v>2.0874560676780449</v>
      </c>
      <c r="P992" s="5">
        <v>2.0874560676780449</v>
      </c>
      <c r="Q992" s="8">
        <v>0.21180555555555555</v>
      </c>
      <c r="R992" s="8">
        <v>0.88194444444444453</v>
      </c>
      <c r="S992" s="6">
        <f t="shared" si="45"/>
        <v>16.083333333333336</v>
      </c>
      <c r="T992" s="5">
        <f t="shared" si="46"/>
        <v>0.12979001457065562</v>
      </c>
      <c r="U992" s="3">
        <v>2.21</v>
      </c>
      <c r="V992" s="5">
        <f t="shared" si="47"/>
        <v>5.8728513380387162E-2</v>
      </c>
      <c r="W992" s="3">
        <v>5.8728513380387162E-2</v>
      </c>
    </row>
    <row r="993" spans="1:23" x14ac:dyDescent="0.55000000000000004">
      <c r="A993" s="3">
        <v>31</v>
      </c>
      <c r="B993" s="3" t="s">
        <v>52</v>
      </c>
      <c r="C993" s="3" t="s">
        <v>49</v>
      </c>
      <c r="D993" s="3" t="s">
        <v>40</v>
      </c>
      <c r="E993" s="2" t="s">
        <v>23</v>
      </c>
      <c r="F993" s="3">
        <v>40</v>
      </c>
      <c r="G993" s="4">
        <v>28.3</v>
      </c>
      <c r="H993" s="4">
        <v>92</v>
      </c>
      <c r="I993" s="6">
        <v>6.8175041030806094</v>
      </c>
      <c r="J993" s="5">
        <v>0.06</v>
      </c>
      <c r="K993" s="4">
        <v>23.7</v>
      </c>
      <c r="L993" s="4">
        <v>58.2</v>
      </c>
      <c r="M993" s="6">
        <v>4.6932403495477919</v>
      </c>
      <c r="N993" s="5">
        <v>5.6000000000000001E-2</v>
      </c>
      <c r="O993" s="5">
        <v>2.1242637535328175</v>
      </c>
      <c r="P993" s="5">
        <v>2.1242637535328175</v>
      </c>
      <c r="Q993" s="8">
        <v>0.20833333333333334</v>
      </c>
      <c r="R993" s="8">
        <v>0.89027777777777783</v>
      </c>
      <c r="S993" s="6">
        <f t="shared" si="45"/>
        <v>16.366666666666667</v>
      </c>
      <c r="T993" s="5">
        <f t="shared" si="46"/>
        <v>0.12979208270057949</v>
      </c>
      <c r="U993" s="3">
        <v>2.21</v>
      </c>
      <c r="V993" s="5">
        <f t="shared" si="47"/>
        <v>5.8729449185782566E-2</v>
      </c>
      <c r="W993" s="3">
        <v>5.8729449185782566E-2</v>
      </c>
    </row>
    <row r="994" spans="1:23" x14ac:dyDescent="0.55000000000000004">
      <c r="A994" s="3">
        <v>21</v>
      </c>
      <c r="B994" s="3" t="s">
        <v>48</v>
      </c>
      <c r="C994" s="3" t="s">
        <v>49</v>
      </c>
      <c r="D994" s="3" t="s">
        <v>38</v>
      </c>
      <c r="E994" s="2" t="s">
        <v>25</v>
      </c>
      <c r="F994" s="3">
        <v>47</v>
      </c>
      <c r="G994" s="4">
        <v>28.3</v>
      </c>
      <c r="H994" s="4">
        <v>74.2</v>
      </c>
      <c r="I994" s="6">
        <v>5.4984652657454482</v>
      </c>
      <c r="J994" s="5">
        <v>8.7999999999999995E-2</v>
      </c>
      <c r="K994" s="4">
        <v>25</v>
      </c>
      <c r="L994" s="4">
        <v>42.6</v>
      </c>
      <c r="M994" s="6">
        <v>3.3523585764083386</v>
      </c>
      <c r="N994" s="5">
        <v>8.1000000000000003E-2</v>
      </c>
      <c r="O994" s="5">
        <v>2.1461066893371097</v>
      </c>
      <c r="P994" s="5">
        <v>2.1461066893371097</v>
      </c>
      <c r="Q994" s="8">
        <v>0.20833333333333334</v>
      </c>
      <c r="R994" s="8">
        <v>0.89583333333333337</v>
      </c>
      <c r="S994" s="6">
        <f t="shared" si="45"/>
        <v>16.5</v>
      </c>
      <c r="T994" s="5">
        <f t="shared" si="46"/>
        <v>0.13006707208103696</v>
      </c>
      <c r="U994" s="3">
        <v>2.21</v>
      </c>
      <c r="V994" s="5">
        <f t="shared" si="47"/>
        <v>5.8853878769699983E-2</v>
      </c>
      <c r="W994" s="3">
        <v>5.8853878769699983E-2</v>
      </c>
    </row>
    <row r="995" spans="1:23" x14ac:dyDescent="0.55000000000000004">
      <c r="A995" s="3">
        <v>6</v>
      </c>
      <c r="B995" s="3" t="s">
        <v>51</v>
      </c>
      <c r="C995" s="3" t="s">
        <v>49</v>
      </c>
      <c r="D995" s="3" t="s">
        <v>39</v>
      </c>
      <c r="E995" s="3" t="s">
        <v>33</v>
      </c>
      <c r="F995" s="3">
        <v>75</v>
      </c>
      <c r="G995" s="4">
        <v>27.4</v>
      </c>
      <c r="H995" s="4">
        <v>88.7</v>
      </c>
      <c r="I995" s="6">
        <v>6.6798518333080485</v>
      </c>
      <c r="J995" s="5">
        <v>4.7E-2</v>
      </c>
      <c r="K995" s="4">
        <v>23.4</v>
      </c>
      <c r="L995" s="4">
        <v>56.3</v>
      </c>
      <c r="M995" s="6">
        <v>4.5659786370850357</v>
      </c>
      <c r="N995" s="5">
        <v>4.1000000000000002E-2</v>
      </c>
      <c r="O995" s="5">
        <v>2.1138731962230128</v>
      </c>
      <c r="P995" s="5">
        <v>2.1138731962230128</v>
      </c>
      <c r="Q995" s="8">
        <v>0.20833333333333334</v>
      </c>
      <c r="R995" s="8">
        <v>0.88541666666666663</v>
      </c>
      <c r="S995" s="6">
        <f t="shared" si="45"/>
        <v>16.25</v>
      </c>
      <c r="T995" s="5">
        <f t="shared" si="46"/>
        <v>0.13008450438295463</v>
      </c>
      <c r="U995" s="3">
        <v>2.21</v>
      </c>
      <c r="V995" s="5">
        <f t="shared" si="47"/>
        <v>5.886176668911975E-2</v>
      </c>
      <c r="W995" s="3">
        <v>5.886176668911975E-2</v>
      </c>
    </row>
    <row r="996" spans="1:23" x14ac:dyDescent="0.55000000000000004">
      <c r="A996" s="3">
        <v>48</v>
      </c>
      <c r="B996" s="3" t="s">
        <v>52</v>
      </c>
      <c r="C996" s="3" t="s">
        <v>49</v>
      </c>
      <c r="D996" s="3" t="s">
        <v>40</v>
      </c>
      <c r="E996" s="3" t="s">
        <v>30</v>
      </c>
      <c r="F996" s="3">
        <v>65</v>
      </c>
      <c r="G996" s="4">
        <v>26.8</v>
      </c>
      <c r="H996" s="4">
        <v>81.3</v>
      </c>
      <c r="I996" s="6">
        <v>6.1894293483250529</v>
      </c>
      <c r="J996" s="5">
        <v>7.6999999999999999E-2</v>
      </c>
      <c r="K996" s="4">
        <v>22.3</v>
      </c>
      <c r="L996" s="4">
        <v>49.2</v>
      </c>
      <c r="M996" s="6">
        <v>4.0752902114244813</v>
      </c>
      <c r="N996" s="5">
        <v>6.7000000000000004E-2</v>
      </c>
      <c r="O996" s="5">
        <v>2.1141391369005715</v>
      </c>
      <c r="P996" s="5">
        <v>2.1141391369005715</v>
      </c>
      <c r="Q996" s="8">
        <v>0.20833333333333334</v>
      </c>
      <c r="R996" s="8">
        <v>0.88541666666666663</v>
      </c>
      <c r="S996" s="6">
        <f t="shared" si="45"/>
        <v>16.25</v>
      </c>
      <c r="T996" s="5">
        <f t="shared" si="46"/>
        <v>0.1301008699631121</v>
      </c>
      <c r="U996" s="3">
        <v>2.21</v>
      </c>
      <c r="V996" s="5">
        <f t="shared" si="47"/>
        <v>5.8869171929009999E-2</v>
      </c>
      <c r="W996" s="3">
        <v>5.8869171929009999E-2</v>
      </c>
    </row>
    <row r="997" spans="1:23" x14ac:dyDescent="0.55000000000000004">
      <c r="A997" s="3">
        <v>24</v>
      </c>
      <c r="B997" s="3" t="s">
        <v>52</v>
      </c>
      <c r="C997" s="3" t="s">
        <v>49</v>
      </c>
      <c r="D997" s="3" t="s">
        <v>40</v>
      </c>
      <c r="E997" s="3" t="s">
        <v>27</v>
      </c>
      <c r="F997" s="3">
        <v>54</v>
      </c>
      <c r="G997" s="4">
        <v>28</v>
      </c>
      <c r="H997" s="4">
        <v>91.6</v>
      </c>
      <c r="I997" s="6">
        <v>6.8243153171860618</v>
      </c>
      <c r="J997" s="5">
        <v>5.2999999999999999E-2</v>
      </c>
      <c r="K997" s="4">
        <v>24.7</v>
      </c>
      <c r="L997" s="4">
        <v>59.1</v>
      </c>
      <c r="M997" s="6">
        <v>4.6769166597372926</v>
      </c>
      <c r="N997" s="5">
        <v>5.3999999999999999E-2</v>
      </c>
      <c r="O997" s="5">
        <v>2.1473986574487691</v>
      </c>
      <c r="P997" s="5">
        <v>2.1473986574487691</v>
      </c>
      <c r="Q997" s="8">
        <v>0.20833333333333334</v>
      </c>
      <c r="R997" s="8">
        <v>0.89583333333333337</v>
      </c>
      <c r="S997" s="6">
        <f t="shared" si="45"/>
        <v>16.5</v>
      </c>
      <c r="T997" s="5">
        <f t="shared" si="46"/>
        <v>0.13014537317871328</v>
      </c>
      <c r="U997" s="3">
        <v>2.21</v>
      </c>
      <c r="V997" s="5">
        <f t="shared" si="47"/>
        <v>5.8889309130639493E-2</v>
      </c>
      <c r="W997" s="3">
        <v>5.8889309130639493E-2</v>
      </c>
    </row>
    <row r="998" spans="1:23" x14ac:dyDescent="0.55000000000000004">
      <c r="A998" s="3">
        <v>54</v>
      </c>
      <c r="B998" s="3" t="s">
        <v>48</v>
      </c>
      <c r="C998" s="3" t="s">
        <v>50</v>
      </c>
      <c r="D998" s="3" t="s">
        <v>10</v>
      </c>
      <c r="E998" s="3" t="s">
        <v>28</v>
      </c>
      <c r="F998" s="3">
        <v>58</v>
      </c>
      <c r="G998" s="4">
        <v>28.2</v>
      </c>
      <c r="H998" s="4">
        <v>98.8</v>
      </c>
      <c r="I998" s="6">
        <v>7.3344720330019006</v>
      </c>
      <c r="J998" s="5">
        <v>4.9000000000000002E-2</v>
      </c>
      <c r="K998" s="4">
        <v>23.8</v>
      </c>
      <c r="L998" s="4">
        <v>64.7</v>
      </c>
      <c r="M998" s="6">
        <v>5.2075228470453467</v>
      </c>
      <c r="N998" s="5">
        <v>5.0999999999999997E-2</v>
      </c>
      <c r="O998" s="5">
        <v>2.1269491859565539</v>
      </c>
      <c r="P998" s="5">
        <v>2.1269491859565539</v>
      </c>
      <c r="Q998" s="8">
        <v>0.20833333333333334</v>
      </c>
      <c r="R998" s="8">
        <v>0.88888888888888884</v>
      </c>
      <c r="S998" s="6">
        <f t="shared" si="45"/>
        <v>16.333333333333332</v>
      </c>
      <c r="T998" s="5">
        <f t="shared" si="46"/>
        <v>0.13022137873203393</v>
      </c>
      <c r="U998" s="3">
        <v>2.21</v>
      </c>
      <c r="V998" s="5">
        <f t="shared" si="47"/>
        <v>5.892370078372576E-2</v>
      </c>
      <c r="W998" s="3">
        <v>5.892370078372576E-2</v>
      </c>
    </row>
    <row r="999" spans="1:23" x14ac:dyDescent="0.55000000000000004">
      <c r="A999" s="3">
        <v>28</v>
      </c>
      <c r="B999" s="3" t="s">
        <v>53</v>
      </c>
      <c r="C999" s="3" t="s">
        <v>50</v>
      </c>
      <c r="D999" s="3" t="s">
        <v>11</v>
      </c>
      <c r="E999" s="2" t="s">
        <v>23</v>
      </c>
      <c r="F999" s="3">
        <v>40</v>
      </c>
      <c r="G999" s="4">
        <v>28.9</v>
      </c>
      <c r="H999" s="4">
        <v>114.9</v>
      </c>
      <c r="I999" s="6">
        <v>8.4242779116760609</v>
      </c>
      <c r="J999" s="5">
        <v>5.5E-2</v>
      </c>
      <c r="K999" s="4">
        <v>24.9</v>
      </c>
      <c r="L999" s="4">
        <v>79.8</v>
      </c>
      <c r="M999" s="6">
        <v>6.2914836209893261</v>
      </c>
      <c r="N999" s="5">
        <v>5.3999999999999999E-2</v>
      </c>
      <c r="O999" s="5">
        <v>2.1327942906867348</v>
      </c>
      <c r="P999" s="5">
        <v>2.1327942906867348</v>
      </c>
      <c r="Q999" s="8">
        <v>0.20833333333333334</v>
      </c>
      <c r="R999" s="8">
        <v>0.89027777777777783</v>
      </c>
      <c r="S999" s="6">
        <f t="shared" si="45"/>
        <v>16.366666666666667</v>
      </c>
      <c r="T999" s="5">
        <f t="shared" si="46"/>
        <v>0.13031329678330356</v>
      </c>
      <c r="U999" s="3">
        <v>2.21</v>
      </c>
      <c r="V999" s="5">
        <f t="shared" si="47"/>
        <v>5.8965292662128306E-2</v>
      </c>
      <c r="W999" s="3">
        <v>5.8965292662128306E-2</v>
      </c>
    </row>
    <row r="1000" spans="1:23" x14ac:dyDescent="0.55000000000000004">
      <c r="A1000" s="3">
        <v>8</v>
      </c>
      <c r="B1000" s="3" t="s">
        <v>51</v>
      </c>
      <c r="C1000" s="3" t="s">
        <v>50</v>
      </c>
      <c r="D1000" s="3" t="s">
        <v>9</v>
      </c>
      <c r="E1000" s="2" t="s">
        <v>22</v>
      </c>
      <c r="F1000" s="3">
        <v>37</v>
      </c>
      <c r="G1000" s="4">
        <v>29.6</v>
      </c>
      <c r="H1000" s="4">
        <v>103</v>
      </c>
      <c r="I1000" s="6">
        <v>7.459318774460459</v>
      </c>
      <c r="J1000" s="5">
        <v>4.7E-2</v>
      </c>
      <c r="K1000" s="4">
        <v>24.7</v>
      </c>
      <c r="L1000" s="4">
        <v>67.2</v>
      </c>
      <c r="M1000" s="6">
        <v>5.3179153897520495</v>
      </c>
      <c r="N1000" s="5">
        <v>4.2000000000000003E-2</v>
      </c>
      <c r="O1000" s="5">
        <v>2.1414033847084095</v>
      </c>
      <c r="P1000" s="5">
        <v>2.1414033847084095</v>
      </c>
      <c r="Q1000" s="8">
        <v>0.20138888888888887</v>
      </c>
      <c r="R1000" s="8">
        <v>0.88541666666666663</v>
      </c>
      <c r="S1000" s="6">
        <f t="shared" si="45"/>
        <v>16.416666666666668</v>
      </c>
      <c r="T1000" s="5">
        <f t="shared" si="46"/>
        <v>0.13044081531218737</v>
      </c>
      <c r="U1000" s="3">
        <v>2.21</v>
      </c>
      <c r="V1000" s="5">
        <f t="shared" si="47"/>
        <v>5.9022993353930936E-2</v>
      </c>
      <c r="W1000" s="3">
        <v>5.9022993353930936E-2</v>
      </c>
    </row>
    <row r="1001" spans="1:23" x14ac:dyDescent="0.55000000000000004">
      <c r="A1001" s="3">
        <v>53</v>
      </c>
      <c r="B1001" s="3" t="s">
        <v>48</v>
      </c>
      <c r="C1001" s="3" t="s">
        <v>49</v>
      </c>
      <c r="D1001" s="3" t="s">
        <v>38</v>
      </c>
      <c r="E1001" s="3" t="s">
        <v>34</v>
      </c>
      <c r="F1001" s="3">
        <v>79</v>
      </c>
      <c r="G1001" s="4">
        <v>28.7</v>
      </c>
      <c r="H1001" s="4">
        <v>94</v>
      </c>
      <c r="I1001" s="6">
        <v>6.9163690466831724</v>
      </c>
      <c r="J1001" s="5">
        <v>5.8999999999999997E-2</v>
      </c>
      <c r="K1001" s="4">
        <v>25.2</v>
      </c>
      <c r="L1001" s="4">
        <v>61.1</v>
      </c>
      <c r="M1001" s="6">
        <v>4.7903448816169565</v>
      </c>
      <c r="N1001" s="5">
        <v>5.1999999999999998E-2</v>
      </c>
      <c r="O1001" s="5">
        <v>2.1260241650662159</v>
      </c>
      <c r="P1001" s="5">
        <v>2.1260241650662159</v>
      </c>
      <c r="Q1001" s="8">
        <v>0.20833333333333334</v>
      </c>
      <c r="R1001" s="8">
        <v>0.88541666666666663</v>
      </c>
      <c r="S1001" s="6">
        <f t="shared" si="45"/>
        <v>16.25</v>
      </c>
      <c r="T1001" s="5">
        <f t="shared" si="46"/>
        <v>0.13083225631176715</v>
      </c>
      <c r="U1001" s="3">
        <v>2.21</v>
      </c>
      <c r="V1001" s="5">
        <f t="shared" si="47"/>
        <v>5.9200115978175177E-2</v>
      </c>
      <c r="W1001" s="3">
        <v>5.9200115978175177E-2</v>
      </c>
    </row>
    <row r="1002" spans="1:23" x14ac:dyDescent="0.55000000000000004">
      <c r="A1002" s="3">
        <v>36</v>
      </c>
      <c r="B1002" s="3" t="s">
        <v>52</v>
      </c>
      <c r="C1002" s="3" t="s">
        <v>50</v>
      </c>
      <c r="D1002" s="3" t="s">
        <v>12</v>
      </c>
      <c r="E1002" s="2" t="s">
        <v>20</v>
      </c>
      <c r="F1002" s="3">
        <v>30</v>
      </c>
      <c r="G1002" s="4">
        <v>27.4</v>
      </c>
      <c r="H1002" s="4">
        <v>97.2</v>
      </c>
      <c r="I1002" s="6">
        <v>7.3199729221819885</v>
      </c>
      <c r="J1002" s="5">
        <v>5.7000000000000002E-2</v>
      </c>
      <c r="K1002" s="4">
        <v>23.7</v>
      </c>
      <c r="L1002" s="4">
        <v>64.400000000000006</v>
      </c>
      <c r="M1002" s="6">
        <v>5.1932075345511644</v>
      </c>
      <c r="N1002" s="5">
        <v>5.3999999999999999E-2</v>
      </c>
      <c r="O1002" s="5">
        <v>2.1267653876308241</v>
      </c>
      <c r="P1002" s="5">
        <v>2.1267653876308241</v>
      </c>
      <c r="Q1002" s="8">
        <v>0.20833333333333334</v>
      </c>
      <c r="R1002" s="8">
        <v>0.88541666666666663</v>
      </c>
      <c r="S1002" s="6">
        <f t="shared" si="45"/>
        <v>16.25</v>
      </c>
      <c r="T1002" s="5">
        <f t="shared" si="46"/>
        <v>0.13087787000805071</v>
      </c>
      <c r="U1002" s="3">
        <v>2.21</v>
      </c>
      <c r="V1002" s="5">
        <f t="shared" si="47"/>
        <v>5.9220755659751455E-2</v>
      </c>
      <c r="W1002" s="3">
        <v>5.9220755659751455E-2</v>
      </c>
    </row>
    <row r="1003" spans="1:23" x14ac:dyDescent="0.55000000000000004">
      <c r="A1003" s="3">
        <v>26</v>
      </c>
      <c r="B1003" s="3" t="s">
        <v>52</v>
      </c>
      <c r="C1003" s="3" t="s">
        <v>50</v>
      </c>
      <c r="D1003" s="3" t="s">
        <v>12</v>
      </c>
      <c r="E1003" s="2" t="s">
        <v>24</v>
      </c>
      <c r="F1003" s="3">
        <v>44</v>
      </c>
      <c r="G1003" s="4">
        <v>26.2</v>
      </c>
      <c r="H1003" s="4">
        <v>105.5</v>
      </c>
      <c r="I1003" s="6">
        <v>8.1202106857422205</v>
      </c>
      <c r="J1003" s="5">
        <v>4.8000000000000001E-2</v>
      </c>
      <c r="K1003" s="4">
        <v>22.2</v>
      </c>
      <c r="L1003" s="4">
        <v>71.3</v>
      </c>
      <c r="M1003" s="6">
        <v>5.9172998871289142</v>
      </c>
      <c r="N1003" s="5">
        <v>4.2000000000000003E-2</v>
      </c>
      <c r="O1003" s="5">
        <v>2.2029107986133063</v>
      </c>
      <c r="P1003" s="5">
        <v>2.2029107986133063</v>
      </c>
      <c r="Q1003" s="8">
        <v>0.20277777777777781</v>
      </c>
      <c r="R1003" s="8">
        <v>0.90277777777777779</v>
      </c>
      <c r="S1003" s="6">
        <f t="shared" si="45"/>
        <v>16.799999999999997</v>
      </c>
      <c r="T1003" s="5">
        <f t="shared" si="46"/>
        <v>0.13112564277460159</v>
      </c>
      <c r="U1003" s="3">
        <v>2.21</v>
      </c>
      <c r="V1003" s="5">
        <f t="shared" si="47"/>
        <v>5.9332870033756376E-2</v>
      </c>
      <c r="W1003" s="3">
        <v>5.9332870033756376E-2</v>
      </c>
    </row>
    <row r="1004" spans="1:23" x14ac:dyDescent="0.55000000000000004">
      <c r="A1004" s="3">
        <v>63</v>
      </c>
      <c r="B1004" s="3" t="s">
        <v>51</v>
      </c>
      <c r="C1004" s="3" t="s">
        <v>49</v>
      </c>
      <c r="D1004" s="3" t="s">
        <v>39</v>
      </c>
      <c r="E1004" s="2" t="s">
        <v>25</v>
      </c>
      <c r="F1004" s="3">
        <v>47</v>
      </c>
      <c r="G1004" s="4">
        <v>29.1</v>
      </c>
      <c r="H1004" s="4">
        <v>103</v>
      </c>
      <c r="I1004" s="6">
        <v>7.5251679275779102</v>
      </c>
      <c r="J1004" s="5">
        <v>5.6000000000000001E-2</v>
      </c>
      <c r="K1004" s="4">
        <v>25.7</v>
      </c>
      <c r="L1004" s="4">
        <v>69</v>
      </c>
      <c r="M1004" s="6">
        <v>5.3598877432488665</v>
      </c>
      <c r="N1004" s="5">
        <v>5.2999999999999999E-2</v>
      </c>
      <c r="O1004" s="5">
        <v>2.1652801843290437</v>
      </c>
      <c r="P1004" s="5">
        <v>2.1652801843290437</v>
      </c>
      <c r="Q1004" s="8">
        <v>0.20833333333333334</v>
      </c>
      <c r="R1004" s="8">
        <v>0.89583333333333337</v>
      </c>
      <c r="S1004" s="6">
        <f t="shared" si="45"/>
        <v>16.5</v>
      </c>
      <c r="T1004" s="5">
        <f t="shared" si="46"/>
        <v>0.13122910208054811</v>
      </c>
      <c r="U1004" s="3">
        <v>2.21</v>
      </c>
      <c r="V1004" s="5">
        <f t="shared" si="47"/>
        <v>5.937968419934303E-2</v>
      </c>
      <c r="W1004" s="3">
        <v>5.937968419934303E-2</v>
      </c>
    </row>
    <row r="1005" spans="1:23" x14ac:dyDescent="0.55000000000000004">
      <c r="A1005" s="3">
        <v>1</v>
      </c>
      <c r="B1005" s="3" t="s">
        <v>51</v>
      </c>
      <c r="C1005" s="3" t="s">
        <v>49</v>
      </c>
      <c r="D1005" s="3" t="s">
        <v>39</v>
      </c>
      <c r="E1005" s="3" t="s">
        <v>31</v>
      </c>
      <c r="F1005" s="3">
        <v>68</v>
      </c>
      <c r="G1005" s="4">
        <v>25.5</v>
      </c>
      <c r="H1005" s="4">
        <v>81.900000000000006</v>
      </c>
      <c r="I1005" s="6">
        <v>6.3854984713769776</v>
      </c>
      <c r="J1005" s="5">
        <v>4.3999999999999997E-2</v>
      </c>
      <c r="K1005" s="4">
        <v>24</v>
      </c>
      <c r="L1005" s="4">
        <v>53</v>
      </c>
      <c r="M1005" s="6">
        <v>4.249720904947587</v>
      </c>
      <c r="N1005" s="5">
        <v>4.7E-2</v>
      </c>
      <c r="O1005" s="5">
        <v>2.1357775664293905</v>
      </c>
      <c r="P1005" s="5">
        <v>2.1357775664293905</v>
      </c>
      <c r="Q1005" s="8">
        <v>0.20833333333333334</v>
      </c>
      <c r="R1005" s="8">
        <v>0.88541666666666663</v>
      </c>
      <c r="S1005" s="6">
        <f t="shared" si="45"/>
        <v>16.25</v>
      </c>
      <c r="T1005" s="5">
        <f t="shared" si="46"/>
        <v>0.13143246562642402</v>
      </c>
      <c r="U1005" s="3">
        <v>2.21</v>
      </c>
      <c r="V1005" s="5">
        <f t="shared" si="47"/>
        <v>5.9471703903359291E-2</v>
      </c>
      <c r="W1005" s="3">
        <v>5.9471703903359291E-2</v>
      </c>
    </row>
    <row r="1006" spans="1:23" x14ac:dyDescent="0.55000000000000004">
      <c r="A1006" s="3">
        <v>21</v>
      </c>
      <c r="B1006" s="3" t="s">
        <v>48</v>
      </c>
      <c r="C1006" s="3" t="s">
        <v>49</v>
      </c>
      <c r="D1006" s="3" t="s">
        <v>38</v>
      </c>
      <c r="E1006" s="2" t="s">
        <v>24</v>
      </c>
      <c r="F1006" s="3">
        <v>44</v>
      </c>
      <c r="G1006" s="4">
        <v>25.7</v>
      </c>
      <c r="H1006" s="4">
        <v>82.8</v>
      </c>
      <c r="I1006" s="6">
        <v>6.4318652918986405</v>
      </c>
      <c r="J1006" s="5">
        <v>7.0999999999999994E-2</v>
      </c>
      <c r="K1006" s="4">
        <v>20.8</v>
      </c>
      <c r="L1006" s="4">
        <v>49.5</v>
      </c>
      <c r="M1006" s="6">
        <v>4.2221776393345039</v>
      </c>
      <c r="N1006" s="5">
        <v>6.5000000000000002E-2</v>
      </c>
      <c r="O1006" s="5">
        <v>2.2096876525641367</v>
      </c>
      <c r="P1006" s="5">
        <v>2.2096876525641367</v>
      </c>
      <c r="Q1006" s="8">
        <v>0.20277777777777781</v>
      </c>
      <c r="R1006" s="8">
        <v>0.90277777777777779</v>
      </c>
      <c r="S1006" s="6">
        <f t="shared" si="45"/>
        <v>16.799999999999997</v>
      </c>
      <c r="T1006" s="5">
        <f t="shared" si="46"/>
        <v>0.13152902693834148</v>
      </c>
      <c r="U1006" s="3">
        <v>2.21</v>
      </c>
      <c r="V1006" s="5">
        <f t="shared" si="47"/>
        <v>5.9515396804679405E-2</v>
      </c>
      <c r="W1006" s="3">
        <v>5.9515396804679405E-2</v>
      </c>
    </row>
    <row r="1007" spans="1:23" x14ac:dyDescent="0.55000000000000004">
      <c r="A1007" s="3">
        <v>30</v>
      </c>
      <c r="B1007" s="3" t="s">
        <v>52</v>
      </c>
      <c r="C1007" s="3" t="s">
        <v>49</v>
      </c>
      <c r="D1007" s="3" t="s">
        <v>40</v>
      </c>
      <c r="E1007" s="3" t="s">
        <v>34</v>
      </c>
      <c r="F1007" s="3">
        <v>79</v>
      </c>
      <c r="G1007" s="4">
        <v>28.5</v>
      </c>
      <c r="H1007" s="4">
        <v>79.8</v>
      </c>
      <c r="I1007" s="6">
        <v>5.8924353974825916</v>
      </c>
      <c r="J1007" s="5">
        <v>8.6999999999999994E-2</v>
      </c>
      <c r="K1007" s="4">
        <v>25.1</v>
      </c>
      <c r="L1007" s="4">
        <v>47.8</v>
      </c>
      <c r="M1007" s="6">
        <v>3.7545730778985313</v>
      </c>
      <c r="N1007" s="5">
        <v>0.08</v>
      </c>
      <c r="O1007" s="5">
        <v>2.1378623195840603</v>
      </c>
      <c r="P1007" s="5">
        <v>2.1378623195840603</v>
      </c>
      <c r="Q1007" s="8">
        <v>0.20833333333333334</v>
      </c>
      <c r="R1007" s="8">
        <v>0.88541666666666663</v>
      </c>
      <c r="S1007" s="6">
        <f t="shared" si="45"/>
        <v>16.25</v>
      </c>
      <c r="T1007" s="5">
        <f t="shared" si="46"/>
        <v>0.13156075812824986</v>
      </c>
      <c r="U1007" s="3">
        <v>2.21</v>
      </c>
      <c r="V1007" s="5">
        <f t="shared" si="47"/>
        <v>5.9529754809162838E-2</v>
      </c>
      <c r="W1007" s="3">
        <v>5.9529754809162838E-2</v>
      </c>
    </row>
    <row r="1008" spans="1:23" x14ac:dyDescent="0.55000000000000004">
      <c r="A1008" s="3">
        <v>48</v>
      </c>
      <c r="B1008" s="3" t="s">
        <v>52</v>
      </c>
      <c r="C1008" s="3" t="s">
        <v>49</v>
      </c>
      <c r="D1008" s="3" t="s">
        <v>40</v>
      </c>
      <c r="E1008" s="3" t="s">
        <v>26</v>
      </c>
      <c r="F1008" s="3">
        <v>51</v>
      </c>
      <c r="G1008" s="4">
        <v>26.7</v>
      </c>
      <c r="H1008" s="4">
        <v>82.3</v>
      </c>
      <c r="I1008" s="6">
        <v>6.2769650483427668</v>
      </c>
      <c r="J1008" s="5">
        <v>8.1000000000000003E-2</v>
      </c>
      <c r="K1008" s="4">
        <v>24.1</v>
      </c>
      <c r="L1008" s="4">
        <v>52.1</v>
      </c>
      <c r="M1008" s="6">
        <v>4.1696807065341517</v>
      </c>
      <c r="N1008" s="5">
        <v>7.8E-2</v>
      </c>
      <c r="O1008" s="5">
        <v>2.1072843418086151</v>
      </c>
      <c r="P1008" s="5">
        <v>2.1072843418086151</v>
      </c>
      <c r="Q1008" s="8">
        <v>0.20833333333333334</v>
      </c>
      <c r="R1008" s="8">
        <v>0.875</v>
      </c>
      <c r="S1008" s="6">
        <f t="shared" si="45"/>
        <v>16</v>
      </c>
      <c r="T1008" s="5">
        <f t="shared" si="46"/>
        <v>0.13170527136303845</v>
      </c>
      <c r="U1008" s="3">
        <v>2.21</v>
      </c>
      <c r="V1008" s="5">
        <f t="shared" si="47"/>
        <v>5.9595145413139566E-2</v>
      </c>
      <c r="W1008" s="3">
        <v>5.9595145413139566E-2</v>
      </c>
    </row>
    <row r="1009" spans="1:23" x14ac:dyDescent="0.55000000000000004">
      <c r="A1009" s="3">
        <v>62</v>
      </c>
      <c r="B1009" s="3" t="s">
        <v>52</v>
      </c>
      <c r="C1009" s="3" t="s">
        <v>49</v>
      </c>
      <c r="D1009" s="3" t="s">
        <v>40</v>
      </c>
      <c r="E1009" s="3" t="s">
        <v>29</v>
      </c>
      <c r="F1009" s="3">
        <v>61</v>
      </c>
      <c r="G1009" s="4">
        <v>30.5</v>
      </c>
      <c r="H1009" s="4">
        <v>104</v>
      </c>
      <c r="I1009" s="6">
        <v>7.4145628864954949</v>
      </c>
      <c r="J1009" s="5">
        <v>7.3999999999999996E-2</v>
      </c>
      <c r="K1009" s="4">
        <v>25.8</v>
      </c>
      <c r="L1009" s="4">
        <v>67.5</v>
      </c>
      <c r="M1009" s="6">
        <v>5.2337124704065268</v>
      </c>
      <c r="N1009" s="5">
        <v>7.1999999999999995E-2</v>
      </c>
      <c r="O1009" s="5">
        <v>2.1808504160889681</v>
      </c>
      <c r="P1009" s="5">
        <v>2.1808504160889681</v>
      </c>
      <c r="Q1009" s="8">
        <v>0.19791666666666666</v>
      </c>
      <c r="R1009" s="8">
        <v>0.88541666666666663</v>
      </c>
      <c r="S1009" s="6">
        <f t="shared" si="45"/>
        <v>16.5</v>
      </c>
      <c r="T1009" s="5">
        <f t="shared" si="46"/>
        <v>0.13217275249024049</v>
      </c>
      <c r="U1009" s="3">
        <v>2.21</v>
      </c>
      <c r="V1009" s="5">
        <f t="shared" si="47"/>
        <v>5.9806675334950453E-2</v>
      </c>
      <c r="W1009" s="3">
        <v>5.9806675334950453E-2</v>
      </c>
    </row>
    <row r="1010" spans="1:23" x14ac:dyDescent="0.55000000000000004">
      <c r="A1010" s="3">
        <v>47</v>
      </c>
      <c r="B1010" s="3" t="s">
        <v>52</v>
      </c>
      <c r="C1010" s="3" t="s">
        <v>50</v>
      </c>
      <c r="D1010" s="3" t="s">
        <v>12</v>
      </c>
      <c r="E1010" s="3" t="s">
        <v>28</v>
      </c>
      <c r="F1010" s="3">
        <v>58</v>
      </c>
      <c r="G1010" s="4">
        <v>28.2</v>
      </c>
      <c r="H1010" s="4">
        <v>88.1</v>
      </c>
      <c r="I1010" s="6">
        <v>6.5401516812496698</v>
      </c>
      <c r="J1010" s="5">
        <v>6.3E-2</v>
      </c>
      <c r="K1010" s="4">
        <v>23.8</v>
      </c>
      <c r="L1010" s="4">
        <v>54.4</v>
      </c>
      <c r="M1010" s="6">
        <v>4.3785045267274629</v>
      </c>
      <c r="N1010" s="5">
        <v>5.8000000000000003E-2</v>
      </c>
      <c r="O1010" s="5">
        <v>2.1616471545222069</v>
      </c>
      <c r="P1010" s="5">
        <v>2.1616471545222069</v>
      </c>
      <c r="Q1010" s="8">
        <v>0.20833333333333334</v>
      </c>
      <c r="R1010" s="8">
        <v>0.88888888888888884</v>
      </c>
      <c r="S1010" s="6">
        <f t="shared" si="45"/>
        <v>16.333333333333332</v>
      </c>
      <c r="T1010" s="5">
        <f t="shared" si="46"/>
        <v>0.13234574415442085</v>
      </c>
      <c r="U1010" s="3">
        <v>2.21</v>
      </c>
      <c r="V1010" s="5">
        <f t="shared" si="47"/>
        <v>5.9884952106072781E-2</v>
      </c>
      <c r="W1010" s="3">
        <v>5.9884952106072781E-2</v>
      </c>
    </row>
    <row r="1011" spans="1:23" x14ac:dyDescent="0.55000000000000004">
      <c r="A1011" s="3">
        <v>21</v>
      </c>
      <c r="B1011" s="3" t="s">
        <v>48</v>
      </c>
      <c r="C1011" s="3" t="s">
        <v>49</v>
      </c>
      <c r="D1011" s="3" t="s">
        <v>38</v>
      </c>
      <c r="E1011" s="3" t="s">
        <v>29</v>
      </c>
      <c r="F1011" s="3">
        <v>61</v>
      </c>
      <c r="G1011" s="4">
        <v>28.4</v>
      </c>
      <c r="H1011" s="4">
        <v>78.599999999999994</v>
      </c>
      <c r="I1011" s="6">
        <v>5.8141576447363876</v>
      </c>
      <c r="J1011" s="5">
        <v>0.104</v>
      </c>
      <c r="K1011" s="4">
        <v>24.5</v>
      </c>
      <c r="L1011" s="4">
        <v>45.7</v>
      </c>
      <c r="M1011" s="6">
        <v>3.6300683771668587</v>
      </c>
      <c r="N1011" s="5">
        <v>9.7000000000000003E-2</v>
      </c>
      <c r="O1011" s="5">
        <v>2.1840892675695289</v>
      </c>
      <c r="P1011" s="5">
        <v>2.1840892675695289</v>
      </c>
      <c r="Q1011" s="8">
        <v>0.19791666666666666</v>
      </c>
      <c r="R1011" s="8">
        <v>0.88541666666666663</v>
      </c>
      <c r="S1011" s="6">
        <f t="shared" si="45"/>
        <v>16.5</v>
      </c>
      <c r="T1011" s="5">
        <f t="shared" si="46"/>
        <v>0.1323690465193654</v>
      </c>
      <c r="U1011" s="3">
        <v>2.21</v>
      </c>
      <c r="V1011" s="5">
        <f t="shared" si="47"/>
        <v>5.9895496162608773E-2</v>
      </c>
      <c r="W1011" s="3">
        <v>5.9895496162608773E-2</v>
      </c>
    </row>
    <row r="1012" spans="1:23" x14ac:dyDescent="0.55000000000000004">
      <c r="A1012" s="3">
        <v>11</v>
      </c>
      <c r="B1012" s="3" t="s">
        <v>53</v>
      </c>
      <c r="C1012" s="3" t="s">
        <v>49</v>
      </c>
      <c r="D1012" s="3" t="s">
        <v>41</v>
      </c>
      <c r="E1012" s="2" t="s">
        <v>22</v>
      </c>
      <c r="F1012" s="3">
        <v>37</v>
      </c>
      <c r="G1012" s="4">
        <v>28.3</v>
      </c>
      <c r="H1012" s="4">
        <v>79.099999999999994</v>
      </c>
      <c r="I1012" s="6">
        <v>5.8615714625399589</v>
      </c>
      <c r="J1012" s="5">
        <v>6.3E-2</v>
      </c>
      <c r="K1012" s="4">
        <v>24</v>
      </c>
      <c r="L1012" s="4">
        <v>46</v>
      </c>
      <c r="M1012" s="6">
        <v>3.6884370118413021</v>
      </c>
      <c r="N1012" s="5">
        <v>6.0999999999999999E-2</v>
      </c>
      <c r="O1012" s="5">
        <v>2.1731344506986567</v>
      </c>
      <c r="P1012" s="5">
        <v>2.1731344506986567</v>
      </c>
      <c r="Q1012" s="8">
        <v>0.20138888888888887</v>
      </c>
      <c r="R1012" s="8">
        <v>0.88541666666666663</v>
      </c>
      <c r="S1012" s="6">
        <f t="shared" si="45"/>
        <v>16.416666666666668</v>
      </c>
      <c r="T1012" s="5">
        <f t="shared" si="46"/>
        <v>0.13237367212377604</v>
      </c>
      <c r="U1012" s="3">
        <v>2.21</v>
      </c>
      <c r="V1012" s="5">
        <f t="shared" si="47"/>
        <v>5.9897589196278744E-2</v>
      </c>
      <c r="W1012" s="3">
        <v>5.9897589196278744E-2</v>
      </c>
    </row>
    <row r="1013" spans="1:23" x14ac:dyDescent="0.55000000000000004">
      <c r="A1013" s="3">
        <v>26</v>
      </c>
      <c r="B1013" s="3" t="s">
        <v>52</v>
      </c>
      <c r="C1013" s="3" t="s">
        <v>50</v>
      </c>
      <c r="D1013" s="3" t="s">
        <v>12</v>
      </c>
      <c r="E1013" s="2" t="s">
        <v>25</v>
      </c>
      <c r="F1013" s="3">
        <v>47</v>
      </c>
      <c r="G1013" s="4">
        <v>29.9</v>
      </c>
      <c r="H1013" s="4">
        <v>92.1</v>
      </c>
      <c r="I1013" s="6">
        <v>6.6350320754452294</v>
      </c>
      <c r="J1013" s="5">
        <v>5.1999999999999998E-2</v>
      </c>
      <c r="K1013" s="4">
        <v>26.6</v>
      </c>
      <c r="L1013" s="4">
        <v>58.2</v>
      </c>
      <c r="M1013" s="6">
        <v>4.4469651616705974</v>
      </c>
      <c r="N1013" s="5">
        <v>4.4999999999999998E-2</v>
      </c>
      <c r="O1013" s="5">
        <v>2.188066913774632</v>
      </c>
      <c r="P1013" s="5">
        <v>2.188066913774632</v>
      </c>
      <c r="Q1013" s="8">
        <v>0.20833333333333334</v>
      </c>
      <c r="R1013" s="8">
        <v>0.89583333333333337</v>
      </c>
      <c r="S1013" s="6">
        <f t="shared" si="45"/>
        <v>16.5</v>
      </c>
      <c r="T1013" s="5">
        <f t="shared" si="46"/>
        <v>0.13261011598634134</v>
      </c>
      <c r="U1013" s="3">
        <v>2.21</v>
      </c>
      <c r="V1013" s="5">
        <f t="shared" si="47"/>
        <v>6.000457736938522E-2</v>
      </c>
      <c r="W1013" s="3">
        <v>6.000457736938522E-2</v>
      </c>
    </row>
    <row r="1014" spans="1:23" x14ac:dyDescent="0.55000000000000004">
      <c r="A1014" s="3">
        <v>17</v>
      </c>
      <c r="B1014" s="3" t="s">
        <v>52</v>
      </c>
      <c r="C1014" s="3" t="s">
        <v>50</v>
      </c>
      <c r="D1014" s="3" t="s">
        <v>12</v>
      </c>
      <c r="E1014" s="3" t="s">
        <v>34</v>
      </c>
      <c r="F1014" s="3">
        <v>79</v>
      </c>
      <c r="G1014" s="4">
        <v>28.1</v>
      </c>
      <c r="H1014" s="4">
        <v>66.5</v>
      </c>
      <c r="I1014" s="6">
        <v>4.9454851287789312</v>
      </c>
      <c r="J1014" s="5">
        <v>9.7000000000000003E-2</v>
      </c>
      <c r="K1014" s="4">
        <v>24.8</v>
      </c>
      <c r="L1014" s="4">
        <v>35.299999999999997</v>
      </c>
      <c r="M1014" s="6">
        <v>2.7882731143790642</v>
      </c>
      <c r="N1014" s="5">
        <v>9.2999999999999999E-2</v>
      </c>
      <c r="O1014" s="5">
        <v>2.157212014399867</v>
      </c>
      <c r="P1014" s="5">
        <v>2.157212014399867</v>
      </c>
      <c r="Q1014" s="8">
        <v>0.20833333333333334</v>
      </c>
      <c r="R1014" s="8">
        <v>0.88541666666666663</v>
      </c>
      <c r="S1014" s="6">
        <f t="shared" si="45"/>
        <v>16.25</v>
      </c>
      <c r="T1014" s="5">
        <f t="shared" si="46"/>
        <v>0.13275150857845336</v>
      </c>
      <c r="U1014" s="3">
        <v>2.21</v>
      </c>
      <c r="V1014" s="5">
        <f t="shared" si="47"/>
        <v>6.00685559178522E-2</v>
      </c>
      <c r="W1014" s="3">
        <v>6.00685559178522E-2</v>
      </c>
    </row>
    <row r="1015" spans="1:23" x14ac:dyDescent="0.55000000000000004">
      <c r="A1015" s="3">
        <v>25</v>
      </c>
      <c r="B1015" s="3" t="s">
        <v>53</v>
      </c>
      <c r="C1015" s="3" t="s">
        <v>49</v>
      </c>
      <c r="D1015" s="3" t="s">
        <v>41</v>
      </c>
      <c r="E1015" s="2" t="s">
        <v>22</v>
      </c>
      <c r="F1015" s="3">
        <v>37</v>
      </c>
      <c r="G1015" s="4">
        <v>28.6</v>
      </c>
      <c r="H1015" s="4">
        <v>78.7</v>
      </c>
      <c r="I1015" s="6">
        <v>5.8008996731771596</v>
      </c>
      <c r="J1015" s="5">
        <v>7.1999999999999995E-2</v>
      </c>
      <c r="K1015" s="4">
        <v>23.7</v>
      </c>
      <c r="L1015" s="4">
        <v>44.9</v>
      </c>
      <c r="M1015" s="6">
        <v>3.6207300978470074</v>
      </c>
      <c r="N1015" s="5">
        <v>7.0000000000000007E-2</v>
      </c>
      <c r="O1015" s="5">
        <v>2.1801695753301522</v>
      </c>
      <c r="P1015" s="5">
        <v>2.1801695753301522</v>
      </c>
      <c r="Q1015" s="8">
        <v>0.20138888888888887</v>
      </c>
      <c r="R1015" s="8">
        <v>0.88541666666666663</v>
      </c>
      <c r="S1015" s="6">
        <f t="shared" si="45"/>
        <v>16.416666666666668</v>
      </c>
      <c r="T1015" s="5">
        <f t="shared" si="46"/>
        <v>0.13280220763432399</v>
      </c>
      <c r="U1015" s="3">
        <v>2.21</v>
      </c>
      <c r="V1015" s="5">
        <f t="shared" si="47"/>
        <v>6.0091496667114927E-2</v>
      </c>
      <c r="W1015" s="3">
        <v>6.0091496667114927E-2</v>
      </c>
    </row>
    <row r="1016" spans="1:23" x14ac:dyDescent="0.55000000000000004">
      <c r="A1016" s="3">
        <v>55</v>
      </c>
      <c r="B1016" s="3" t="s">
        <v>52</v>
      </c>
      <c r="C1016" s="3" t="s">
        <v>49</v>
      </c>
      <c r="D1016" s="3" t="s">
        <v>40</v>
      </c>
      <c r="E1016" s="3" t="s">
        <v>28</v>
      </c>
      <c r="F1016" s="3">
        <v>58</v>
      </c>
      <c r="G1016" s="4">
        <v>28.2</v>
      </c>
      <c r="H1016" s="4">
        <v>110.1</v>
      </c>
      <c r="I1016" s="6">
        <v>8.1733337128897681</v>
      </c>
      <c r="J1016" s="5">
        <v>6.4000000000000001E-2</v>
      </c>
      <c r="K1016" s="4">
        <v>24.3</v>
      </c>
      <c r="L1016" s="4">
        <v>75.3</v>
      </c>
      <c r="M1016" s="6">
        <v>6.003776937719798</v>
      </c>
      <c r="N1016" s="5">
        <v>6.4000000000000001E-2</v>
      </c>
      <c r="O1016" s="5">
        <v>2.16955677516997</v>
      </c>
      <c r="P1016" s="5">
        <v>2.16955677516997</v>
      </c>
      <c r="Q1016" s="8">
        <v>0.20833333333333334</v>
      </c>
      <c r="R1016" s="8">
        <v>0.88888888888888884</v>
      </c>
      <c r="S1016" s="6">
        <f t="shared" si="45"/>
        <v>16.333333333333332</v>
      </c>
      <c r="T1016" s="5">
        <f t="shared" si="46"/>
        <v>0.13283000664305941</v>
      </c>
      <c r="U1016" s="3">
        <v>2.21</v>
      </c>
      <c r="V1016" s="5">
        <f t="shared" si="47"/>
        <v>6.0104075404099282E-2</v>
      </c>
      <c r="W1016" s="3">
        <v>6.0104075404099282E-2</v>
      </c>
    </row>
    <row r="1017" spans="1:23" x14ac:dyDescent="0.55000000000000004">
      <c r="A1017" s="3">
        <v>24</v>
      </c>
      <c r="B1017" s="3" t="s">
        <v>52</v>
      </c>
      <c r="C1017" s="3" t="s">
        <v>49</v>
      </c>
      <c r="D1017" s="3" t="s">
        <v>40</v>
      </c>
      <c r="E1017" s="2" t="s">
        <v>25</v>
      </c>
      <c r="F1017" s="3">
        <v>47</v>
      </c>
      <c r="G1017" s="4">
        <v>29</v>
      </c>
      <c r="H1017" s="4">
        <v>101.6</v>
      </c>
      <c r="I1017" s="6">
        <v>7.4359939554967047</v>
      </c>
      <c r="J1017" s="5">
        <v>0.06</v>
      </c>
      <c r="K1017" s="4">
        <v>25.4</v>
      </c>
      <c r="L1017" s="4">
        <v>67.099999999999994</v>
      </c>
      <c r="M1017" s="6">
        <v>5.2412782236700073</v>
      </c>
      <c r="N1017" s="5">
        <v>5.6000000000000001E-2</v>
      </c>
      <c r="O1017" s="5">
        <v>2.1947157318266974</v>
      </c>
      <c r="P1017" s="5">
        <v>2.1947157318266974</v>
      </c>
      <c r="Q1017" s="8">
        <v>0.20833333333333334</v>
      </c>
      <c r="R1017" s="8">
        <v>0.89583333333333337</v>
      </c>
      <c r="S1017" s="6">
        <f t="shared" si="45"/>
        <v>16.5</v>
      </c>
      <c r="T1017" s="5">
        <f t="shared" si="46"/>
        <v>0.13301307465616349</v>
      </c>
      <c r="U1017" s="3">
        <v>2.21</v>
      </c>
      <c r="V1017" s="5">
        <f t="shared" si="47"/>
        <v>6.0186911609123747E-2</v>
      </c>
      <c r="W1017" s="3">
        <v>6.0186911609123747E-2</v>
      </c>
    </row>
    <row r="1018" spans="1:23" x14ac:dyDescent="0.55000000000000004">
      <c r="A1018" s="3">
        <v>12</v>
      </c>
      <c r="B1018" s="3" t="s">
        <v>53</v>
      </c>
      <c r="C1018" s="3" t="s">
        <v>50</v>
      </c>
      <c r="D1018" s="3" t="s">
        <v>11</v>
      </c>
      <c r="E1018" s="2" t="s">
        <v>13</v>
      </c>
      <c r="F1018" s="3">
        <v>8</v>
      </c>
      <c r="G1018" s="4">
        <v>21.9</v>
      </c>
      <c r="H1018" s="4">
        <v>123.4</v>
      </c>
      <c r="I1018" s="6">
        <v>10.300974555751315</v>
      </c>
      <c r="J1018" s="5">
        <v>4.8000000000000001E-2</v>
      </c>
      <c r="K1018" s="4">
        <v>19.100000000000001</v>
      </c>
      <c r="L1018" s="4">
        <v>93</v>
      </c>
      <c r="M1018" s="6">
        <v>8.2071961097344328</v>
      </c>
      <c r="N1018" s="5">
        <v>4.3999999999999997E-2</v>
      </c>
      <c r="O1018" s="5">
        <v>2.0937784460168825</v>
      </c>
      <c r="P1018" s="5">
        <v>2.0937784460168825</v>
      </c>
      <c r="Q1018" s="8">
        <v>0.20833333333333334</v>
      </c>
      <c r="R1018" s="8">
        <v>0.86319444444444438</v>
      </c>
      <c r="S1018" s="6">
        <f t="shared" si="45"/>
        <v>15.716666666666665</v>
      </c>
      <c r="T1018" s="5">
        <f t="shared" si="46"/>
        <v>0.13322026167657791</v>
      </c>
      <c r="U1018" s="3">
        <v>2.21</v>
      </c>
      <c r="V1018" s="5">
        <f t="shared" si="47"/>
        <v>6.0280661392116699E-2</v>
      </c>
      <c r="W1018" s="3">
        <v>6.0280661392116699E-2</v>
      </c>
    </row>
    <row r="1019" spans="1:23" x14ac:dyDescent="0.55000000000000004">
      <c r="A1019" s="3">
        <v>53</v>
      </c>
      <c r="B1019" s="3" t="s">
        <v>48</v>
      </c>
      <c r="C1019" s="3" t="s">
        <v>49</v>
      </c>
      <c r="D1019" s="3" t="s">
        <v>38</v>
      </c>
      <c r="E1019" s="3" t="s">
        <v>29</v>
      </c>
      <c r="F1019" s="3">
        <v>61</v>
      </c>
      <c r="G1019" s="4">
        <v>30.3</v>
      </c>
      <c r="H1019" s="4">
        <v>120.8</v>
      </c>
      <c r="I1019" s="6">
        <v>8.6422281970009376</v>
      </c>
      <c r="J1019" s="5">
        <v>7.0999999999999994E-2</v>
      </c>
      <c r="K1019" s="4">
        <v>25.6</v>
      </c>
      <c r="L1019" s="4">
        <v>82.8</v>
      </c>
      <c r="M1019" s="6">
        <v>6.4437479505523712</v>
      </c>
      <c r="N1019" s="5">
        <v>6.6000000000000003E-2</v>
      </c>
      <c r="O1019" s="5">
        <v>2.1984802464485664</v>
      </c>
      <c r="P1019" s="5">
        <v>2.1984802464485664</v>
      </c>
      <c r="Q1019" s="8">
        <v>0.19791666666666666</v>
      </c>
      <c r="R1019" s="8">
        <v>0.88541666666666663</v>
      </c>
      <c r="S1019" s="6">
        <f t="shared" si="45"/>
        <v>16.5</v>
      </c>
      <c r="T1019" s="5">
        <f t="shared" si="46"/>
        <v>0.13324122705748886</v>
      </c>
      <c r="U1019" s="3">
        <v>2.21</v>
      </c>
      <c r="V1019" s="5">
        <f t="shared" si="47"/>
        <v>6.0290147989813976E-2</v>
      </c>
      <c r="W1019" s="3">
        <v>6.0290147989813976E-2</v>
      </c>
    </row>
    <row r="1020" spans="1:23" x14ac:dyDescent="0.55000000000000004">
      <c r="A1020" s="3">
        <v>57</v>
      </c>
      <c r="B1020" s="3" t="s">
        <v>52</v>
      </c>
      <c r="C1020" s="3" t="s">
        <v>50</v>
      </c>
      <c r="D1020" s="3" t="s">
        <v>12</v>
      </c>
      <c r="E1020" s="2" t="s">
        <v>21</v>
      </c>
      <c r="F1020" s="3">
        <v>33</v>
      </c>
      <c r="G1020" s="4">
        <v>29.9</v>
      </c>
      <c r="H1020" s="4">
        <v>91.7</v>
      </c>
      <c r="I1020" s="6">
        <v>6.6062154323379767</v>
      </c>
      <c r="J1020" s="5">
        <v>6.0999999999999999E-2</v>
      </c>
      <c r="K1020" s="4">
        <v>26.2</v>
      </c>
      <c r="L1020" s="4">
        <v>57.8</v>
      </c>
      <c r="M1020" s="6">
        <v>4.448797892283415</v>
      </c>
      <c r="N1020" s="5">
        <v>5.8000000000000003E-2</v>
      </c>
      <c r="O1020" s="5">
        <v>2.1574175400545617</v>
      </c>
      <c r="P1020" s="5">
        <v>2.1574175400545617</v>
      </c>
      <c r="Q1020" s="8">
        <v>0.20833333333333334</v>
      </c>
      <c r="R1020" s="8">
        <v>0.88194444444444453</v>
      </c>
      <c r="S1020" s="6">
        <f t="shared" si="45"/>
        <v>16.166666666666668</v>
      </c>
      <c r="T1020" s="5">
        <f t="shared" si="46"/>
        <v>0.13344850763224092</v>
      </c>
      <c r="U1020" s="3">
        <v>2.21</v>
      </c>
      <c r="V1020" s="5">
        <f t="shared" si="47"/>
        <v>6.0383940105086388E-2</v>
      </c>
      <c r="W1020" s="3">
        <v>6.0383940105086388E-2</v>
      </c>
    </row>
    <row r="1021" spans="1:23" x14ac:dyDescent="0.55000000000000004">
      <c r="A1021" s="3">
        <v>9</v>
      </c>
      <c r="B1021" s="3" t="s">
        <v>48</v>
      </c>
      <c r="C1021" s="3" t="s">
        <v>50</v>
      </c>
      <c r="D1021" s="3" t="s">
        <v>10</v>
      </c>
      <c r="E1021" s="3" t="s">
        <v>32</v>
      </c>
      <c r="F1021" s="3">
        <v>72</v>
      </c>
      <c r="G1021" s="4">
        <v>30</v>
      </c>
      <c r="H1021" s="4">
        <v>113.9</v>
      </c>
      <c r="I1021" s="6">
        <v>8.1912377914880832</v>
      </c>
      <c r="J1021" s="5">
        <v>7.4999999999999997E-2</v>
      </c>
      <c r="K1021" s="4">
        <v>25.2</v>
      </c>
      <c r="L1021" s="4">
        <v>76.7</v>
      </c>
      <c r="M1021" s="6">
        <v>6.0134116599021361</v>
      </c>
      <c r="N1021" s="5">
        <v>5.8000000000000003E-2</v>
      </c>
      <c r="O1021" s="5">
        <v>2.1778261315859471</v>
      </c>
      <c r="P1021" s="5">
        <v>2.1778261315859471</v>
      </c>
      <c r="Q1021" s="8">
        <v>0.20833333333333334</v>
      </c>
      <c r="R1021" s="8">
        <v>0.88541666666666663</v>
      </c>
      <c r="S1021" s="6">
        <f t="shared" si="45"/>
        <v>16.25</v>
      </c>
      <c r="T1021" s="5">
        <f t="shared" si="46"/>
        <v>0.13402006963605828</v>
      </c>
      <c r="U1021" s="3">
        <v>2.21</v>
      </c>
      <c r="V1021" s="5">
        <f t="shared" si="47"/>
        <v>6.064256544618022E-2</v>
      </c>
      <c r="W1021" s="3">
        <v>6.064256544618022E-2</v>
      </c>
    </row>
    <row r="1022" spans="1:23" x14ac:dyDescent="0.55000000000000004">
      <c r="A1022" s="3">
        <v>44</v>
      </c>
      <c r="B1022" s="3" t="s">
        <v>53</v>
      </c>
      <c r="C1022" s="3" t="s">
        <v>49</v>
      </c>
      <c r="D1022" s="3" t="s">
        <v>41</v>
      </c>
      <c r="E1022" s="2" t="s">
        <v>21</v>
      </c>
      <c r="F1022" s="3">
        <v>33</v>
      </c>
      <c r="G1022" s="4">
        <v>30</v>
      </c>
      <c r="H1022" s="4">
        <v>85.2</v>
      </c>
      <c r="I1022" s="6">
        <v>6.1272472329656242</v>
      </c>
      <c r="J1022" s="5">
        <v>5.2999999999999999E-2</v>
      </c>
      <c r="K1022" s="4">
        <v>26.3</v>
      </c>
      <c r="L1022" s="4">
        <v>51.5</v>
      </c>
      <c r="M1022" s="6">
        <v>3.9566436955153024</v>
      </c>
      <c r="N1022" s="5">
        <v>5.1999999999999998E-2</v>
      </c>
      <c r="O1022" s="5">
        <v>2.1706035374503219</v>
      </c>
      <c r="P1022" s="5">
        <v>2.1706035374503219</v>
      </c>
      <c r="Q1022" s="8">
        <v>0.20833333333333334</v>
      </c>
      <c r="R1022" s="8">
        <v>0.88194444444444453</v>
      </c>
      <c r="S1022" s="6">
        <f t="shared" si="45"/>
        <v>16.166666666666668</v>
      </c>
      <c r="T1022" s="5">
        <f t="shared" si="46"/>
        <v>0.1342641363371333</v>
      </c>
      <c r="U1022" s="3">
        <v>2.21</v>
      </c>
      <c r="V1022" s="5">
        <f t="shared" si="47"/>
        <v>6.0753002867481129E-2</v>
      </c>
      <c r="W1022" s="3">
        <v>6.0753002867481129E-2</v>
      </c>
    </row>
    <row r="1023" spans="1:23" x14ac:dyDescent="0.55000000000000004">
      <c r="A1023" s="3">
        <v>3</v>
      </c>
      <c r="B1023" s="3" t="s">
        <v>51</v>
      </c>
      <c r="C1023" s="3" t="s">
        <v>50</v>
      </c>
      <c r="D1023" s="3" t="s">
        <v>9</v>
      </c>
      <c r="E1023" s="2" t="s">
        <v>22</v>
      </c>
      <c r="F1023" s="3">
        <v>37</v>
      </c>
      <c r="G1023" s="4">
        <v>29.9</v>
      </c>
      <c r="H1023" s="4">
        <v>95.4</v>
      </c>
      <c r="I1023" s="6">
        <v>6.8727693810800758</v>
      </c>
      <c r="J1023" s="5">
        <v>5.2999999999999999E-2</v>
      </c>
      <c r="K1023" s="4">
        <v>24.9</v>
      </c>
      <c r="L1023" s="4">
        <v>59.2</v>
      </c>
      <c r="M1023" s="6">
        <v>4.667366295270277</v>
      </c>
      <c r="N1023" s="5">
        <v>5.0999999999999997E-2</v>
      </c>
      <c r="O1023" s="5">
        <v>2.2054030858097988</v>
      </c>
      <c r="P1023" s="5">
        <v>2.2054030858097988</v>
      </c>
      <c r="Q1023" s="8">
        <v>0.20138888888888887</v>
      </c>
      <c r="R1023" s="8">
        <v>0.88541666666666663</v>
      </c>
      <c r="S1023" s="6">
        <f t="shared" si="45"/>
        <v>16.416666666666668</v>
      </c>
      <c r="T1023" s="5">
        <f t="shared" si="46"/>
        <v>0.13433927426252582</v>
      </c>
      <c r="U1023" s="3">
        <v>2.21</v>
      </c>
      <c r="V1023" s="5">
        <f t="shared" si="47"/>
        <v>6.0787001928744706E-2</v>
      </c>
      <c r="W1023" s="3">
        <v>6.0787001928744706E-2</v>
      </c>
    </row>
    <row r="1024" spans="1:23" x14ac:dyDescent="0.55000000000000004">
      <c r="A1024" s="3">
        <v>27</v>
      </c>
      <c r="B1024" s="3" t="s">
        <v>48</v>
      </c>
      <c r="C1024" s="3" t="s">
        <v>50</v>
      </c>
      <c r="D1024" s="3" t="s">
        <v>10</v>
      </c>
      <c r="E1024" s="3" t="s">
        <v>34</v>
      </c>
      <c r="F1024" s="3">
        <v>79</v>
      </c>
      <c r="G1024" s="4">
        <v>28.8</v>
      </c>
      <c r="H1024" s="4">
        <v>75.7</v>
      </c>
      <c r="I1024" s="6">
        <v>5.5600265271576994</v>
      </c>
      <c r="J1024" s="5">
        <v>8.1000000000000003E-2</v>
      </c>
      <c r="K1024" s="4">
        <v>25.3</v>
      </c>
      <c r="L1024" s="4">
        <v>43.1</v>
      </c>
      <c r="M1024" s="6">
        <v>3.3728486401368141</v>
      </c>
      <c r="N1024" s="5">
        <v>7.4999999999999997E-2</v>
      </c>
      <c r="O1024" s="5">
        <v>2.1871778870208853</v>
      </c>
      <c r="P1024" s="5">
        <v>2.1871778870208853</v>
      </c>
      <c r="Q1024" s="8">
        <v>0.20833333333333334</v>
      </c>
      <c r="R1024" s="8">
        <v>0.88541666666666663</v>
      </c>
      <c r="S1024" s="6">
        <f t="shared" si="45"/>
        <v>16.25</v>
      </c>
      <c r="T1024" s="5">
        <f t="shared" si="46"/>
        <v>0.13459556227820832</v>
      </c>
      <c r="U1024" s="3">
        <v>2.21</v>
      </c>
      <c r="V1024" s="5">
        <f t="shared" si="47"/>
        <v>6.0902969356655352E-2</v>
      </c>
      <c r="W1024" s="3">
        <v>6.0902969356655352E-2</v>
      </c>
    </row>
    <row r="1025" spans="1:23" x14ac:dyDescent="0.55000000000000004">
      <c r="A1025" s="3">
        <v>13</v>
      </c>
      <c r="B1025" s="3" t="s">
        <v>53</v>
      </c>
      <c r="C1025" s="3" t="s">
        <v>50</v>
      </c>
      <c r="D1025" s="3" t="s">
        <v>11</v>
      </c>
      <c r="E1025" s="3" t="s">
        <v>35</v>
      </c>
      <c r="F1025" s="3">
        <v>82</v>
      </c>
      <c r="G1025" s="4">
        <v>31.6</v>
      </c>
      <c r="H1025" s="4">
        <v>74.599999999999994</v>
      </c>
      <c r="I1025" s="6">
        <v>5.2188148971022494</v>
      </c>
      <c r="J1025" s="5">
        <v>6.2E-2</v>
      </c>
      <c r="K1025" s="4">
        <v>27.5</v>
      </c>
      <c r="L1025" s="4">
        <v>40.299999999999997</v>
      </c>
      <c r="M1025" s="6">
        <v>3.029463700939361</v>
      </c>
      <c r="N1025" s="5">
        <v>0.06</v>
      </c>
      <c r="O1025" s="5">
        <v>2.1893511961628884</v>
      </c>
      <c r="P1025" s="5">
        <v>2.1893511961628884</v>
      </c>
      <c r="Q1025" s="8">
        <v>0.20833333333333334</v>
      </c>
      <c r="R1025" s="8">
        <v>0.88541666666666663</v>
      </c>
      <c r="S1025" s="6">
        <f t="shared" si="45"/>
        <v>16.25</v>
      </c>
      <c r="T1025" s="5">
        <f t="shared" si="46"/>
        <v>0.13472930437925468</v>
      </c>
      <c r="U1025" s="3">
        <v>2.21</v>
      </c>
      <c r="V1025" s="5">
        <f t="shared" si="47"/>
        <v>6.0963486144459129E-2</v>
      </c>
      <c r="W1025" s="3">
        <v>6.0963486144459129E-2</v>
      </c>
    </row>
    <row r="1026" spans="1:23" x14ac:dyDescent="0.55000000000000004">
      <c r="A1026" s="3">
        <v>44</v>
      </c>
      <c r="B1026" s="3" t="s">
        <v>53</v>
      </c>
      <c r="C1026" s="3" t="s">
        <v>49</v>
      </c>
      <c r="D1026" s="3" t="s">
        <v>41</v>
      </c>
      <c r="E1026" s="2" t="s">
        <v>23</v>
      </c>
      <c r="F1026" s="3">
        <v>40</v>
      </c>
      <c r="G1026" s="4">
        <v>28.7</v>
      </c>
      <c r="H1026" s="4">
        <v>93.2</v>
      </c>
      <c r="I1026" s="6">
        <v>6.8575063313922513</v>
      </c>
      <c r="J1026" s="5">
        <v>5.3999999999999999E-2</v>
      </c>
      <c r="K1026" s="4">
        <v>24.2</v>
      </c>
      <c r="L1026" s="4">
        <v>58.2</v>
      </c>
      <c r="M1026" s="6">
        <v>4.6491091241783149</v>
      </c>
      <c r="N1026" s="5">
        <v>5.3999999999999999E-2</v>
      </c>
      <c r="O1026" s="5">
        <v>2.2083972072139364</v>
      </c>
      <c r="P1026" s="5">
        <v>2.2083972072139364</v>
      </c>
      <c r="Q1026" s="8">
        <v>0.20833333333333334</v>
      </c>
      <c r="R1026" s="8">
        <v>0.89027777777777783</v>
      </c>
      <c r="S1026" s="6">
        <f t="shared" ref="S1026:S1089" si="48">(R1026-Q1026)*24</f>
        <v>16.366666666666667</v>
      </c>
      <c r="T1026" s="5">
        <f t="shared" ref="T1026:T1089" si="49">P1026/S1026</f>
        <v>0.13493261958537289</v>
      </c>
      <c r="U1026" s="3">
        <v>2.21</v>
      </c>
      <c r="V1026" s="5">
        <f t="shared" ref="V1026:V1089" si="50">(I1026-M1026)/U1026/S1026</f>
        <v>6.1055483975281849E-2</v>
      </c>
      <c r="W1026" s="3">
        <v>6.1055483975281849E-2</v>
      </c>
    </row>
    <row r="1027" spans="1:23" x14ac:dyDescent="0.55000000000000004">
      <c r="A1027" s="3">
        <v>28</v>
      </c>
      <c r="B1027" s="3" t="s">
        <v>53</v>
      </c>
      <c r="C1027" s="3" t="s">
        <v>50</v>
      </c>
      <c r="D1027" s="3" t="s">
        <v>11</v>
      </c>
      <c r="E1027" s="2" t="s">
        <v>19</v>
      </c>
      <c r="F1027" s="3">
        <v>26</v>
      </c>
      <c r="G1027" s="4">
        <v>23.5</v>
      </c>
      <c r="H1027" s="4">
        <v>100.3</v>
      </c>
      <c r="I1027" s="6">
        <v>8.1189530349242709</v>
      </c>
      <c r="J1027" s="5">
        <v>4.9000000000000002E-2</v>
      </c>
      <c r="K1027" s="4">
        <v>22.5</v>
      </c>
      <c r="L1027" s="4">
        <v>71.8</v>
      </c>
      <c r="M1027" s="6">
        <v>5.9243440715908742</v>
      </c>
      <c r="N1027" s="5">
        <v>4.4999999999999998E-2</v>
      </c>
      <c r="O1027" s="5">
        <v>2.1946089633333967</v>
      </c>
      <c r="P1027" s="5">
        <v>2.1946089633333967</v>
      </c>
      <c r="Q1027" s="8">
        <v>0.20833333333333334</v>
      </c>
      <c r="R1027" s="8">
        <v>0.88541666666666663</v>
      </c>
      <c r="S1027" s="6">
        <f t="shared" si="48"/>
        <v>16.25</v>
      </c>
      <c r="T1027" s="5">
        <f t="shared" si="49"/>
        <v>0.13505285928205518</v>
      </c>
      <c r="U1027" s="3">
        <v>2.21</v>
      </c>
      <c r="V1027" s="5">
        <f t="shared" si="50"/>
        <v>6.1109891077853029E-2</v>
      </c>
      <c r="W1027" s="3">
        <v>6.1109891077853029E-2</v>
      </c>
    </row>
    <row r="1028" spans="1:23" x14ac:dyDescent="0.55000000000000004">
      <c r="A1028" s="3">
        <v>43</v>
      </c>
      <c r="B1028" s="3" t="s">
        <v>51</v>
      </c>
      <c r="C1028" s="3" t="s">
        <v>50</v>
      </c>
      <c r="D1028" s="3" t="s">
        <v>9</v>
      </c>
      <c r="E1028" s="2" t="s">
        <v>20</v>
      </c>
      <c r="F1028" s="3">
        <v>30</v>
      </c>
      <c r="G1028" s="4">
        <v>27.5</v>
      </c>
      <c r="H1028" s="4">
        <v>101.7</v>
      </c>
      <c r="I1028" s="6">
        <v>7.6450734090702976</v>
      </c>
      <c r="J1028" s="5">
        <v>3.7999999999999999E-2</v>
      </c>
      <c r="K1028" s="4">
        <v>24.1</v>
      </c>
      <c r="L1028" s="4">
        <v>68.099999999999994</v>
      </c>
      <c r="M1028" s="6">
        <v>5.4501968544141208</v>
      </c>
      <c r="N1028" s="5">
        <v>3.3000000000000002E-2</v>
      </c>
      <c r="O1028" s="5">
        <v>2.1948765546561768</v>
      </c>
      <c r="P1028" s="5">
        <v>2.1948765546561768</v>
      </c>
      <c r="Q1028" s="8">
        <v>0.20833333333333334</v>
      </c>
      <c r="R1028" s="8">
        <v>0.88541666666666663</v>
      </c>
      <c r="S1028" s="6">
        <f t="shared" si="48"/>
        <v>16.25</v>
      </c>
      <c r="T1028" s="5">
        <f t="shared" si="49"/>
        <v>0.13506932644038011</v>
      </c>
      <c r="U1028" s="3">
        <v>2.21</v>
      </c>
      <c r="V1028" s="5">
        <f t="shared" si="50"/>
        <v>6.1117342280714977E-2</v>
      </c>
      <c r="W1028" s="3">
        <v>6.1117342280714977E-2</v>
      </c>
    </row>
    <row r="1029" spans="1:23" x14ac:dyDescent="0.55000000000000004">
      <c r="A1029" s="3">
        <v>8</v>
      </c>
      <c r="B1029" s="3" t="s">
        <v>51</v>
      </c>
      <c r="C1029" s="3" t="s">
        <v>50</v>
      </c>
      <c r="D1029" s="3" t="s">
        <v>9</v>
      </c>
      <c r="E1029" s="3" t="s">
        <v>32</v>
      </c>
      <c r="F1029" s="3">
        <v>72</v>
      </c>
      <c r="G1029" s="4">
        <v>29.6</v>
      </c>
      <c r="H1029" s="4">
        <v>107.5</v>
      </c>
      <c r="I1029" s="6">
        <v>7.7852113422766926</v>
      </c>
      <c r="J1029" s="5">
        <v>5.5E-2</v>
      </c>
      <c r="K1029" s="4">
        <v>24.9</v>
      </c>
      <c r="L1029" s="4">
        <v>70.900000000000006</v>
      </c>
      <c r="M1029" s="6">
        <v>5.5898018637611937</v>
      </c>
      <c r="N1029" s="5">
        <v>3.9E-2</v>
      </c>
      <c r="O1029" s="5">
        <v>2.1954094785154989</v>
      </c>
      <c r="P1029" s="5">
        <v>2.1954094785154989</v>
      </c>
      <c r="Q1029" s="8">
        <v>0.20833333333333334</v>
      </c>
      <c r="R1029" s="8">
        <v>0.88541666666666663</v>
      </c>
      <c r="S1029" s="6">
        <f t="shared" si="48"/>
        <v>16.25</v>
      </c>
      <c r="T1029" s="5">
        <f t="shared" si="49"/>
        <v>0.13510212175479994</v>
      </c>
      <c r="U1029" s="3">
        <v>2.21</v>
      </c>
      <c r="V1029" s="5">
        <f t="shared" si="50"/>
        <v>6.1132181789502235E-2</v>
      </c>
      <c r="W1029" s="3">
        <v>6.1132181789502235E-2</v>
      </c>
    </row>
    <row r="1030" spans="1:23" x14ac:dyDescent="0.55000000000000004">
      <c r="A1030" s="3">
        <v>58</v>
      </c>
      <c r="B1030" s="3" t="s">
        <v>53</v>
      </c>
      <c r="C1030" s="3" t="s">
        <v>49</v>
      </c>
      <c r="D1030" s="3" t="s">
        <v>41</v>
      </c>
      <c r="E1030" s="3" t="s">
        <v>29</v>
      </c>
      <c r="F1030" s="3">
        <v>61</v>
      </c>
      <c r="G1030" s="4">
        <v>29.9</v>
      </c>
      <c r="H1030" s="4">
        <v>83.1</v>
      </c>
      <c r="I1030" s="6">
        <v>5.9866576055320149</v>
      </c>
      <c r="J1030" s="5">
        <v>6.4000000000000001E-2</v>
      </c>
      <c r="K1030" s="4">
        <v>25.4</v>
      </c>
      <c r="L1030" s="4">
        <v>48.1</v>
      </c>
      <c r="M1030" s="6">
        <v>3.7571606938677702</v>
      </c>
      <c r="N1030" s="5">
        <v>6.0999999999999999E-2</v>
      </c>
      <c r="O1030" s="5">
        <v>2.2294969116642447</v>
      </c>
      <c r="P1030" s="5">
        <v>2.2294969116642447</v>
      </c>
      <c r="Q1030" s="8">
        <v>0.19791666666666666</v>
      </c>
      <c r="R1030" s="8">
        <v>0.88541666666666663</v>
      </c>
      <c r="S1030" s="6">
        <f t="shared" si="48"/>
        <v>16.5</v>
      </c>
      <c r="T1030" s="5">
        <f t="shared" si="49"/>
        <v>0.13512102494934816</v>
      </c>
      <c r="U1030" s="3">
        <v>2.21</v>
      </c>
      <c r="V1030" s="5">
        <f t="shared" si="50"/>
        <v>6.1140735271198267E-2</v>
      </c>
      <c r="W1030" s="3">
        <v>6.1140735271198267E-2</v>
      </c>
    </row>
    <row r="1031" spans="1:23" x14ac:dyDescent="0.55000000000000004">
      <c r="A1031" s="3">
        <v>60</v>
      </c>
      <c r="B1031" s="3" t="s">
        <v>51</v>
      </c>
      <c r="C1031" s="3" t="s">
        <v>49</v>
      </c>
      <c r="D1031" s="3" t="s">
        <v>39</v>
      </c>
      <c r="E1031" s="2" t="s">
        <v>23</v>
      </c>
      <c r="F1031" s="3">
        <v>40</v>
      </c>
      <c r="G1031" s="4">
        <v>29</v>
      </c>
      <c r="H1031" s="4">
        <v>99.8</v>
      </c>
      <c r="I1031" s="6">
        <v>7.3042539051040469</v>
      </c>
      <c r="J1031" s="5">
        <v>5.1999999999999998E-2</v>
      </c>
      <c r="K1031" s="4">
        <v>24.6</v>
      </c>
      <c r="L1031" s="4">
        <v>64.099999999999994</v>
      </c>
      <c r="M1031" s="6">
        <v>5.0820957735380947</v>
      </c>
      <c r="N1031" s="5">
        <v>4.9000000000000002E-2</v>
      </c>
      <c r="O1031" s="5">
        <v>2.2221581315659522</v>
      </c>
      <c r="P1031" s="5">
        <v>2.2221581315659522</v>
      </c>
      <c r="Q1031" s="8">
        <v>0.20833333333333334</v>
      </c>
      <c r="R1031" s="8">
        <v>0.89027777777777783</v>
      </c>
      <c r="S1031" s="6">
        <f t="shared" si="48"/>
        <v>16.366666666666667</v>
      </c>
      <c r="T1031" s="5">
        <f t="shared" si="49"/>
        <v>0.13577340926064882</v>
      </c>
      <c r="U1031" s="3">
        <v>2.21</v>
      </c>
      <c r="V1031" s="5">
        <f t="shared" si="50"/>
        <v>6.1435931792148783E-2</v>
      </c>
      <c r="W1031" s="3">
        <v>6.1435931792148783E-2</v>
      </c>
    </row>
    <row r="1032" spans="1:23" x14ac:dyDescent="0.55000000000000004">
      <c r="A1032" s="3">
        <v>59</v>
      </c>
      <c r="B1032" s="3" t="s">
        <v>52</v>
      </c>
      <c r="C1032" s="3" t="s">
        <v>49</v>
      </c>
      <c r="D1032" s="3" t="s">
        <v>40</v>
      </c>
      <c r="E1032" s="3" t="s">
        <v>26</v>
      </c>
      <c r="F1032" s="3">
        <v>51</v>
      </c>
      <c r="G1032" s="4">
        <v>26.7</v>
      </c>
      <c r="H1032" s="4">
        <v>102.3</v>
      </c>
      <c r="I1032" s="6">
        <v>7.8023514513422239</v>
      </c>
      <c r="J1032" s="5">
        <v>6.5000000000000002E-2</v>
      </c>
      <c r="K1032" s="4">
        <v>24.7</v>
      </c>
      <c r="L1032" s="4">
        <v>71.099999999999994</v>
      </c>
      <c r="M1032" s="6">
        <v>5.6265444079073017</v>
      </c>
      <c r="N1032" s="5">
        <v>6.4000000000000001E-2</v>
      </c>
      <c r="O1032" s="5">
        <v>2.1758070434349222</v>
      </c>
      <c r="P1032" s="5">
        <v>2.1758070434349222</v>
      </c>
      <c r="Q1032" s="8">
        <v>0.20833333333333334</v>
      </c>
      <c r="R1032" s="8">
        <v>0.875</v>
      </c>
      <c r="S1032" s="6">
        <f t="shared" si="48"/>
        <v>16</v>
      </c>
      <c r="T1032" s="5">
        <f t="shared" si="49"/>
        <v>0.13598794021468263</v>
      </c>
      <c r="U1032" s="3">
        <v>2.21</v>
      </c>
      <c r="V1032" s="5">
        <f t="shared" si="50"/>
        <v>6.1533004622028341E-2</v>
      </c>
      <c r="W1032" s="3">
        <v>6.1533004622028341E-2</v>
      </c>
    </row>
    <row r="1033" spans="1:23" x14ac:dyDescent="0.55000000000000004">
      <c r="A1033" s="3">
        <v>56</v>
      </c>
      <c r="B1033" s="3" t="s">
        <v>53</v>
      </c>
      <c r="C1033" s="3" t="s">
        <v>49</v>
      </c>
      <c r="D1033" s="3" t="s">
        <v>41</v>
      </c>
      <c r="E1033" s="2" t="s">
        <v>25</v>
      </c>
      <c r="F1033" s="3">
        <v>47</v>
      </c>
      <c r="G1033" s="4">
        <v>29.1</v>
      </c>
      <c r="H1033" s="4">
        <v>95.8</v>
      </c>
      <c r="I1033" s="6">
        <v>6.9991367714753769</v>
      </c>
      <c r="J1033" s="5">
        <v>6.6000000000000003E-2</v>
      </c>
      <c r="K1033" s="4">
        <v>25.7</v>
      </c>
      <c r="L1033" s="4">
        <v>61.2</v>
      </c>
      <c r="M1033" s="6">
        <v>4.7539873896642124</v>
      </c>
      <c r="N1033" s="5">
        <v>6.2E-2</v>
      </c>
      <c r="O1033" s="5">
        <v>2.2451493818111645</v>
      </c>
      <c r="P1033" s="5">
        <v>2.2451493818111645</v>
      </c>
      <c r="Q1033" s="8">
        <v>0.20833333333333334</v>
      </c>
      <c r="R1033" s="8">
        <v>0.89583333333333337</v>
      </c>
      <c r="S1033" s="6">
        <f t="shared" si="48"/>
        <v>16.5</v>
      </c>
      <c r="T1033" s="5">
        <f t="shared" si="49"/>
        <v>0.13606965950370695</v>
      </c>
      <c r="U1033" s="3">
        <v>2.21</v>
      </c>
      <c r="V1033" s="5">
        <f t="shared" si="50"/>
        <v>6.1569981675885496E-2</v>
      </c>
      <c r="W1033" s="3">
        <v>6.1569981675885496E-2</v>
      </c>
    </row>
    <row r="1034" spans="1:23" x14ac:dyDescent="0.55000000000000004">
      <c r="A1034" s="3">
        <v>17</v>
      </c>
      <c r="B1034" s="3" t="s">
        <v>52</v>
      </c>
      <c r="C1034" s="3" t="s">
        <v>50</v>
      </c>
      <c r="D1034" s="3" t="s">
        <v>12</v>
      </c>
      <c r="E1034" s="2" t="s">
        <v>24</v>
      </c>
      <c r="F1034" s="3">
        <v>44</v>
      </c>
      <c r="G1034" s="4">
        <v>25.4</v>
      </c>
      <c r="H1034" s="4">
        <v>85.4</v>
      </c>
      <c r="I1034" s="6">
        <v>6.6707177392163741</v>
      </c>
      <c r="J1034" s="5">
        <v>6.6000000000000003E-2</v>
      </c>
      <c r="K1034" s="4">
        <v>21</v>
      </c>
      <c r="L1034" s="4">
        <v>51.6</v>
      </c>
      <c r="M1034" s="6">
        <v>4.3839590665349188</v>
      </c>
      <c r="N1034" s="5">
        <v>6.2E-2</v>
      </c>
      <c r="O1034" s="5">
        <v>2.2867586726814553</v>
      </c>
      <c r="P1034" s="5">
        <v>2.2867586726814553</v>
      </c>
      <c r="Q1034" s="8">
        <v>0.20277777777777781</v>
      </c>
      <c r="R1034" s="8">
        <v>0.90277777777777779</v>
      </c>
      <c r="S1034" s="6">
        <f t="shared" si="48"/>
        <v>16.799999999999997</v>
      </c>
      <c r="T1034" s="5">
        <f t="shared" si="49"/>
        <v>0.13611658765961046</v>
      </c>
      <c r="U1034" s="3">
        <v>2.21</v>
      </c>
      <c r="V1034" s="5">
        <f t="shared" si="50"/>
        <v>6.1591216135570344E-2</v>
      </c>
      <c r="W1034" s="3">
        <v>6.1591216135570344E-2</v>
      </c>
    </row>
    <row r="1035" spans="1:23" x14ac:dyDescent="0.55000000000000004">
      <c r="A1035" s="3">
        <v>49</v>
      </c>
      <c r="B1035" s="3" t="s">
        <v>51</v>
      </c>
      <c r="C1035" s="3" t="s">
        <v>49</v>
      </c>
      <c r="D1035" s="3" t="s">
        <v>39</v>
      </c>
      <c r="E1035" s="3" t="s">
        <v>26</v>
      </c>
      <c r="F1035" s="3">
        <v>51</v>
      </c>
      <c r="G1035" s="4">
        <v>27.9</v>
      </c>
      <c r="H1035" s="4">
        <v>107.9</v>
      </c>
      <c r="I1035" s="6">
        <v>8.0530877173396487</v>
      </c>
      <c r="J1035" s="5">
        <v>6.3E-2</v>
      </c>
      <c r="K1035" s="4">
        <v>24.9</v>
      </c>
      <c r="L1035" s="4">
        <v>74.5</v>
      </c>
      <c r="M1035" s="6">
        <v>5.8736281925276286</v>
      </c>
      <c r="N1035" s="5">
        <v>5.7000000000000002E-2</v>
      </c>
      <c r="O1035" s="5">
        <v>2.1794595248120201</v>
      </c>
      <c r="P1035" s="5">
        <v>2.1794595248120201</v>
      </c>
      <c r="Q1035" s="8">
        <v>0.20833333333333334</v>
      </c>
      <c r="R1035" s="8">
        <v>0.875</v>
      </c>
      <c r="S1035" s="6">
        <f t="shared" si="48"/>
        <v>16</v>
      </c>
      <c r="T1035" s="5">
        <f t="shared" si="49"/>
        <v>0.13621622030075126</v>
      </c>
      <c r="U1035" s="3">
        <v>2.21</v>
      </c>
      <c r="V1035" s="5">
        <f t="shared" si="50"/>
        <v>6.163629877862048E-2</v>
      </c>
      <c r="W1035" s="3">
        <v>6.163629877862048E-2</v>
      </c>
    </row>
    <row r="1036" spans="1:23" x14ac:dyDescent="0.55000000000000004">
      <c r="A1036" s="3">
        <v>9</v>
      </c>
      <c r="B1036" s="3" t="s">
        <v>48</v>
      </c>
      <c r="C1036" s="3" t="s">
        <v>50</v>
      </c>
      <c r="D1036" s="3" t="s">
        <v>10</v>
      </c>
      <c r="E1036" s="3" t="s">
        <v>28</v>
      </c>
      <c r="F1036" s="3">
        <v>58</v>
      </c>
      <c r="G1036" s="4">
        <v>29.2</v>
      </c>
      <c r="H1036" s="4">
        <v>103.1</v>
      </c>
      <c r="I1036" s="6">
        <v>7.5192110067796225</v>
      </c>
      <c r="J1036" s="5">
        <v>6.9000000000000006E-2</v>
      </c>
      <c r="K1036" s="4">
        <v>24.3</v>
      </c>
      <c r="L1036" s="4">
        <v>66.400000000000006</v>
      </c>
      <c r="M1036" s="6">
        <v>5.2941671801406995</v>
      </c>
      <c r="N1036" s="5">
        <v>6.2E-2</v>
      </c>
      <c r="O1036" s="5">
        <v>2.225043826638923</v>
      </c>
      <c r="P1036" s="5">
        <v>2.225043826638923</v>
      </c>
      <c r="Q1036" s="8">
        <v>0.20833333333333334</v>
      </c>
      <c r="R1036" s="8">
        <v>0.88888888888888884</v>
      </c>
      <c r="S1036" s="6">
        <f t="shared" si="48"/>
        <v>16.333333333333332</v>
      </c>
      <c r="T1036" s="5">
        <f t="shared" si="49"/>
        <v>0.13622717305952592</v>
      </c>
      <c r="U1036" s="3">
        <v>2.21</v>
      </c>
      <c r="V1036" s="5">
        <f t="shared" si="50"/>
        <v>6.1641254778066014E-2</v>
      </c>
      <c r="W1036" s="3">
        <v>6.1641254778066014E-2</v>
      </c>
    </row>
    <row r="1037" spans="1:23" x14ac:dyDescent="0.55000000000000004">
      <c r="A1037" s="3">
        <v>19</v>
      </c>
      <c r="B1037" s="3" t="s">
        <v>53</v>
      </c>
      <c r="C1037" s="3" t="s">
        <v>49</v>
      </c>
      <c r="D1037" s="3" t="s">
        <v>41</v>
      </c>
      <c r="E1037" s="2" t="s">
        <v>19</v>
      </c>
      <c r="F1037" s="3">
        <v>26</v>
      </c>
      <c r="G1037" s="4">
        <v>23.2</v>
      </c>
      <c r="H1037" s="4">
        <v>106.3</v>
      </c>
      <c r="I1037" s="6">
        <v>8.6539626076544032</v>
      </c>
      <c r="J1037" s="5">
        <v>4.1000000000000002E-2</v>
      </c>
      <c r="K1037" s="4">
        <v>22.6</v>
      </c>
      <c r="L1037" s="4">
        <v>78.2</v>
      </c>
      <c r="M1037" s="6">
        <v>6.4399956892362047</v>
      </c>
      <c r="N1037" s="5">
        <v>3.7999999999999999E-2</v>
      </c>
      <c r="O1037" s="5">
        <v>2.2139669184181985</v>
      </c>
      <c r="P1037" s="5">
        <v>2.2139669184181985</v>
      </c>
      <c r="Q1037" s="8">
        <v>0.20833333333333334</v>
      </c>
      <c r="R1037" s="8">
        <v>0.88541666666666663</v>
      </c>
      <c r="S1037" s="6">
        <f t="shared" si="48"/>
        <v>16.25</v>
      </c>
      <c r="T1037" s="5">
        <f t="shared" si="49"/>
        <v>0.13624411805650452</v>
      </c>
      <c r="U1037" s="3">
        <v>2.21</v>
      </c>
      <c r="V1037" s="5">
        <f t="shared" si="50"/>
        <v>6.1648922197513355E-2</v>
      </c>
      <c r="W1037" s="3">
        <v>6.1648922197513355E-2</v>
      </c>
    </row>
    <row r="1038" spans="1:23" x14ac:dyDescent="0.55000000000000004">
      <c r="A1038" s="3">
        <v>41</v>
      </c>
      <c r="B1038" s="3" t="s">
        <v>51</v>
      </c>
      <c r="C1038" s="3" t="s">
        <v>50</v>
      </c>
      <c r="D1038" s="3" t="s">
        <v>9</v>
      </c>
      <c r="E1038" s="3" t="s">
        <v>31</v>
      </c>
      <c r="F1038" s="3">
        <v>68</v>
      </c>
      <c r="G1038" s="4">
        <v>26.1</v>
      </c>
      <c r="H1038" s="4">
        <v>69.099999999999994</v>
      </c>
      <c r="I1038" s="6">
        <v>5.3283050601412016</v>
      </c>
      <c r="J1038" s="5">
        <v>4.7E-2</v>
      </c>
      <c r="K1038" s="4">
        <v>24.4</v>
      </c>
      <c r="L1038" s="4">
        <v>39.1</v>
      </c>
      <c r="M1038" s="6">
        <v>3.1116466985473186</v>
      </c>
      <c r="N1038" s="5">
        <v>4.7E-2</v>
      </c>
      <c r="O1038" s="5">
        <v>2.2166583615938831</v>
      </c>
      <c r="P1038" s="5">
        <v>2.2166583615938831</v>
      </c>
      <c r="Q1038" s="8">
        <v>0.20833333333333334</v>
      </c>
      <c r="R1038" s="8">
        <v>0.88541666666666663</v>
      </c>
      <c r="S1038" s="6">
        <f t="shared" si="48"/>
        <v>16.25</v>
      </c>
      <c r="T1038" s="5">
        <f t="shared" si="49"/>
        <v>0.13640974532885433</v>
      </c>
      <c r="U1038" s="3">
        <v>2.21</v>
      </c>
      <c r="V1038" s="5">
        <f t="shared" si="50"/>
        <v>6.1723866664639977E-2</v>
      </c>
      <c r="W1038" s="3">
        <v>6.1723866664639977E-2</v>
      </c>
    </row>
    <row r="1039" spans="1:23" x14ac:dyDescent="0.55000000000000004">
      <c r="A1039" s="3">
        <v>51</v>
      </c>
      <c r="B1039" s="3" t="s">
        <v>48</v>
      </c>
      <c r="C1039" s="3" t="s">
        <v>50</v>
      </c>
      <c r="D1039" s="3" t="s">
        <v>10</v>
      </c>
      <c r="E1039" s="3" t="s">
        <v>34</v>
      </c>
      <c r="F1039" s="3">
        <v>79</v>
      </c>
      <c r="G1039" s="4">
        <v>28.5</v>
      </c>
      <c r="H1039" s="4">
        <v>81.3</v>
      </c>
      <c r="I1039" s="6">
        <v>6.0031954613450464</v>
      </c>
      <c r="J1039" s="5">
        <v>7.0000000000000007E-2</v>
      </c>
      <c r="K1039" s="4">
        <v>25</v>
      </c>
      <c r="L1039" s="4">
        <v>48.1</v>
      </c>
      <c r="M1039" s="6">
        <v>3.7851748245361758</v>
      </c>
      <c r="N1039" s="5">
        <v>6.7000000000000004E-2</v>
      </c>
      <c r="O1039" s="5">
        <v>2.2180206368088706</v>
      </c>
      <c r="P1039" s="5">
        <v>2.2180206368088706</v>
      </c>
      <c r="Q1039" s="8">
        <v>0.20833333333333334</v>
      </c>
      <c r="R1039" s="8">
        <v>0.88541666666666663</v>
      </c>
      <c r="S1039" s="6">
        <f t="shared" si="48"/>
        <v>16.25</v>
      </c>
      <c r="T1039" s="5">
        <f t="shared" si="49"/>
        <v>0.13649357764977665</v>
      </c>
      <c r="U1039" s="3">
        <v>2.21</v>
      </c>
      <c r="V1039" s="5">
        <f t="shared" si="50"/>
        <v>6.1761799841527895E-2</v>
      </c>
      <c r="W1039" s="3">
        <v>6.1761799841527895E-2</v>
      </c>
    </row>
    <row r="1040" spans="1:23" x14ac:dyDescent="0.55000000000000004">
      <c r="A1040" s="3">
        <v>20</v>
      </c>
      <c r="B1040" s="3" t="s">
        <v>52</v>
      </c>
      <c r="C1040" s="3" t="s">
        <v>50</v>
      </c>
      <c r="D1040" s="3" t="s">
        <v>12</v>
      </c>
      <c r="E1040" s="2" t="s">
        <v>22</v>
      </c>
      <c r="F1040" s="3">
        <v>37</v>
      </c>
      <c r="G1040" s="4">
        <v>30.3</v>
      </c>
      <c r="H1040" s="4">
        <v>91.1</v>
      </c>
      <c r="I1040" s="6">
        <v>6.5174419598243825</v>
      </c>
      <c r="J1040" s="5">
        <v>4.9000000000000002E-2</v>
      </c>
      <c r="K1040" s="4">
        <v>25.4</v>
      </c>
      <c r="L1040" s="4">
        <v>54.7</v>
      </c>
      <c r="M1040" s="6">
        <v>4.2726962568517051</v>
      </c>
      <c r="N1040" s="5">
        <v>4.3999999999999997E-2</v>
      </c>
      <c r="O1040" s="5">
        <v>2.2447457029726774</v>
      </c>
      <c r="P1040" s="5">
        <v>2.2447457029726774</v>
      </c>
      <c r="Q1040" s="8">
        <v>0.20138888888888887</v>
      </c>
      <c r="R1040" s="8">
        <v>0.88541666666666663</v>
      </c>
      <c r="S1040" s="6">
        <f t="shared" si="48"/>
        <v>16.416666666666668</v>
      </c>
      <c r="T1040" s="5">
        <f t="shared" si="49"/>
        <v>0.13673577886127983</v>
      </c>
      <c r="U1040" s="3">
        <v>2.21</v>
      </c>
      <c r="V1040" s="5">
        <f t="shared" si="50"/>
        <v>6.1871393149900381E-2</v>
      </c>
      <c r="W1040" s="3">
        <v>6.1871393149900381E-2</v>
      </c>
    </row>
    <row r="1041" spans="1:23" x14ac:dyDescent="0.55000000000000004">
      <c r="A1041" s="3">
        <v>7</v>
      </c>
      <c r="B1041" s="3" t="s">
        <v>53</v>
      </c>
      <c r="C1041" s="3" t="s">
        <v>49</v>
      </c>
      <c r="D1041" s="3" t="s">
        <v>41</v>
      </c>
      <c r="E1041" s="2" t="s">
        <v>24</v>
      </c>
      <c r="F1041" s="3">
        <v>44</v>
      </c>
      <c r="G1041" s="4">
        <v>24.6</v>
      </c>
      <c r="H1041" s="4">
        <v>90.6</v>
      </c>
      <c r="I1041" s="6">
        <v>7.1831182072160891</v>
      </c>
      <c r="J1041" s="5">
        <v>6.2E-2</v>
      </c>
      <c r="K1041" s="4">
        <v>20.6</v>
      </c>
      <c r="L1041" s="4">
        <v>57</v>
      </c>
      <c r="M1041" s="6">
        <v>4.8811901170117524</v>
      </c>
      <c r="N1041" s="5">
        <v>5.7000000000000002E-2</v>
      </c>
      <c r="O1041" s="5">
        <v>2.3019280902043366</v>
      </c>
      <c r="P1041" s="5">
        <v>2.3019280902043366</v>
      </c>
      <c r="Q1041" s="8">
        <v>0.20277777777777781</v>
      </c>
      <c r="R1041" s="8">
        <v>0.90277777777777779</v>
      </c>
      <c r="S1041" s="6">
        <f t="shared" si="48"/>
        <v>16.799999999999997</v>
      </c>
      <c r="T1041" s="5">
        <f t="shared" si="49"/>
        <v>0.13701952917882959</v>
      </c>
      <c r="U1041" s="3">
        <v>2.21</v>
      </c>
      <c r="V1041" s="5">
        <f t="shared" si="50"/>
        <v>6.1999786958746424E-2</v>
      </c>
      <c r="W1041" s="3">
        <v>6.1999786958746424E-2</v>
      </c>
    </row>
    <row r="1042" spans="1:23" x14ac:dyDescent="0.55000000000000004">
      <c r="A1042" s="3">
        <v>11</v>
      </c>
      <c r="B1042" s="3" t="s">
        <v>53</v>
      </c>
      <c r="C1042" s="3" t="s">
        <v>49</v>
      </c>
      <c r="D1042" s="3" t="s">
        <v>41</v>
      </c>
      <c r="E1042" s="3" t="s">
        <v>32</v>
      </c>
      <c r="F1042" s="3">
        <v>72</v>
      </c>
      <c r="G1042" s="4">
        <v>28.1</v>
      </c>
      <c r="H1042" s="4">
        <v>80.2</v>
      </c>
      <c r="I1042" s="6">
        <v>5.9643294335048163</v>
      </c>
      <c r="J1042" s="5">
        <v>5.5E-2</v>
      </c>
      <c r="K1042" s="4">
        <v>23.8</v>
      </c>
      <c r="L1042" s="4">
        <v>46.4</v>
      </c>
      <c r="M1042" s="6">
        <v>3.734606802208718</v>
      </c>
      <c r="N1042" s="5">
        <v>5.2999999999999999E-2</v>
      </c>
      <c r="O1042" s="5">
        <v>2.2297226312960983</v>
      </c>
      <c r="P1042" s="5">
        <v>2.2297226312960983</v>
      </c>
      <c r="Q1042" s="8">
        <v>0.20833333333333334</v>
      </c>
      <c r="R1042" s="8">
        <v>0.88541666666666663</v>
      </c>
      <c r="S1042" s="6">
        <f t="shared" si="48"/>
        <v>16.25</v>
      </c>
      <c r="T1042" s="5">
        <f t="shared" si="49"/>
        <v>0.1372137003874522</v>
      </c>
      <c r="U1042" s="3">
        <v>2.21</v>
      </c>
      <c r="V1042" s="5">
        <f t="shared" si="50"/>
        <v>6.2087647234141265E-2</v>
      </c>
      <c r="W1042" s="3">
        <v>6.2087647234141265E-2</v>
      </c>
    </row>
    <row r="1043" spans="1:23" x14ac:dyDescent="0.55000000000000004">
      <c r="A1043" s="3">
        <v>35</v>
      </c>
      <c r="B1043" s="3" t="s">
        <v>51</v>
      </c>
      <c r="C1043" s="3" t="s">
        <v>50</v>
      </c>
      <c r="D1043" s="3" t="s">
        <v>9</v>
      </c>
      <c r="E1043" s="3" t="s">
        <v>33</v>
      </c>
      <c r="F1043" s="3">
        <v>75</v>
      </c>
      <c r="G1043" s="4">
        <v>28.3</v>
      </c>
      <c r="H1043" s="4">
        <v>96</v>
      </c>
      <c r="I1043" s="6">
        <v>7.1139173249536789</v>
      </c>
      <c r="J1043" s="5">
        <v>0.06</v>
      </c>
      <c r="K1043" s="4">
        <v>24.3</v>
      </c>
      <c r="L1043" s="4">
        <v>61.2</v>
      </c>
      <c r="M1043" s="6">
        <v>4.8795637262742586</v>
      </c>
      <c r="N1043" s="5">
        <v>4.7E-2</v>
      </c>
      <c r="O1043" s="5">
        <v>2.2343535986794203</v>
      </c>
      <c r="P1043" s="5">
        <v>2.2343535986794203</v>
      </c>
      <c r="Q1043" s="8">
        <v>0.20833333333333334</v>
      </c>
      <c r="R1043" s="8">
        <v>0.88541666666666663</v>
      </c>
      <c r="S1043" s="6">
        <f t="shared" si="48"/>
        <v>16.25</v>
      </c>
      <c r="T1043" s="5">
        <f t="shared" si="49"/>
        <v>0.13749868299565662</v>
      </c>
      <c r="U1043" s="3">
        <v>2.21</v>
      </c>
      <c r="V1043" s="5">
        <f t="shared" si="50"/>
        <v>6.221659864056861E-2</v>
      </c>
      <c r="W1043" s="3">
        <v>6.221659864056861E-2</v>
      </c>
    </row>
    <row r="1044" spans="1:23" x14ac:dyDescent="0.55000000000000004">
      <c r="A1044" s="3">
        <v>20</v>
      </c>
      <c r="B1044" s="3" t="s">
        <v>52</v>
      </c>
      <c r="C1044" s="3" t="s">
        <v>50</v>
      </c>
      <c r="D1044" s="3" t="s">
        <v>12</v>
      </c>
      <c r="E1044" s="2" t="s">
        <v>24</v>
      </c>
      <c r="F1044" s="3">
        <v>44</v>
      </c>
      <c r="G1044" s="4">
        <v>25.9</v>
      </c>
      <c r="H1044" s="4">
        <v>105.4</v>
      </c>
      <c r="I1044" s="6">
        <v>8.1573156204117883</v>
      </c>
      <c r="J1044" s="5">
        <v>4.1000000000000002E-2</v>
      </c>
      <c r="K1044" s="4">
        <v>21.5</v>
      </c>
      <c r="L1044" s="4">
        <v>69.5</v>
      </c>
      <c r="M1044" s="6">
        <v>5.8470553415445661</v>
      </c>
      <c r="N1044" s="5">
        <v>3.5000000000000003E-2</v>
      </c>
      <c r="O1044" s="5">
        <v>2.3102602788672222</v>
      </c>
      <c r="P1044" s="5">
        <v>2.3102602788672222</v>
      </c>
      <c r="Q1044" s="8">
        <v>0.20277777777777781</v>
      </c>
      <c r="R1044" s="8">
        <v>0.90277777777777779</v>
      </c>
      <c r="S1044" s="6">
        <f t="shared" si="48"/>
        <v>16.799999999999997</v>
      </c>
      <c r="T1044" s="5">
        <f t="shared" si="49"/>
        <v>0.13751549278971564</v>
      </c>
      <c r="U1044" s="3">
        <v>2.21</v>
      </c>
      <c r="V1044" s="5">
        <f t="shared" si="50"/>
        <v>6.2224204882224264E-2</v>
      </c>
      <c r="W1044" s="3">
        <v>6.2224204882224264E-2</v>
      </c>
    </row>
    <row r="1045" spans="1:23" x14ac:dyDescent="0.55000000000000004">
      <c r="A1045" s="3">
        <v>13</v>
      </c>
      <c r="B1045" s="3" t="s">
        <v>53</v>
      </c>
      <c r="C1045" s="3" t="s">
        <v>50</v>
      </c>
      <c r="D1045" s="3" t="s">
        <v>11</v>
      </c>
      <c r="E1045" s="3" t="s">
        <v>28</v>
      </c>
      <c r="F1045" s="3">
        <v>58</v>
      </c>
      <c r="G1045" s="4">
        <v>28.6</v>
      </c>
      <c r="H1045" s="4">
        <v>93.9</v>
      </c>
      <c r="I1045" s="6">
        <v>6.9212767383905369</v>
      </c>
      <c r="J1045" s="5">
        <v>5.3999999999999999E-2</v>
      </c>
      <c r="K1045" s="4">
        <v>24</v>
      </c>
      <c r="L1045" s="4">
        <v>58.3</v>
      </c>
      <c r="M1045" s="6">
        <v>4.6746929954423457</v>
      </c>
      <c r="N1045" s="5">
        <v>4.3999999999999997E-2</v>
      </c>
      <c r="O1045" s="5">
        <v>2.2465837429481912</v>
      </c>
      <c r="P1045" s="5">
        <v>2.2465837429481912</v>
      </c>
      <c r="Q1045" s="8">
        <v>0.20833333333333334</v>
      </c>
      <c r="R1045" s="8">
        <v>0.88888888888888884</v>
      </c>
      <c r="S1045" s="6">
        <f t="shared" si="48"/>
        <v>16.333333333333332</v>
      </c>
      <c r="T1045" s="5">
        <f t="shared" si="49"/>
        <v>0.13754594344580764</v>
      </c>
      <c r="U1045" s="3">
        <v>2.21</v>
      </c>
      <c r="V1045" s="5">
        <f t="shared" si="50"/>
        <v>6.2237983459641461E-2</v>
      </c>
      <c r="W1045" s="3">
        <v>6.2237983459641461E-2</v>
      </c>
    </row>
    <row r="1046" spans="1:23" x14ac:dyDescent="0.55000000000000004">
      <c r="A1046" s="3">
        <v>33</v>
      </c>
      <c r="B1046" s="3" t="s">
        <v>51</v>
      </c>
      <c r="C1046" s="3" t="s">
        <v>50</v>
      </c>
      <c r="D1046" s="3" t="s">
        <v>9</v>
      </c>
      <c r="E1046" s="2" t="s">
        <v>15</v>
      </c>
      <c r="F1046" s="3">
        <v>12</v>
      </c>
      <c r="G1046" s="4">
        <v>22.5</v>
      </c>
      <c r="H1046" s="4">
        <v>124.6</v>
      </c>
      <c r="I1046" s="6">
        <v>10.280964781618705</v>
      </c>
      <c r="J1046" s="5">
        <v>4.2999999999999997E-2</v>
      </c>
      <c r="K1046" s="4">
        <v>19.399999999999999</v>
      </c>
      <c r="L1046" s="4">
        <v>92.3</v>
      </c>
      <c r="M1046" s="6">
        <v>8.096136701434828</v>
      </c>
      <c r="N1046" s="5">
        <v>3.9E-2</v>
      </c>
      <c r="O1046" s="5">
        <v>2.1848280801838769</v>
      </c>
      <c r="P1046" s="5">
        <v>2.1848280801838769</v>
      </c>
      <c r="Q1046" s="8">
        <v>0.21319444444444444</v>
      </c>
      <c r="R1046" s="8">
        <v>0.875</v>
      </c>
      <c r="S1046" s="6">
        <f t="shared" si="48"/>
        <v>15.883333333333333</v>
      </c>
      <c r="T1046" s="5">
        <f t="shared" si="49"/>
        <v>0.13755475845858617</v>
      </c>
      <c r="U1046" s="3">
        <v>2.21</v>
      </c>
      <c r="V1046" s="5">
        <f t="shared" si="50"/>
        <v>6.2241972153206412E-2</v>
      </c>
      <c r="W1046" s="3">
        <v>6.2241972153206412E-2</v>
      </c>
    </row>
    <row r="1047" spans="1:23" x14ac:dyDescent="0.55000000000000004">
      <c r="A1047" s="3">
        <v>60</v>
      </c>
      <c r="B1047" s="3" t="s">
        <v>51</v>
      </c>
      <c r="C1047" s="3" t="s">
        <v>49</v>
      </c>
      <c r="D1047" s="3" t="s">
        <v>39</v>
      </c>
      <c r="E1047" s="2" t="s">
        <v>22</v>
      </c>
      <c r="F1047" s="3">
        <v>37</v>
      </c>
      <c r="G1047" s="4">
        <v>30.4</v>
      </c>
      <c r="H1047" s="4">
        <v>109.3</v>
      </c>
      <c r="I1047" s="6">
        <v>7.8059397015798071</v>
      </c>
      <c r="J1047" s="5">
        <v>5.6000000000000001E-2</v>
      </c>
      <c r="K1047" s="4">
        <v>25.1</v>
      </c>
      <c r="L1047" s="4">
        <v>70.599999999999994</v>
      </c>
      <c r="M1047" s="6">
        <v>5.5454573075237725</v>
      </c>
      <c r="N1047" s="5">
        <v>0.05</v>
      </c>
      <c r="O1047" s="5">
        <v>2.2604823940560346</v>
      </c>
      <c r="P1047" s="5">
        <v>2.2604823940560346</v>
      </c>
      <c r="Q1047" s="8">
        <v>0.20138888888888887</v>
      </c>
      <c r="R1047" s="8">
        <v>0.88541666666666663</v>
      </c>
      <c r="S1047" s="6">
        <f t="shared" si="48"/>
        <v>16.416666666666668</v>
      </c>
      <c r="T1047" s="5">
        <f t="shared" si="49"/>
        <v>0.13769435902879398</v>
      </c>
      <c r="U1047" s="3">
        <v>2.21</v>
      </c>
      <c r="V1047" s="5">
        <f t="shared" si="50"/>
        <v>6.2305139832033472E-2</v>
      </c>
      <c r="W1047" s="3">
        <v>6.2305139832033472E-2</v>
      </c>
    </row>
    <row r="1048" spans="1:23" x14ac:dyDescent="0.55000000000000004">
      <c r="A1048" s="3">
        <v>45</v>
      </c>
      <c r="B1048" s="3" t="s">
        <v>48</v>
      </c>
      <c r="C1048" s="3" t="s">
        <v>50</v>
      </c>
      <c r="D1048" s="3" t="s">
        <v>10</v>
      </c>
      <c r="E1048" s="3" t="s">
        <v>34</v>
      </c>
      <c r="F1048" s="3">
        <v>79</v>
      </c>
      <c r="G1048" s="4">
        <v>28.6</v>
      </c>
      <c r="H1048" s="4">
        <v>89.5</v>
      </c>
      <c r="I1048" s="6">
        <v>6.5969570616182436</v>
      </c>
      <c r="J1048" s="5">
        <v>6.2E-2</v>
      </c>
      <c r="K1048" s="4">
        <v>25.1</v>
      </c>
      <c r="L1048" s="4">
        <v>55.5</v>
      </c>
      <c r="M1048" s="6">
        <v>4.3593892431667056</v>
      </c>
      <c r="N1048" s="5">
        <v>5.8000000000000003E-2</v>
      </c>
      <c r="O1048" s="5">
        <v>2.237567818451538</v>
      </c>
      <c r="P1048" s="5">
        <v>2.237567818451538</v>
      </c>
      <c r="Q1048" s="8">
        <v>0.20833333333333334</v>
      </c>
      <c r="R1048" s="8">
        <v>0.88541666666666663</v>
      </c>
      <c r="S1048" s="6">
        <f t="shared" si="48"/>
        <v>16.25</v>
      </c>
      <c r="T1048" s="5">
        <f t="shared" si="49"/>
        <v>0.13769648113547925</v>
      </c>
      <c r="U1048" s="3">
        <v>2.21</v>
      </c>
      <c r="V1048" s="5">
        <f t="shared" si="50"/>
        <v>6.2306100061302841E-2</v>
      </c>
      <c r="W1048" s="3">
        <v>6.2306100061302841E-2</v>
      </c>
    </row>
    <row r="1049" spans="1:23" x14ac:dyDescent="0.55000000000000004">
      <c r="A1049" s="3">
        <v>24</v>
      </c>
      <c r="B1049" s="3" t="s">
        <v>52</v>
      </c>
      <c r="C1049" s="3" t="s">
        <v>49</v>
      </c>
      <c r="D1049" s="3" t="s">
        <v>40</v>
      </c>
      <c r="E1049" s="3" t="s">
        <v>34</v>
      </c>
      <c r="F1049" s="3">
        <v>79</v>
      </c>
      <c r="G1049" s="4">
        <v>28.8</v>
      </c>
      <c r="H1049" s="4">
        <v>87.8</v>
      </c>
      <c r="I1049" s="6">
        <v>6.4487493934537126</v>
      </c>
      <c r="J1049" s="5">
        <v>5.0999999999999997E-2</v>
      </c>
      <c r="K1049" s="4">
        <v>25.3</v>
      </c>
      <c r="L1049" s="4">
        <v>53.8</v>
      </c>
      <c r="M1049" s="6">
        <v>4.2101915739990856</v>
      </c>
      <c r="N1049" s="5">
        <v>4.8000000000000001E-2</v>
      </c>
      <c r="O1049" s="5">
        <v>2.238557819454627</v>
      </c>
      <c r="P1049" s="5">
        <v>2.238557819454627</v>
      </c>
      <c r="Q1049" s="8">
        <v>0.20833333333333334</v>
      </c>
      <c r="R1049" s="8">
        <v>0.88541666666666663</v>
      </c>
      <c r="S1049" s="6">
        <f t="shared" si="48"/>
        <v>16.25</v>
      </c>
      <c r="T1049" s="5">
        <f t="shared" si="49"/>
        <v>0.13775740427413088</v>
      </c>
      <c r="U1049" s="3">
        <v>2.21</v>
      </c>
      <c r="V1049" s="5">
        <f t="shared" si="50"/>
        <v>6.2333667092366915E-2</v>
      </c>
      <c r="W1049" s="3">
        <v>6.2333667092366915E-2</v>
      </c>
    </row>
    <row r="1050" spans="1:23" x14ac:dyDescent="0.55000000000000004">
      <c r="A1050" s="3">
        <v>6</v>
      </c>
      <c r="B1050" s="3" t="s">
        <v>51</v>
      </c>
      <c r="C1050" s="3" t="s">
        <v>49</v>
      </c>
      <c r="D1050" s="3" t="s">
        <v>39</v>
      </c>
      <c r="E1050" s="3" t="s">
        <v>35</v>
      </c>
      <c r="F1050" s="3">
        <v>82</v>
      </c>
      <c r="G1050" s="4">
        <v>31</v>
      </c>
      <c r="H1050" s="4">
        <v>68.7</v>
      </c>
      <c r="I1050" s="6">
        <v>4.8557799989156694</v>
      </c>
      <c r="J1050" s="5">
        <v>5.1999999999999998E-2</v>
      </c>
      <c r="K1050" s="4">
        <v>27.2</v>
      </c>
      <c r="L1050" s="4">
        <v>34.5</v>
      </c>
      <c r="M1050" s="6">
        <v>2.6075366272736304</v>
      </c>
      <c r="N1050" s="5">
        <v>4.9000000000000002E-2</v>
      </c>
      <c r="O1050" s="5">
        <v>2.2482433716420389</v>
      </c>
      <c r="P1050" s="5">
        <v>2.2482433716420389</v>
      </c>
      <c r="Q1050" s="8">
        <v>0.20833333333333334</v>
      </c>
      <c r="R1050" s="8">
        <v>0.88541666666666663</v>
      </c>
      <c r="S1050" s="6">
        <f t="shared" si="48"/>
        <v>16.25</v>
      </c>
      <c r="T1050" s="5">
        <f t="shared" si="49"/>
        <v>0.13835343825489471</v>
      </c>
      <c r="U1050" s="3">
        <v>2.21</v>
      </c>
      <c r="V1050" s="5">
        <f t="shared" si="50"/>
        <v>6.2603365726196694E-2</v>
      </c>
      <c r="W1050" s="3">
        <v>6.2603365726196694E-2</v>
      </c>
    </row>
    <row r="1051" spans="1:23" x14ac:dyDescent="0.55000000000000004">
      <c r="A1051" s="3">
        <v>31</v>
      </c>
      <c r="B1051" s="3" t="s">
        <v>52</v>
      </c>
      <c r="C1051" s="3" t="s">
        <v>49</v>
      </c>
      <c r="D1051" s="3" t="s">
        <v>40</v>
      </c>
      <c r="E1051" s="3" t="s">
        <v>31</v>
      </c>
      <c r="F1051" s="3">
        <v>68</v>
      </c>
      <c r="G1051" s="4">
        <v>25.4</v>
      </c>
      <c r="H1051" s="4">
        <v>97.9</v>
      </c>
      <c r="I1051" s="6">
        <v>7.6471108509283718</v>
      </c>
      <c r="J1051" s="5">
        <v>6.4000000000000001E-2</v>
      </c>
      <c r="K1051" s="4">
        <v>23.9</v>
      </c>
      <c r="L1051" s="4">
        <v>67.2</v>
      </c>
      <c r="M1051" s="6">
        <v>5.3985163420855065</v>
      </c>
      <c r="N1051" s="5">
        <v>6.5000000000000002E-2</v>
      </c>
      <c r="O1051" s="5">
        <v>2.2485945088428654</v>
      </c>
      <c r="P1051" s="5">
        <v>2.2485945088428654</v>
      </c>
      <c r="Q1051" s="8">
        <v>0.20833333333333334</v>
      </c>
      <c r="R1051" s="8">
        <v>0.88541666666666663</v>
      </c>
      <c r="S1051" s="6">
        <f t="shared" si="48"/>
        <v>16.25</v>
      </c>
      <c r="T1051" s="5">
        <f t="shared" si="49"/>
        <v>0.13837504669802247</v>
      </c>
      <c r="U1051" s="3">
        <v>2.21</v>
      </c>
      <c r="V1051" s="5">
        <f t="shared" si="50"/>
        <v>6.261314330227262E-2</v>
      </c>
      <c r="W1051" s="3">
        <v>6.261314330227262E-2</v>
      </c>
    </row>
    <row r="1052" spans="1:23" x14ac:dyDescent="0.55000000000000004">
      <c r="A1052" s="3">
        <v>9</v>
      </c>
      <c r="B1052" s="3" t="s">
        <v>48</v>
      </c>
      <c r="C1052" s="3" t="s">
        <v>50</v>
      </c>
      <c r="D1052" s="3" t="s">
        <v>10</v>
      </c>
      <c r="E1052" s="2" t="s">
        <v>13</v>
      </c>
      <c r="F1052" s="3">
        <v>8</v>
      </c>
      <c r="G1052" s="4">
        <v>21.9</v>
      </c>
      <c r="H1052" s="4">
        <v>122.4</v>
      </c>
      <c r="I1052" s="6">
        <v>10.217498262754953</v>
      </c>
      <c r="J1052" s="5">
        <v>0.04</v>
      </c>
      <c r="K1052" s="4">
        <v>19.2</v>
      </c>
      <c r="L1052" s="4">
        <v>91.3</v>
      </c>
      <c r="M1052" s="6">
        <v>8.0408643621601268</v>
      </c>
      <c r="N1052" s="5">
        <v>3.6999999999999998E-2</v>
      </c>
      <c r="O1052" s="5">
        <v>2.1766339005948261</v>
      </c>
      <c r="P1052" s="5">
        <v>2.1766339005948261</v>
      </c>
      <c r="Q1052" s="8">
        <v>0.20833333333333334</v>
      </c>
      <c r="R1052" s="8">
        <v>0.86319444444444438</v>
      </c>
      <c r="S1052" s="6">
        <f t="shared" si="48"/>
        <v>15.716666666666665</v>
      </c>
      <c r="T1052" s="5">
        <f t="shared" si="49"/>
        <v>0.13849208275258704</v>
      </c>
      <c r="U1052" s="3">
        <v>2.21</v>
      </c>
      <c r="V1052" s="5">
        <f t="shared" si="50"/>
        <v>6.2666100793025814E-2</v>
      </c>
      <c r="W1052" s="3">
        <v>6.2666100793025814E-2</v>
      </c>
    </row>
    <row r="1053" spans="1:23" x14ac:dyDescent="0.55000000000000004">
      <c r="A1053" s="3">
        <v>47</v>
      </c>
      <c r="B1053" s="3" t="s">
        <v>52</v>
      </c>
      <c r="C1053" s="3" t="s">
        <v>50</v>
      </c>
      <c r="D1053" s="3" t="s">
        <v>12</v>
      </c>
      <c r="E1053" s="3" t="s">
        <v>26</v>
      </c>
      <c r="F1053" s="3">
        <v>51</v>
      </c>
      <c r="G1053" s="4">
        <v>27.2</v>
      </c>
      <c r="H1053" s="4">
        <v>83.8</v>
      </c>
      <c r="I1053" s="6">
        <v>6.3336686772617465</v>
      </c>
      <c r="J1053" s="5">
        <v>7.0000000000000007E-2</v>
      </c>
      <c r="K1053" s="4">
        <v>24.4</v>
      </c>
      <c r="L1053" s="4">
        <v>51.7</v>
      </c>
      <c r="M1053" s="6">
        <v>4.114376836698117</v>
      </c>
      <c r="N1053" s="5">
        <v>6.8000000000000005E-2</v>
      </c>
      <c r="O1053" s="5">
        <v>2.2192918405636295</v>
      </c>
      <c r="P1053" s="5">
        <v>2.2192918405636295</v>
      </c>
      <c r="Q1053" s="8">
        <v>0.20833333333333334</v>
      </c>
      <c r="R1053" s="8">
        <v>0.875</v>
      </c>
      <c r="S1053" s="6">
        <f t="shared" si="48"/>
        <v>16</v>
      </c>
      <c r="T1053" s="5">
        <f t="shared" si="49"/>
        <v>0.13870574003522684</v>
      </c>
      <c r="U1053" s="3">
        <v>2.21</v>
      </c>
      <c r="V1053" s="5">
        <f t="shared" si="50"/>
        <v>6.2762778296482732E-2</v>
      </c>
      <c r="W1053" s="3">
        <v>6.2762778296482732E-2</v>
      </c>
    </row>
    <row r="1054" spans="1:23" x14ac:dyDescent="0.55000000000000004">
      <c r="A1054" s="3">
        <v>22</v>
      </c>
      <c r="B1054" s="3" t="s">
        <v>48</v>
      </c>
      <c r="C1054" s="3" t="s">
        <v>49</v>
      </c>
      <c r="D1054" s="3" t="s">
        <v>38</v>
      </c>
      <c r="E1054" s="3" t="s">
        <v>29</v>
      </c>
      <c r="F1054" s="3">
        <v>61</v>
      </c>
      <c r="G1054" s="4">
        <v>28.3</v>
      </c>
      <c r="H1054" s="4">
        <v>81.599999999999994</v>
      </c>
      <c r="I1054" s="6">
        <v>6.0468297262106274</v>
      </c>
      <c r="J1054" s="5">
        <v>9.1999999999999998E-2</v>
      </c>
      <c r="K1054" s="4">
        <v>24.5</v>
      </c>
      <c r="L1054" s="4">
        <v>47.3</v>
      </c>
      <c r="M1054" s="6">
        <v>3.7571604866519128</v>
      </c>
      <c r="N1054" s="5">
        <v>8.4000000000000005E-2</v>
      </c>
      <c r="O1054" s="5">
        <v>2.2896692395587146</v>
      </c>
      <c r="P1054" s="5">
        <v>2.2896692395587146</v>
      </c>
      <c r="Q1054" s="8">
        <v>0.19791666666666666</v>
      </c>
      <c r="R1054" s="8">
        <v>0.88541666666666663</v>
      </c>
      <c r="S1054" s="6">
        <f t="shared" si="48"/>
        <v>16.5</v>
      </c>
      <c r="T1054" s="5">
        <f t="shared" si="49"/>
        <v>0.13876783270052817</v>
      </c>
      <c r="U1054" s="3">
        <v>2.21</v>
      </c>
      <c r="V1054" s="5">
        <f t="shared" si="50"/>
        <v>6.279087452512587E-2</v>
      </c>
      <c r="W1054" s="3">
        <v>6.279087452512587E-2</v>
      </c>
    </row>
    <row r="1055" spans="1:23" x14ac:dyDescent="0.55000000000000004">
      <c r="A1055" s="3">
        <v>7</v>
      </c>
      <c r="B1055" s="3" t="s">
        <v>53</v>
      </c>
      <c r="C1055" s="3" t="s">
        <v>49</v>
      </c>
      <c r="D1055" s="3" t="s">
        <v>41</v>
      </c>
      <c r="E1055" s="3" t="s">
        <v>27</v>
      </c>
      <c r="F1055" s="3">
        <v>54</v>
      </c>
      <c r="G1055" s="4">
        <v>27.1</v>
      </c>
      <c r="H1055" s="4">
        <v>90.1</v>
      </c>
      <c r="I1055" s="6">
        <v>6.8221573154859074</v>
      </c>
      <c r="J1055" s="5">
        <v>6.8000000000000005E-2</v>
      </c>
      <c r="K1055" s="4">
        <v>24</v>
      </c>
      <c r="L1055" s="4">
        <v>56.5</v>
      </c>
      <c r="M1055" s="6">
        <v>4.5303628515007297</v>
      </c>
      <c r="N1055" s="5">
        <v>6.6000000000000003E-2</v>
      </c>
      <c r="O1055" s="5">
        <v>2.2917944639851777</v>
      </c>
      <c r="P1055" s="5">
        <v>2.2917944639851777</v>
      </c>
      <c r="Q1055" s="8">
        <v>0.20833333333333334</v>
      </c>
      <c r="R1055" s="8">
        <v>0.89583333333333337</v>
      </c>
      <c r="S1055" s="6">
        <f t="shared" si="48"/>
        <v>16.5</v>
      </c>
      <c r="T1055" s="5">
        <f t="shared" si="49"/>
        <v>0.13889663418091985</v>
      </c>
      <c r="U1055" s="3">
        <v>2.21</v>
      </c>
      <c r="V1055" s="5">
        <f t="shared" si="50"/>
        <v>6.2849155737972798E-2</v>
      </c>
      <c r="W1055" s="3">
        <v>6.2849155737972798E-2</v>
      </c>
    </row>
    <row r="1056" spans="1:23" x14ac:dyDescent="0.55000000000000004">
      <c r="A1056" s="3">
        <v>34</v>
      </c>
      <c r="B1056" s="3" t="s">
        <v>48</v>
      </c>
      <c r="C1056" s="3" t="s">
        <v>50</v>
      </c>
      <c r="D1056" s="3" t="s">
        <v>10</v>
      </c>
      <c r="E1056" s="2" t="s">
        <v>22</v>
      </c>
      <c r="F1056" s="3">
        <v>37</v>
      </c>
      <c r="G1056" s="4">
        <v>30</v>
      </c>
      <c r="H1056" s="4">
        <v>86</v>
      </c>
      <c r="I1056" s="6">
        <v>6.1847800708338454</v>
      </c>
      <c r="J1056" s="5">
        <v>7.5999999999999998E-2</v>
      </c>
      <c r="K1056" s="4">
        <v>25.1</v>
      </c>
      <c r="L1056" s="4">
        <v>49.7</v>
      </c>
      <c r="M1056" s="6">
        <v>3.9038134303673018</v>
      </c>
      <c r="N1056" s="5">
        <v>7.3999999999999996E-2</v>
      </c>
      <c r="O1056" s="5">
        <v>2.2809666404665436</v>
      </c>
      <c r="P1056" s="5">
        <v>2.2809666404665436</v>
      </c>
      <c r="Q1056" s="8">
        <v>0.20138888888888887</v>
      </c>
      <c r="R1056" s="8">
        <v>0.88541666666666663</v>
      </c>
      <c r="S1056" s="6">
        <f t="shared" si="48"/>
        <v>16.416666666666668</v>
      </c>
      <c r="T1056" s="5">
        <f t="shared" si="49"/>
        <v>0.13894213038374884</v>
      </c>
      <c r="U1056" s="3">
        <v>2.21</v>
      </c>
      <c r="V1056" s="5">
        <f t="shared" si="50"/>
        <v>6.2869742255089983E-2</v>
      </c>
      <c r="W1056" s="3">
        <v>6.2869742255089983E-2</v>
      </c>
    </row>
    <row r="1057" spans="1:23" x14ac:dyDescent="0.55000000000000004">
      <c r="A1057" s="3">
        <v>20</v>
      </c>
      <c r="B1057" s="3" t="s">
        <v>52</v>
      </c>
      <c r="C1057" s="3" t="s">
        <v>50</v>
      </c>
      <c r="D1057" s="3" t="s">
        <v>12</v>
      </c>
      <c r="E1057" s="3" t="s">
        <v>27</v>
      </c>
      <c r="F1057" s="3">
        <v>54</v>
      </c>
      <c r="G1057" s="4">
        <v>27.6</v>
      </c>
      <c r="H1057" s="4">
        <v>90.9</v>
      </c>
      <c r="I1057" s="6">
        <v>6.8209225691667914</v>
      </c>
      <c r="J1057" s="5">
        <v>0.03</v>
      </c>
      <c r="K1057" s="4">
        <v>24.7</v>
      </c>
      <c r="L1057" s="4">
        <v>57.2</v>
      </c>
      <c r="M1057" s="6">
        <v>4.5265589329437086</v>
      </c>
      <c r="N1057" s="5">
        <v>3.3000000000000002E-2</v>
      </c>
      <c r="O1057" s="5">
        <v>2.2943636362230828</v>
      </c>
      <c r="P1057" s="5">
        <v>2.2943636362230828</v>
      </c>
      <c r="Q1057" s="8">
        <v>0.20833333333333334</v>
      </c>
      <c r="R1057" s="8">
        <v>0.89583333333333337</v>
      </c>
      <c r="S1057" s="6">
        <f t="shared" si="48"/>
        <v>16.5</v>
      </c>
      <c r="T1057" s="5">
        <f t="shared" si="49"/>
        <v>0.13905234158927773</v>
      </c>
      <c r="U1057" s="3">
        <v>2.21</v>
      </c>
      <c r="V1057" s="5">
        <f t="shared" si="50"/>
        <v>6.2919611578858711E-2</v>
      </c>
      <c r="W1057" s="3">
        <v>6.2919611578858711E-2</v>
      </c>
    </row>
    <row r="1058" spans="1:23" x14ac:dyDescent="0.55000000000000004">
      <c r="A1058" s="3">
        <v>34</v>
      </c>
      <c r="B1058" s="3" t="s">
        <v>48</v>
      </c>
      <c r="C1058" s="3" t="s">
        <v>50</v>
      </c>
      <c r="D1058" s="3" t="s">
        <v>10</v>
      </c>
      <c r="E1058" s="3" t="s">
        <v>27</v>
      </c>
      <c r="F1058" s="3">
        <v>54</v>
      </c>
      <c r="G1058" s="4">
        <v>27.6</v>
      </c>
      <c r="H1058" s="4">
        <v>93.9</v>
      </c>
      <c r="I1058" s="6">
        <v>7.0460355252449043</v>
      </c>
      <c r="J1058" s="5">
        <v>7.3999999999999996E-2</v>
      </c>
      <c r="K1058" s="4">
        <v>24.5</v>
      </c>
      <c r="L1058" s="4">
        <v>59.8</v>
      </c>
      <c r="M1058" s="6">
        <v>4.7500675920038979</v>
      </c>
      <c r="N1058" s="5">
        <v>7.0000000000000007E-2</v>
      </c>
      <c r="O1058" s="5">
        <v>2.2959679332410063</v>
      </c>
      <c r="P1058" s="5">
        <v>2.2959679332410063</v>
      </c>
      <c r="Q1058" s="8">
        <v>0.20833333333333334</v>
      </c>
      <c r="R1058" s="8">
        <v>0.89583333333333337</v>
      </c>
      <c r="S1058" s="6">
        <f t="shared" si="48"/>
        <v>16.5</v>
      </c>
      <c r="T1058" s="5">
        <f t="shared" si="49"/>
        <v>0.13914957171157613</v>
      </c>
      <c r="U1058" s="3">
        <v>2.21</v>
      </c>
      <c r="V1058" s="5">
        <f t="shared" si="50"/>
        <v>6.2963607109310482E-2</v>
      </c>
      <c r="W1058" s="3">
        <v>6.2963607109310482E-2</v>
      </c>
    </row>
    <row r="1059" spans="1:23" x14ac:dyDescent="0.55000000000000004">
      <c r="A1059" s="3">
        <v>32</v>
      </c>
      <c r="B1059" s="3" t="s">
        <v>53</v>
      </c>
      <c r="C1059" s="3" t="s">
        <v>50</v>
      </c>
      <c r="D1059" s="3" t="s">
        <v>11</v>
      </c>
      <c r="E1059" s="3" t="s">
        <v>27</v>
      </c>
      <c r="F1059" s="3">
        <v>54</v>
      </c>
      <c r="G1059" s="4">
        <v>27.6</v>
      </c>
      <c r="H1059" s="4">
        <v>77.2</v>
      </c>
      <c r="I1059" s="6">
        <v>5.7929067364100808</v>
      </c>
      <c r="J1059" s="5">
        <v>6.2E-2</v>
      </c>
      <c r="K1059" s="4">
        <v>24.4</v>
      </c>
      <c r="L1059" s="4">
        <v>43.9</v>
      </c>
      <c r="M1059" s="6">
        <v>3.4936391321285747</v>
      </c>
      <c r="N1059" s="5">
        <v>0.06</v>
      </c>
      <c r="O1059" s="5">
        <v>2.2992676042815061</v>
      </c>
      <c r="P1059" s="5">
        <v>2.2992676042815061</v>
      </c>
      <c r="Q1059" s="8">
        <v>0.20833333333333334</v>
      </c>
      <c r="R1059" s="8">
        <v>0.89583333333333337</v>
      </c>
      <c r="S1059" s="6">
        <f t="shared" si="48"/>
        <v>16.5</v>
      </c>
      <c r="T1059" s="5">
        <f t="shared" si="49"/>
        <v>0.13934955177463673</v>
      </c>
      <c r="U1059" s="3">
        <v>2.21</v>
      </c>
      <c r="V1059" s="5">
        <f t="shared" si="50"/>
        <v>6.3054095825627474E-2</v>
      </c>
      <c r="W1059" s="3">
        <v>6.3054095825627474E-2</v>
      </c>
    </row>
    <row r="1060" spans="1:23" x14ac:dyDescent="0.55000000000000004">
      <c r="A1060" s="3">
        <v>39</v>
      </c>
      <c r="B1060" s="3" t="s">
        <v>51</v>
      </c>
      <c r="C1060" s="3" t="s">
        <v>50</v>
      </c>
      <c r="D1060" s="3" t="s">
        <v>9</v>
      </c>
      <c r="E1060" s="3" t="s">
        <v>31</v>
      </c>
      <c r="F1060" s="3">
        <v>68</v>
      </c>
      <c r="G1060" s="4">
        <v>25.4</v>
      </c>
      <c r="H1060" s="4">
        <v>92.5</v>
      </c>
      <c r="I1060" s="6">
        <v>7.2253090266687874</v>
      </c>
      <c r="J1060" s="5">
        <v>4.1000000000000002E-2</v>
      </c>
      <c r="K1060" s="4">
        <v>24.2</v>
      </c>
      <c r="L1060" s="4">
        <v>62.1</v>
      </c>
      <c r="M1060" s="6">
        <v>4.9606473644583051</v>
      </c>
      <c r="N1060" s="5">
        <v>3.7999999999999999E-2</v>
      </c>
      <c r="O1060" s="5">
        <v>2.2646616622104823</v>
      </c>
      <c r="P1060" s="5">
        <v>2.2646616622104823</v>
      </c>
      <c r="Q1060" s="8">
        <v>0.20833333333333334</v>
      </c>
      <c r="R1060" s="8">
        <v>0.88541666666666663</v>
      </c>
      <c r="S1060" s="6">
        <f t="shared" si="48"/>
        <v>16.25</v>
      </c>
      <c r="T1060" s="5">
        <f t="shared" si="49"/>
        <v>0.13936379459756815</v>
      </c>
      <c r="U1060" s="3">
        <v>2.21</v>
      </c>
      <c r="V1060" s="5">
        <f t="shared" si="50"/>
        <v>6.3060540541886034E-2</v>
      </c>
      <c r="W1060" s="3">
        <v>6.3060540541886034E-2</v>
      </c>
    </row>
    <row r="1061" spans="1:23" x14ac:dyDescent="0.55000000000000004">
      <c r="A1061" s="3">
        <v>39</v>
      </c>
      <c r="B1061" s="3" t="s">
        <v>51</v>
      </c>
      <c r="C1061" s="3" t="s">
        <v>50</v>
      </c>
      <c r="D1061" s="3" t="s">
        <v>9</v>
      </c>
      <c r="E1061" s="3" t="s">
        <v>34</v>
      </c>
      <c r="F1061" s="3">
        <v>79</v>
      </c>
      <c r="G1061" s="4">
        <v>28.8</v>
      </c>
      <c r="H1061" s="4">
        <v>95</v>
      </c>
      <c r="I1061" s="6">
        <v>6.9775762229852241</v>
      </c>
      <c r="J1061" s="5">
        <v>4.7E-2</v>
      </c>
      <c r="K1061" s="4">
        <v>25.3</v>
      </c>
      <c r="L1061" s="4">
        <v>60.2</v>
      </c>
      <c r="M1061" s="6">
        <v>4.7110322073372668</v>
      </c>
      <c r="N1061" s="5">
        <v>4.2000000000000003E-2</v>
      </c>
      <c r="O1061" s="5">
        <v>2.2665440156479573</v>
      </c>
      <c r="P1061" s="5">
        <v>2.2665440156479573</v>
      </c>
      <c r="Q1061" s="8">
        <v>0.20833333333333334</v>
      </c>
      <c r="R1061" s="8">
        <v>0.88541666666666663</v>
      </c>
      <c r="S1061" s="6">
        <f t="shared" si="48"/>
        <v>16.25</v>
      </c>
      <c r="T1061" s="5">
        <f t="shared" si="49"/>
        <v>0.13947963173218197</v>
      </c>
      <c r="U1061" s="3">
        <v>2.21</v>
      </c>
      <c r="V1061" s="5">
        <f t="shared" si="50"/>
        <v>6.3112955534923965E-2</v>
      </c>
      <c r="W1061" s="3">
        <v>6.3112955534923965E-2</v>
      </c>
    </row>
    <row r="1062" spans="1:23" x14ac:dyDescent="0.55000000000000004">
      <c r="A1062" s="3">
        <v>27</v>
      </c>
      <c r="B1062" s="3" t="s">
        <v>48</v>
      </c>
      <c r="C1062" s="3" t="s">
        <v>50</v>
      </c>
      <c r="D1062" s="3" t="s">
        <v>10</v>
      </c>
      <c r="E1062" s="3" t="s">
        <v>31</v>
      </c>
      <c r="F1062" s="3">
        <v>68</v>
      </c>
      <c r="G1062" s="4">
        <v>25.5</v>
      </c>
      <c r="H1062" s="4">
        <v>76.599999999999994</v>
      </c>
      <c r="I1062" s="6">
        <v>5.9722732955735829</v>
      </c>
      <c r="J1062" s="5">
        <v>7.0999999999999994E-2</v>
      </c>
      <c r="K1062" s="4">
        <v>24.1</v>
      </c>
      <c r="L1062" s="4">
        <v>46.3</v>
      </c>
      <c r="M1062" s="6">
        <v>3.7054936029276626</v>
      </c>
      <c r="N1062" s="5">
        <v>7.0000000000000007E-2</v>
      </c>
      <c r="O1062" s="5">
        <v>2.2667796926459203</v>
      </c>
      <c r="P1062" s="5">
        <v>2.2667796926459203</v>
      </c>
      <c r="Q1062" s="8">
        <v>0.20833333333333334</v>
      </c>
      <c r="R1062" s="8">
        <v>0.88541666666666663</v>
      </c>
      <c r="S1062" s="6">
        <f t="shared" si="48"/>
        <v>16.25</v>
      </c>
      <c r="T1062" s="5">
        <f t="shared" si="49"/>
        <v>0.13949413493205665</v>
      </c>
      <c r="U1062" s="3">
        <v>2.21</v>
      </c>
      <c r="V1062" s="5">
        <f t="shared" si="50"/>
        <v>6.3119518068803906E-2</v>
      </c>
      <c r="W1062" s="3">
        <v>6.3119518068803906E-2</v>
      </c>
    </row>
    <row r="1063" spans="1:23" x14ac:dyDescent="0.55000000000000004">
      <c r="A1063" s="3">
        <v>33</v>
      </c>
      <c r="B1063" s="3" t="s">
        <v>51</v>
      </c>
      <c r="C1063" s="3" t="s">
        <v>50</v>
      </c>
      <c r="D1063" s="3" t="s">
        <v>9</v>
      </c>
      <c r="E1063" s="3" t="s">
        <v>32</v>
      </c>
      <c r="F1063" s="3">
        <v>72</v>
      </c>
      <c r="G1063" s="4">
        <v>28.9</v>
      </c>
      <c r="H1063" s="4">
        <v>100.7</v>
      </c>
      <c r="I1063" s="6">
        <v>7.3831574038797143</v>
      </c>
      <c r="J1063" s="5">
        <v>7.0000000000000007E-2</v>
      </c>
      <c r="K1063" s="4">
        <v>25.4</v>
      </c>
      <c r="L1063" s="4">
        <v>65.5</v>
      </c>
      <c r="M1063" s="6">
        <v>5.1162999053708713</v>
      </c>
      <c r="N1063" s="5">
        <v>5.8999999999999997E-2</v>
      </c>
      <c r="O1063" s="5">
        <v>2.266857498508843</v>
      </c>
      <c r="P1063" s="5">
        <v>2.266857498508843</v>
      </c>
      <c r="Q1063" s="8">
        <v>0.20833333333333334</v>
      </c>
      <c r="R1063" s="8">
        <v>0.88541666666666663</v>
      </c>
      <c r="S1063" s="6">
        <f t="shared" si="48"/>
        <v>16.25</v>
      </c>
      <c r="T1063" s="5">
        <f t="shared" si="49"/>
        <v>0.13949892298515956</v>
      </c>
      <c r="U1063" s="3">
        <v>2.21</v>
      </c>
      <c r="V1063" s="5">
        <f t="shared" si="50"/>
        <v>6.3121684608669501E-2</v>
      </c>
      <c r="W1063" s="3">
        <v>6.3121684608669501E-2</v>
      </c>
    </row>
    <row r="1064" spans="1:23" x14ac:dyDescent="0.55000000000000004">
      <c r="A1064" s="3">
        <v>49</v>
      </c>
      <c r="B1064" s="3" t="s">
        <v>51</v>
      </c>
      <c r="C1064" s="3" t="s">
        <v>49</v>
      </c>
      <c r="D1064" s="3" t="s">
        <v>39</v>
      </c>
      <c r="E1064" s="2" t="s">
        <v>23</v>
      </c>
      <c r="F1064" s="3">
        <v>40</v>
      </c>
      <c r="G1064" s="4">
        <v>28.8</v>
      </c>
      <c r="H1064" s="4">
        <v>97.3</v>
      </c>
      <c r="I1064" s="6">
        <v>7.1465070157522339</v>
      </c>
      <c r="J1064" s="5">
        <v>5.1999999999999998E-2</v>
      </c>
      <c r="K1064" s="4">
        <v>24.4</v>
      </c>
      <c r="L1064" s="4">
        <v>61.1</v>
      </c>
      <c r="M1064" s="6">
        <v>4.8624453524614104</v>
      </c>
      <c r="N1064" s="5">
        <v>4.7E-2</v>
      </c>
      <c r="O1064" s="5">
        <v>2.2840616632908235</v>
      </c>
      <c r="P1064" s="5">
        <v>2.2840616632908235</v>
      </c>
      <c r="Q1064" s="8">
        <v>0.20833333333333334</v>
      </c>
      <c r="R1064" s="8">
        <v>0.89027777777777783</v>
      </c>
      <c r="S1064" s="6">
        <f t="shared" si="48"/>
        <v>16.366666666666667</v>
      </c>
      <c r="T1064" s="5">
        <f t="shared" si="49"/>
        <v>0.13955570244139451</v>
      </c>
      <c r="U1064" s="3">
        <v>2.21</v>
      </c>
      <c r="V1064" s="5">
        <f t="shared" si="50"/>
        <v>6.3147376670314254E-2</v>
      </c>
      <c r="W1064" s="3">
        <v>6.3147376670314254E-2</v>
      </c>
    </row>
    <row r="1065" spans="1:23" x14ac:dyDescent="0.55000000000000004">
      <c r="A1065" s="3">
        <v>3</v>
      </c>
      <c r="B1065" s="3" t="s">
        <v>51</v>
      </c>
      <c r="C1065" s="3" t="s">
        <v>50</v>
      </c>
      <c r="D1065" s="3" t="s">
        <v>9</v>
      </c>
      <c r="E1065" s="3" t="s">
        <v>28</v>
      </c>
      <c r="F1065" s="3">
        <v>58</v>
      </c>
      <c r="G1065" s="4">
        <v>28.2</v>
      </c>
      <c r="H1065" s="4">
        <v>90.5</v>
      </c>
      <c r="I1065" s="6">
        <v>6.718316993792226</v>
      </c>
      <c r="J1065" s="5">
        <v>5.1999999999999998E-2</v>
      </c>
      <c r="K1065" s="4">
        <v>23.8</v>
      </c>
      <c r="L1065" s="4">
        <v>55.1</v>
      </c>
      <c r="M1065" s="6">
        <v>4.4348455776228528</v>
      </c>
      <c r="N1065" s="5">
        <v>5.0999999999999997E-2</v>
      </c>
      <c r="O1065" s="5">
        <v>2.2834714161693732</v>
      </c>
      <c r="P1065" s="5">
        <v>2.2834714161693732</v>
      </c>
      <c r="Q1065" s="8">
        <v>0.20833333333333334</v>
      </c>
      <c r="R1065" s="8">
        <v>0.88888888888888884</v>
      </c>
      <c r="S1065" s="6">
        <f t="shared" si="48"/>
        <v>16.333333333333332</v>
      </c>
      <c r="T1065" s="5">
        <f t="shared" si="49"/>
        <v>0.13980437241853305</v>
      </c>
      <c r="U1065" s="3">
        <v>2.21</v>
      </c>
      <c r="V1065" s="5">
        <f t="shared" si="50"/>
        <v>6.3259897021960665E-2</v>
      </c>
      <c r="W1065" s="3">
        <v>6.3259897021960665E-2</v>
      </c>
    </row>
    <row r="1066" spans="1:23" x14ac:dyDescent="0.55000000000000004">
      <c r="A1066" s="3">
        <v>9</v>
      </c>
      <c r="B1066" s="3" t="s">
        <v>48</v>
      </c>
      <c r="C1066" s="3" t="s">
        <v>50</v>
      </c>
      <c r="D1066" s="3" t="s">
        <v>10</v>
      </c>
      <c r="E1066" s="2" t="s">
        <v>22</v>
      </c>
      <c r="F1066" s="3">
        <v>37</v>
      </c>
      <c r="G1066" s="4">
        <v>30.5</v>
      </c>
      <c r="H1066" s="4">
        <v>90.6</v>
      </c>
      <c r="I1066" s="6">
        <v>6.4592249761201144</v>
      </c>
      <c r="J1066" s="5">
        <v>7.9000000000000001E-2</v>
      </c>
      <c r="K1066" s="4">
        <v>25.2</v>
      </c>
      <c r="L1066" s="4">
        <v>53.1</v>
      </c>
      <c r="M1066" s="6">
        <v>4.1631311491630179</v>
      </c>
      <c r="N1066" s="5">
        <v>7.2999999999999995E-2</v>
      </c>
      <c r="O1066" s="5">
        <v>2.2960938269570965</v>
      </c>
      <c r="P1066" s="5">
        <v>2.2960938269570965</v>
      </c>
      <c r="Q1066" s="8">
        <v>0.20138888888888887</v>
      </c>
      <c r="R1066" s="8">
        <v>0.88541666666666663</v>
      </c>
      <c r="S1066" s="6">
        <f t="shared" si="48"/>
        <v>16.416666666666668</v>
      </c>
      <c r="T1066" s="5">
        <f t="shared" si="49"/>
        <v>0.13986358336794497</v>
      </c>
      <c r="U1066" s="3">
        <v>2.21</v>
      </c>
      <c r="V1066" s="5">
        <f t="shared" si="50"/>
        <v>6.3286689306762414E-2</v>
      </c>
      <c r="W1066" s="3">
        <v>6.3286689306762414E-2</v>
      </c>
    </row>
    <row r="1067" spans="1:23" x14ac:dyDescent="0.55000000000000004">
      <c r="A1067" s="3">
        <v>39</v>
      </c>
      <c r="B1067" s="3" t="s">
        <v>51</v>
      </c>
      <c r="C1067" s="3" t="s">
        <v>50</v>
      </c>
      <c r="D1067" s="3" t="s">
        <v>9</v>
      </c>
      <c r="E1067" s="2" t="s">
        <v>24</v>
      </c>
      <c r="F1067" s="3">
        <v>44</v>
      </c>
      <c r="G1067" s="4">
        <v>25.9</v>
      </c>
      <c r="H1067" s="4">
        <v>110</v>
      </c>
      <c r="I1067" s="6">
        <v>8.5133274975834592</v>
      </c>
      <c r="J1067" s="5">
        <v>4.2000000000000003E-2</v>
      </c>
      <c r="K1067" s="4">
        <v>21.7</v>
      </c>
      <c r="L1067" s="4">
        <v>73.5</v>
      </c>
      <c r="M1067" s="6">
        <v>6.1594602969306189</v>
      </c>
      <c r="N1067" s="5">
        <v>3.5999999999999997E-2</v>
      </c>
      <c r="O1067" s="5">
        <v>2.3538672006528403</v>
      </c>
      <c r="P1067" s="5">
        <v>2.3538672006528403</v>
      </c>
      <c r="Q1067" s="8">
        <v>0.20277777777777781</v>
      </c>
      <c r="R1067" s="8">
        <v>0.90277777777777779</v>
      </c>
      <c r="S1067" s="6">
        <f t="shared" si="48"/>
        <v>16.799999999999997</v>
      </c>
      <c r="T1067" s="5">
        <f t="shared" si="49"/>
        <v>0.14011114289600243</v>
      </c>
      <c r="U1067" s="3">
        <v>2.21</v>
      </c>
      <c r="V1067" s="5">
        <f t="shared" si="50"/>
        <v>6.3398707192761278E-2</v>
      </c>
      <c r="W1067" s="3">
        <v>6.3398707192761278E-2</v>
      </c>
    </row>
    <row r="1068" spans="1:23" x14ac:dyDescent="0.55000000000000004">
      <c r="A1068" s="3">
        <v>41</v>
      </c>
      <c r="B1068" s="3" t="s">
        <v>51</v>
      </c>
      <c r="C1068" s="3" t="s">
        <v>50</v>
      </c>
      <c r="D1068" s="3" t="s">
        <v>9</v>
      </c>
      <c r="E1068" s="3" t="s">
        <v>33</v>
      </c>
      <c r="F1068" s="3">
        <v>75</v>
      </c>
      <c r="G1068" s="4">
        <v>28.6</v>
      </c>
      <c r="H1068" s="4">
        <v>92.4</v>
      </c>
      <c r="I1068" s="6">
        <v>6.8107132122181646</v>
      </c>
      <c r="J1068" s="5">
        <v>6.0999999999999999E-2</v>
      </c>
      <c r="K1068" s="4">
        <v>24.8</v>
      </c>
      <c r="L1068" s="4">
        <v>57.4</v>
      </c>
      <c r="M1068" s="6">
        <v>4.533905857375589</v>
      </c>
      <c r="N1068" s="5">
        <v>5.1999999999999998E-2</v>
      </c>
      <c r="O1068" s="5">
        <v>2.2768073548425756</v>
      </c>
      <c r="P1068" s="5">
        <v>2.2768073548425756</v>
      </c>
      <c r="Q1068" s="8">
        <v>0.20833333333333334</v>
      </c>
      <c r="R1068" s="8">
        <v>0.88541666666666663</v>
      </c>
      <c r="S1068" s="6">
        <f t="shared" si="48"/>
        <v>16.25</v>
      </c>
      <c r="T1068" s="5">
        <f t="shared" si="49"/>
        <v>0.14011122183646618</v>
      </c>
      <c r="U1068" s="3">
        <v>2.21</v>
      </c>
      <c r="V1068" s="5">
        <f t="shared" si="50"/>
        <v>6.3398742912428141E-2</v>
      </c>
      <c r="W1068" s="3">
        <v>6.3398742912428141E-2</v>
      </c>
    </row>
    <row r="1069" spans="1:23" x14ac:dyDescent="0.55000000000000004">
      <c r="A1069" s="3">
        <v>55</v>
      </c>
      <c r="B1069" s="3" t="s">
        <v>52</v>
      </c>
      <c r="C1069" s="3" t="s">
        <v>49</v>
      </c>
      <c r="D1069" s="3" t="s">
        <v>40</v>
      </c>
      <c r="E1069" s="3" t="s">
        <v>34</v>
      </c>
      <c r="F1069" s="3">
        <v>79</v>
      </c>
      <c r="G1069" s="4">
        <v>28.5</v>
      </c>
      <c r="H1069" s="4">
        <v>81.5</v>
      </c>
      <c r="I1069" s="6">
        <v>6.0179634698600406</v>
      </c>
      <c r="J1069" s="5">
        <v>6.0999999999999999E-2</v>
      </c>
      <c r="K1069" s="4">
        <v>25.3</v>
      </c>
      <c r="L1069" s="4">
        <v>47.8</v>
      </c>
      <c r="M1069" s="6">
        <v>3.7406534802445406</v>
      </c>
      <c r="N1069" s="5">
        <v>0.06</v>
      </c>
      <c r="O1069" s="5">
        <v>2.2773099896155</v>
      </c>
      <c r="P1069" s="5">
        <v>2.2773099896155</v>
      </c>
      <c r="Q1069" s="8">
        <v>0.20833333333333334</v>
      </c>
      <c r="R1069" s="8">
        <v>0.88541666666666663</v>
      </c>
      <c r="S1069" s="6">
        <f t="shared" si="48"/>
        <v>16.25</v>
      </c>
      <c r="T1069" s="5">
        <f t="shared" si="49"/>
        <v>0.14014215320710768</v>
      </c>
      <c r="U1069" s="3">
        <v>2.21</v>
      </c>
      <c r="V1069" s="5">
        <f t="shared" si="50"/>
        <v>6.341273900774104E-2</v>
      </c>
      <c r="W1069" s="3">
        <v>6.341273900774104E-2</v>
      </c>
    </row>
    <row r="1070" spans="1:23" x14ac:dyDescent="0.55000000000000004">
      <c r="A1070" s="3">
        <v>64</v>
      </c>
      <c r="B1070" s="3" t="s">
        <v>53</v>
      </c>
      <c r="C1070" s="3" t="s">
        <v>50</v>
      </c>
      <c r="D1070" s="3" t="s">
        <v>11</v>
      </c>
      <c r="E1070" s="3" t="s">
        <v>29</v>
      </c>
      <c r="F1070" s="3">
        <v>61</v>
      </c>
      <c r="G1070" s="4">
        <v>30.1</v>
      </c>
      <c r="H1070" s="4">
        <v>88.8</v>
      </c>
      <c r="I1070" s="6">
        <v>6.375028755431849</v>
      </c>
      <c r="J1070" s="5">
        <v>6.7000000000000004E-2</v>
      </c>
      <c r="K1070" s="4">
        <v>25.5</v>
      </c>
      <c r="L1070" s="4">
        <v>52.1</v>
      </c>
      <c r="M1070" s="6">
        <v>4.0620814451616667</v>
      </c>
      <c r="N1070" s="5">
        <v>6.3E-2</v>
      </c>
      <c r="O1070" s="5">
        <v>2.3129473102701823</v>
      </c>
      <c r="P1070" s="5">
        <v>2.3129473102701823</v>
      </c>
      <c r="Q1070" s="8">
        <v>0.19791666666666666</v>
      </c>
      <c r="R1070" s="8">
        <v>0.88541666666666663</v>
      </c>
      <c r="S1070" s="6">
        <f t="shared" si="48"/>
        <v>16.5</v>
      </c>
      <c r="T1070" s="5">
        <f t="shared" si="49"/>
        <v>0.14017862486485955</v>
      </c>
      <c r="U1070" s="3">
        <v>2.21</v>
      </c>
      <c r="V1070" s="5">
        <f t="shared" si="50"/>
        <v>6.3429242020298426E-2</v>
      </c>
      <c r="W1070" s="3">
        <v>6.3429242020298426E-2</v>
      </c>
    </row>
    <row r="1071" spans="1:23" x14ac:dyDescent="0.55000000000000004">
      <c r="A1071" s="3">
        <v>41</v>
      </c>
      <c r="B1071" s="3" t="s">
        <v>51</v>
      </c>
      <c r="C1071" s="3" t="s">
        <v>50</v>
      </c>
      <c r="D1071" s="3" t="s">
        <v>9</v>
      </c>
      <c r="E1071" s="2" t="s">
        <v>24</v>
      </c>
      <c r="F1071" s="3">
        <v>44</v>
      </c>
      <c r="G1071" s="4">
        <v>25.2</v>
      </c>
      <c r="H1071" s="4">
        <v>110.1</v>
      </c>
      <c r="I1071" s="6">
        <v>8.6320289928973288</v>
      </c>
      <c r="J1071" s="5">
        <v>5.5E-2</v>
      </c>
      <c r="K1071" s="4">
        <v>21.5</v>
      </c>
      <c r="L1071" s="4">
        <v>74.599999999999994</v>
      </c>
      <c r="M1071" s="6">
        <v>6.2761198342334481</v>
      </c>
      <c r="N1071" s="5">
        <v>4.4999999999999998E-2</v>
      </c>
      <c r="O1071" s="5">
        <v>2.3559091586638807</v>
      </c>
      <c r="P1071" s="5">
        <v>2.3559091586638807</v>
      </c>
      <c r="Q1071" s="8">
        <v>0.20277777777777781</v>
      </c>
      <c r="R1071" s="8">
        <v>0.90277777777777779</v>
      </c>
      <c r="S1071" s="6">
        <f t="shared" si="48"/>
        <v>16.799999999999997</v>
      </c>
      <c r="T1071" s="5">
        <f t="shared" si="49"/>
        <v>0.14023268801570721</v>
      </c>
      <c r="U1071" s="3">
        <v>2.21</v>
      </c>
      <c r="V1071" s="5">
        <f t="shared" si="50"/>
        <v>6.3453704984482898E-2</v>
      </c>
      <c r="W1071" s="3">
        <v>6.3453704984482898E-2</v>
      </c>
    </row>
    <row r="1072" spans="1:23" x14ac:dyDescent="0.55000000000000004">
      <c r="A1072" s="3">
        <v>1</v>
      </c>
      <c r="B1072" s="3" t="s">
        <v>51</v>
      </c>
      <c r="C1072" s="3" t="s">
        <v>49</v>
      </c>
      <c r="D1072" s="3" t="s">
        <v>39</v>
      </c>
      <c r="E1072" s="3" t="s">
        <v>29</v>
      </c>
      <c r="F1072" s="3">
        <v>61</v>
      </c>
      <c r="G1072" s="4">
        <v>29.7</v>
      </c>
      <c r="H1072" s="4">
        <v>93.3</v>
      </c>
      <c r="I1072" s="6">
        <v>6.7450178586835969</v>
      </c>
      <c r="J1072" s="5">
        <v>5.1999999999999998E-2</v>
      </c>
      <c r="K1072" s="4">
        <v>25.3</v>
      </c>
      <c r="L1072" s="4">
        <v>56.5</v>
      </c>
      <c r="M1072" s="6">
        <v>4.4214837161886313</v>
      </c>
      <c r="N1072" s="5">
        <v>4.9000000000000002E-2</v>
      </c>
      <c r="O1072" s="5">
        <v>2.3235341424949656</v>
      </c>
      <c r="P1072" s="5">
        <v>2.3235341424949656</v>
      </c>
      <c r="Q1072" s="8">
        <v>0.19791666666666666</v>
      </c>
      <c r="R1072" s="8">
        <v>0.88541666666666663</v>
      </c>
      <c r="S1072" s="6">
        <f t="shared" si="48"/>
        <v>16.5</v>
      </c>
      <c r="T1072" s="5">
        <f t="shared" si="49"/>
        <v>0.14082025106030094</v>
      </c>
      <c r="U1072" s="3">
        <v>2.21</v>
      </c>
      <c r="V1072" s="5">
        <f t="shared" si="50"/>
        <v>6.371957061552079E-2</v>
      </c>
      <c r="W1072" s="3">
        <v>6.371957061552079E-2</v>
      </c>
    </row>
    <row r="1073" spans="1:23" x14ac:dyDescent="0.55000000000000004">
      <c r="A1073" s="3">
        <v>59</v>
      </c>
      <c r="B1073" s="3" t="s">
        <v>52</v>
      </c>
      <c r="C1073" s="3" t="s">
        <v>49</v>
      </c>
      <c r="D1073" s="3" t="s">
        <v>40</v>
      </c>
      <c r="E1073" s="3" t="s">
        <v>28</v>
      </c>
      <c r="F1073" s="3">
        <v>58</v>
      </c>
      <c r="G1073" s="4">
        <v>28.5</v>
      </c>
      <c r="H1073" s="4">
        <v>97.4</v>
      </c>
      <c r="I1073" s="6">
        <v>7.1920201468020615</v>
      </c>
      <c r="J1073" s="5">
        <v>5.8000000000000003E-2</v>
      </c>
      <c r="K1073" s="4">
        <v>24</v>
      </c>
      <c r="L1073" s="4">
        <v>61</v>
      </c>
      <c r="M1073" s="6">
        <v>4.8911882113547707</v>
      </c>
      <c r="N1073" s="5">
        <v>6.0999999999999999E-2</v>
      </c>
      <c r="O1073" s="5">
        <v>2.3008319354472908</v>
      </c>
      <c r="P1073" s="5">
        <v>2.3008319354472908</v>
      </c>
      <c r="Q1073" s="8">
        <v>0.20833333333333334</v>
      </c>
      <c r="R1073" s="8">
        <v>0.88888888888888884</v>
      </c>
      <c r="S1073" s="6">
        <f t="shared" si="48"/>
        <v>16.333333333333332</v>
      </c>
      <c r="T1073" s="5">
        <f t="shared" si="49"/>
        <v>0.14086726135391578</v>
      </c>
      <c r="U1073" s="3">
        <v>2.21</v>
      </c>
      <c r="V1073" s="5">
        <f t="shared" si="50"/>
        <v>6.374084224159085E-2</v>
      </c>
      <c r="W1073" s="3">
        <v>6.374084224159085E-2</v>
      </c>
    </row>
    <row r="1074" spans="1:23" x14ac:dyDescent="0.55000000000000004">
      <c r="A1074" s="3">
        <v>19</v>
      </c>
      <c r="B1074" s="3" t="s">
        <v>53</v>
      </c>
      <c r="C1074" s="3" t="s">
        <v>49</v>
      </c>
      <c r="D1074" s="3" t="s">
        <v>41</v>
      </c>
      <c r="E1074" s="3" t="s">
        <v>34</v>
      </c>
      <c r="F1074" s="3">
        <v>79</v>
      </c>
      <c r="G1074" s="4">
        <v>29</v>
      </c>
      <c r="H1074" s="4">
        <v>92</v>
      </c>
      <c r="I1074" s="6">
        <v>6.7333803534025289</v>
      </c>
      <c r="J1074" s="5">
        <v>5.8000000000000003E-2</v>
      </c>
      <c r="K1074" s="4">
        <v>25.5</v>
      </c>
      <c r="L1074" s="4">
        <v>57</v>
      </c>
      <c r="M1074" s="6">
        <v>4.4441198152440498</v>
      </c>
      <c r="N1074" s="5">
        <v>5.5E-2</v>
      </c>
      <c r="O1074" s="5">
        <v>2.2892605381584792</v>
      </c>
      <c r="P1074" s="5">
        <v>2.2892605381584792</v>
      </c>
      <c r="Q1074" s="8">
        <v>0.20833333333333334</v>
      </c>
      <c r="R1074" s="8">
        <v>0.88541666666666663</v>
      </c>
      <c r="S1074" s="6">
        <f t="shared" si="48"/>
        <v>16.25</v>
      </c>
      <c r="T1074" s="5">
        <f t="shared" si="49"/>
        <v>0.14087757157898334</v>
      </c>
      <c r="U1074" s="3">
        <v>2.21</v>
      </c>
      <c r="V1074" s="5">
        <f t="shared" si="50"/>
        <v>6.3745507501802412E-2</v>
      </c>
      <c r="W1074" s="3">
        <v>6.3745507501802412E-2</v>
      </c>
    </row>
    <row r="1075" spans="1:23" x14ac:dyDescent="0.55000000000000004">
      <c r="A1075" s="3">
        <v>56</v>
      </c>
      <c r="B1075" s="3" t="s">
        <v>53</v>
      </c>
      <c r="C1075" s="3" t="s">
        <v>49</v>
      </c>
      <c r="D1075" s="3" t="s">
        <v>41</v>
      </c>
      <c r="E1075" s="3" t="s">
        <v>28</v>
      </c>
      <c r="F1075" s="3">
        <v>58</v>
      </c>
      <c r="G1075" s="4">
        <v>28.2</v>
      </c>
      <c r="H1075" s="4">
        <v>114.5</v>
      </c>
      <c r="I1075" s="6">
        <v>8.4999701192177888</v>
      </c>
      <c r="J1075" s="5">
        <v>4.5999999999999999E-2</v>
      </c>
      <c r="K1075" s="4">
        <v>24.2</v>
      </c>
      <c r="L1075" s="4">
        <v>77.599999999999994</v>
      </c>
      <c r="M1075" s="6">
        <v>6.1988121655710859</v>
      </c>
      <c r="N1075" s="5">
        <v>5.8000000000000003E-2</v>
      </c>
      <c r="O1075" s="5">
        <v>2.3011579536467028</v>
      </c>
      <c r="P1075" s="5">
        <v>2.3011579536467028</v>
      </c>
      <c r="Q1075" s="8">
        <v>0.20833333333333334</v>
      </c>
      <c r="R1075" s="8">
        <v>0.88888888888888884</v>
      </c>
      <c r="S1075" s="6">
        <f t="shared" si="48"/>
        <v>16.333333333333332</v>
      </c>
      <c r="T1075" s="5">
        <f t="shared" si="49"/>
        <v>0.14088722165183895</v>
      </c>
      <c r="U1075" s="3">
        <v>2.21</v>
      </c>
      <c r="V1075" s="5">
        <f t="shared" si="50"/>
        <v>6.3749874050605865E-2</v>
      </c>
      <c r="W1075" s="3">
        <v>6.3749874050605865E-2</v>
      </c>
    </row>
    <row r="1076" spans="1:23" x14ac:dyDescent="0.55000000000000004">
      <c r="A1076" s="3">
        <v>56</v>
      </c>
      <c r="B1076" s="3" t="s">
        <v>53</v>
      </c>
      <c r="C1076" s="3" t="s">
        <v>49</v>
      </c>
      <c r="D1076" s="3" t="s">
        <v>41</v>
      </c>
      <c r="E1076" s="3" t="s">
        <v>34</v>
      </c>
      <c r="F1076" s="3">
        <v>79</v>
      </c>
      <c r="G1076" s="4">
        <v>28.8</v>
      </c>
      <c r="H1076" s="4">
        <v>92.6</v>
      </c>
      <c r="I1076" s="6">
        <v>6.801300613141386</v>
      </c>
      <c r="J1076" s="5">
        <v>0.06</v>
      </c>
      <c r="K1076" s="4">
        <v>25.4</v>
      </c>
      <c r="L1076" s="4">
        <v>57.7</v>
      </c>
      <c r="M1076" s="6">
        <v>4.5070306036625842</v>
      </c>
      <c r="N1076" s="5">
        <v>5.8000000000000003E-2</v>
      </c>
      <c r="O1076" s="5">
        <v>2.2942700094788018</v>
      </c>
      <c r="P1076" s="5">
        <v>2.2942700094788018</v>
      </c>
      <c r="Q1076" s="8">
        <v>0.20833333333333334</v>
      </c>
      <c r="R1076" s="8">
        <v>0.88541666666666663</v>
      </c>
      <c r="S1076" s="6">
        <f t="shared" si="48"/>
        <v>16.25</v>
      </c>
      <c r="T1076" s="5">
        <f t="shared" si="49"/>
        <v>0.14118584673715703</v>
      </c>
      <c r="U1076" s="3">
        <v>2.21</v>
      </c>
      <c r="V1076" s="5">
        <f t="shared" si="50"/>
        <v>6.3884998523600467E-2</v>
      </c>
      <c r="W1076" s="3">
        <v>6.3884998523600467E-2</v>
      </c>
    </row>
    <row r="1077" spans="1:23" x14ac:dyDescent="0.55000000000000004">
      <c r="A1077" s="3">
        <v>58</v>
      </c>
      <c r="B1077" s="3" t="s">
        <v>53</v>
      </c>
      <c r="C1077" s="3" t="s">
        <v>49</v>
      </c>
      <c r="D1077" s="3" t="s">
        <v>41</v>
      </c>
      <c r="E1077" s="2" t="s">
        <v>23</v>
      </c>
      <c r="F1077" s="3">
        <v>40</v>
      </c>
      <c r="G1077" s="4">
        <v>28.3</v>
      </c>
      <c r="H1077" s="4">
        <v>94.7</v>
      </c>
      <c r="I1077" s="6">
        <v>7.0175830278449318</v>
      </c>
      <c r="J1077" s="5">
        <v>5.2999999999999999E-2</v>
      </c>
      <c r="K1077" s="4">
        <v>24</v>
      </c>
      <c r="L1077" s="4">
        <v>58.7</v>
      </c>
      <c r="M1077" s="6">
        <v>4.7067663607627059</v>
      </c>
      <c r="N1077" s="5">
        <v>5.0999999999999997E-2</v>
      </c>
      <c r="O1077" s="5">
        <v>2.3108166670822259</v>
      </c>
      <c r="P1077" s="5">
        <v>2.3108166670822259</v>
      </c>
      <c r="Q1077" s="8">
        <v>0.20833333333333334</v>
      </c>
      <c r="R1077" s="8">
        <v>0.89027777777777783</v>
      </c>
      <c r="S1077" s="6">
        <f t="shared" si="48"/>
        <v>16.366666666666667</v>
      </c>
      <c r="T1077" s="5">
        <f t="shared" si="49"/>
        <v>0.14119042772396492</v>
      </c>
      <c r="U1077" s="3">
        <v>2.21</v>
      </c>
      <c r="V1077" s="5">
        <f t="shared" si="50"/>
        <v>6.3887071368309914E-2</v>
      </c>
      <c r="W1077" s="3">
        <v>6.3887071368309914E-2</v>
      </c>
    </row>
    <row r="1078" spans="1:23" x14ac:dyDescent="0.55000000000000004">
      <c r="A1078" s="3">
        <v>4</v>
      </c>
      <c r="B1078" s="3" t="s">
        <v>48</v>
      </c>
      <c r="C1078" s="3" t="s">
        <v>49</v>
      </c>
      <c r="D1078" s="3" t="s">
        <v>38</v>
      </c>
      <c r="E1078" s="2" t="s">
        <v>23</v>
      </c>
      <c r="F1078" s="3">
        <v>40</v>
      </c>
      <c r="G1078" s="4">
        <v>27.9</v>
      </c>
      <c r="H1078" s="4">
        <v>101.6</v>
      </c>
      <c r="I1078" s="6">
        <v>7.582888897884227</v>
      </c>
      <c r="J1078" s="5">
        <v>5.5E-2</v>
      </c>
      <c r="K1078" s="4">
        <v>23.4</v>
      </c>
      <c r="L1078" s="4">
        <v>65</v>
      </c>
      <c r="M1078" s="6">
        <v>5.2715561529400938</v>
      </c>
      <c r="N1078" s="5">
        <v>5.2999999999999999E-2</v>
      </c>
      <c r="O1078" s="5">
        <v>2.3113327449441332</v>
      </c>
      <c r="P1078" s="5">
        <v>2.3113327449441332</v>
      </c>
      <c r="Q1078" s="8">
        <v>0.20833333333333334</v>
      </c>
      <c r="R1078" s="8">
        <v>0.89027777777777783</v>
      </c>
      <c r="S1078" s="6">
        <f t="shared" si="48"/>
        <v>16.366666666666667</v>
      </c>
      <c r="T1078" s="5">
        <f t="shared" si="49"/>
        <v>0.14122195997621995</v>
      </c>
      <c r="U1078" s="3">
        <v>2.21</v>
      </c>
      <c r="V1078" s="5">
        <f t="shared" si="50"/>
        <v>6.3901339355755635E-2</v>
      </c>
      <c r="W1078" s="3">
        <v>6.3901339355755635E-2</v>
      </c>
    </row>
    <row r="1079" spans="1:23" x14ac:dyDescent="0.55000000000000004">
      <c r="A1079" s="3">
        <v>58</v>
      </c>
      <c r="B1079" s="3" t="s">
        <v>53</v>
      </c>
      <c r="C1079" s="3" t="s">
        <v>49</v>
      </c>
      <c r="D1079" s="3" t="s">
        <v>41</v>
      </c>
      <c r="E1079" s="2" t="s">
        <v>19</v>
      </c>
      <c r="F1079" s="3">
        <v>26</v>
      </c>
      <c r="G1079" s="4">
        <v>22.8</v>
      </c>
      <c r="H1079" s="4">
        <v>100.6</v>
      </c>
      <c r="I1079" s="6">
        <v>8.2528960206207209</v>
      </c>
      <c r="J1079" s="5">
        <v>4.1000000000000002E-2</v>
      </c>
      <c r="K1079" s="4">
        <v>22.3</v>
      </c>
      <c r="L1079" s="4">
        <v>71.900000000000006</v>
      </c>
      <c r="M1079" s="6">
        <v>5.9555562236061022</v>
      </c>
      <c r="N1079" s="5">
        <v>3.7999999999999999E-2</v>
      </c>
      <c r="O1079" s="5">
        <v>2.2973397970146188</v>
      </c>
      <c r="P1079" s="5">
        <v>2.2973397970146188</v>
      </c>
      <c r="Q1079" s="8">
        <v>0.20833333333333334</v>
      </c>
      <c r="R1079" s="8">
        <v>0.88541666666666663</v>
      </c>
      <c r="S1079" s="6">
        <f t="shared" si="48"/>
        <v>16.25</v>
      </c>
      <c r="T1079" s="5">
        <f t="shared" si="49"/>
        <v>0.14137475673936115</v>
      </c>
      <c r="U1079" s="3">
        <v>2.21</v>
      </c>
      <c r="V1079" s="5">
        <f t="shared" si="50"/>
        <v>6.3970478162606856E-2</v>
      </c>
      <c r="W1079" s="3">
        <v>6.3970478162606856E-2</v>
      </c>
    </row>
    <row r="1080" spans="1:23" x14ac:dyDescent="0.55000000000000004">
      <c r="A1080" s="3">
        <v>38</v>
      </c>
      <c r="B1080" s="3" t="s">
        <v>51</v>
      </c>
      <c r="C1080" s="3" t="s">
        <v>49</v>
      </c>
      <c r="D1080" s="3" t="s">
        <v>39</v>
      </c>
      <c r="E1080" s="3" t="s">
        <v>33</v>
      </c>
      <c r="F1080" s="3">
        <v>75</v>
      </c>
      <c r="G1080" s="4">
        <v>28.1</v>
      </c>
      <c r="H1080" s="4">
        <v>91.6</v>
      </c>
      <c r="I1080" s="6">
        <v>6.812126884152633</v>
      </c>
      <c r="J1080" s="5">
        <v>4.5999999999999999E-2</v>
      </c>
      <c r="K1080" s="4">
        <v>24.3</v>
      </c>
      <c r="L1080" s="4">
        <v>56.6</v>
      </c>
      <c r="M1080" s="6">
        <v>4.5127991324693308</v>
      </c>
      <c r="N1080" s="5">
        <v>3.6999999999999998E-2</v>
      </c>
      <c r="O1080" s="5">
        <v>2.2993277516833022</v>
      </c>
      <c r="P1080" s="5">
        <v>2.2993277516833022</v>
      </c>
      <c r="Q1080" s="8">
        <v>0.20833333333333334</v>
      </c>
      <c r="R1080" s="8">
        <v>0.88541666666666663</v>
      </c>
      <c r="S1080" s="6">
        <f t="shared" si="48"/>
        <v>16.25</v>
      </c>
      <c r="T1080" s="5">
        <f t="shared" si="49"/>
        <v>0.14149709241128014</v>
      </c>
      <c r="U1080" s="3">
        <v>2.21</v>
      </c>
      <c r="V1080" s="5">
        <f t="shared" si="50"/>
        <v>6.4025833670262502E-2</v>
      </c>
      <c r="W1080" s="3">
        <v>6.4025833670262502E-2</v>
      </c>
    </row>
    <row r="1081" spans="1:23" x14ac:dyDescent="0.55000000000000004">
      <c r="A1081" s="3">
        <v>6</v>
      </c>
      <c r="B1081" s="3" t="s">
        <v>51</v>
      </c>
      <c r="C1081" s="3" t="s">
        <v>49</v>
      </c>
      <c r="D1081" s="3" t="s">
        <v>39</v>
      </c>
      <c r="E1081" s="3" t="s">
        <v>34</v>
      </c>
      <c r="F1081" s="3">
        <v>79</v>
      </c>
      <c r="G1081" s="4">
        <v>28.5</v>
      </c>
      <c r="H1081" s="4">
        <v>77.5</v>
      </c>
      <c r="I1081" s="6">
        <v>5.7226032995601619</v>
      </c>
      <c r="J1081" s="5">
        <v>0.05</v>
      </c>
      <c r="K1081" s="4">
        <v>25.2</v>
      </c>
      <c r="L1081" s="4">
        <v>43.6</v>
      </c>
      <c r="M1081" s="6">
        <v>3.4183148418739653</v>
      </c>
      <c r="N1081" s="5">
        <v>4.3999999999999997E-2</v>
      </c>
      <c r="O1081" s="5">
        <v>2.3042884576861966</v>
      </c>
      <c r="P1081" s="5">
        <v>2.3042884576861966</v>
      </c>
      <c r="Q1081" s="8">
        <v>0.20833333333333334</v>
      </c>
      <c r="R1081" s="8">
        <v>0.88541666666666663</v>
      </c>
      <c r="S1081" s="6">
        <f t="shared" si="48"/>
        <v>16.25</v>
      </c>
      <c r="T1081" s="5">
        <f t="shared" si="49"/>
        <v>0.14180236662684287</v>
      </c>
      <c r="U1081" s="3">
        <v>2.21</v>
      </c>
      <c r="V1081" s="5">
        <f t="shared" si="50"/>
        <v>6.4163966799476405E-2</v>
      </c>
      <c r="W1081" s="3">
        <v>6.4163966799476405E-2</v>
      </c>
    </row>
    <row r="1082" spans="1:23" x14ac:dyDescent="0.55000000000000004">
      <c r="A1082" s="3">
        <v>39</v>
      </c>
      <c r="B1082" s="3" t="s">
        <v>51</v>
      </c>
      <c r="C1082" s="3" t="s">
        <v>50</v>
      </c>
      <c r="D1082" s="3" t="s">
        <v>9</v>
      </c>
      <c r="E1082" s="2" t="s">
        <v>14</v>
      </c>
      <c r="F1082" s="3">
        <v>10</v>
      </c>
      <c r="G1082" s="4">
        <v>22.1</v>
      </c>
      <c r="H1082" s="4">
        <v>103.9</v>
      </c>
      <c r="I1082" s="6">
        <v>8.6395558829860537</v>
      </c>
      <c r="J1082" s="5">
        <v>3.5000000000000003E-2</v>
      </c>
      <c r="K1082" s="4">
        <v>19.899999999999999</v>
      </c>
      <c r="L1082" s="4">
        <v>73.5</v>
      </c>
      <c r="M1082" s="6">
        <v>6.3825896653248959</v>
      </c>
      <c r="N1082" s="5">
        <v>3.1E-2</v>
      </c>
      <c r="O1082" s="5">
        <v>2.2569662176611578</v>
      </c>
      <c r="P1082" s="5">
        <v>2.2569662176611578</v>
      </c>
      <c r="Q1082" s="8">
        <v>0.20555555555555557</v>
      </c>
      <c r="R1082" s="8">
        <v>0.86805555555555547</v>
      </c>
      <c r="S1082" s="6">
        <f t="shared" si="48"/>
        <v>15.899999999999997</v>
      </c>
      <c r="T1082" s="5">
        <f t="shared" si="49"/>
        <v>0.14194756085919233</v>
      </c>
      <c r="U1082" s="3">
        <v>2.21</v>
      </c>
      <c r="V1082" s="5">
        <f t="shared" si="50"/>
        <v>6.4229665547145862E-2</v>
      </c>
      <c r="W1082" s="3">
        <v>6.4229665547145862E-2</v>
      </c>
    </row>
    <row r="1083" spans="1:23" x14ac:dyDescent="0.55000000000000004">
      <c r="A1083" s="3">
        <v>40</v>
      </c>
      <c r="B1083" s="3" t="s">
        <v>48</v>
      </c>
      <c r="C1083" s="3" t="s">
        <v>50</v>
      </c>
      <c r="D1083" s="3" t="s">
        <v>10</v>
      </c>
      <c r="E1083" s="2" t="s">
        <v>19</v>
      </c>
      <c r="F1083" s="3">
        <v>26</v>
      </c>
      <c r="G1083" s="4">
        <v>26.4</v>
      </c>
      <c r="H1083" s="4">
        <v>90.3</v>
      </c>
      <c r="I1083" s="6">
        <v>6.9248984480450915</v>
      </c>
      <c r="J1083" s="5">
        <v>4.5999999999999999E-2</v>
      </c>
      <c r="K1083" s="4">
        <v>23</v>
      </c>
      <c r="L1083" s="4">
        <v>56.5</v>
      </c>
      <c r="M1083" s="6">
        <v>4.6173325967382191</v>
      </c>
      <c r="N1083" s="5">
        <v>4.2999999999999997E-2</v>
      </c>
      <c r="O1083" s="5">
        <v>2.3075658513068724</v>
      </c>
      <c r="P1083" s="5">
        <v>2.3075658513068724</v>
      </c>
      <c r="Q1083" s="8">
        <v>0.20833333333333334</v>
      </c>
      <c r="R1083" s="8">
        <v>0.88541666666666663</v>
      </c>
      <c r="S1083" s="6">
        <f t="shared" si="48"/>
        <v>16.25</v>
      </c>
      <c r="T1083" s="5">
        <f t="shared" si="49"/>
        <v>0.14200405238811523</v>
      </c>
      <c r="U1083" s="3">
        <v>2.21</v>
      </c>
      <c r="V1083" s="5">
        <f t="shared" si="50"/>
        <v>6.4255227324939018E-2</v>
      </c>
      <c r="W1083" s="3">
        <v>6.4255227324939018E-2</v>
      </c>
    </row>
    <row r="1084" spans="1:23" x14ac:dyDescent="0.55000000000000004">
      <c r="A1084" s="3">
        <v>56</v>
      </c>
      <c r="B1084" s="3" t="s">
        <v>53</v>
      </c>
      <c r="C1084" s="3" t="s">
        <v>49</v>
      </c>
      <c r="D1084" s="3" t="s">
        <v>41</v>
      </c>
      <c r="E1084" s="3" t="s">
        <v>30</v>
      </c>
      <c r="F1084" s="3">
        <v>65</v>
      </c>
      <c r="G1084" s="4">
        <v>27.8</v>
      </c>
      <c r="H1084" s="4">
        <v>122.7</v>
      </c>
      <c r="I1084" s="6">
        <v>9.1741099536536179</v>
      </c>
      <c r="J1084" s="5">
        <v>5.8999999999999997E-2</v>
      </c>
      <c r="K1084" s="4">
        <v>23.5</v>
      </c>
      <c r="L1084" s="4">
        <v>84.8</v>
      </c>
      <c r="M1084" s="6">
        <v>6.8642793356089546</v>
      </c>
      <c r="N1084" s="5">
        <v>5.2999999999999999E-2</v>
      </c>
      <c r="O1084" s="5">
        <v>2.3098306180446633</v>
      </c>
      <c r="P1084" s="5">
        <v>2.3098306180446633</v>
      </c>
      <c r="Q1084" s="8">
        <v>0.20833333333333334</v>
      </c>
      <c r="R1084" s="8">
        <v>0.88541666666666663</v>
      </c>
      <c r="S1084" s="6">
        <f t="shared" si="48"/>
        <v>16.25</v>
      </c>
      <c r="T1084" s="5">
        <f t="shared" si="49"/>
        <v>0.14214342264890237</v>
      </c>
      <c r="U1084" s="3">
        <v>2.21</v>
      </c>
      <c r="V1084" s="5">
        <f t="shared" si="50"/>
        <v>6.4318290791358534E-2</v>
      </c>
      <c r="W1084" s="3">
        <v>6.4318290791358534E-2</v>
      </c>
    </row>
    <row r="1085" spans="1:23" x14ac:dyDescent="0.55000000000000004">
      <c r="A1085" s="3">
        <v>55</v>
      </c>
      <c r="B1085" s="3" t="s">
        <v>52</v>
      </c>
      <c r="C1085" s="3" t="s">
        <v>49</v>
      </c>
      <c r="D1085" s="3" t="s">
        <v>40</v>
      </c>
      <c r="E1085" s="3" t="s">
        <v>30</v>
      </c>
      <c r="F1085" s="3">
        <v>65</v>
      </c>
      <c r="G1085" s="4">
        <v>27.6</v>
      </c>
      <c r="H1085" s="4">
        <v>115.9</v>
      </c>
      <c r="I1085" s="6">
        <v>8.6968638698177241</v>
      </c>
      <c r="J1085" s="5">
        <v>6.0999999999999999E-2</v>
      </c>
      <c r="K1085" s="4">
        <v>23.3</v>
      </c>
      <c r="L1085" s="4">
        <v>78.599999999999994</v>
      </c>
      <c r="M1085" s="6">
        <v>6.3866861728883544</v>
      </c>
      <c r="N1085" s="5">
        <v>5.8000000000000003E-2</v>
      </c>
      <c r="O1085" s="5">
        <v>2.3101776969293697</v>
      </c>
      <c r="P1085" s="5">
        <v>2.3101776969293697</v>
      </c>
      <c r="Q1085" s="8">
        <v>0.20833333333333334</v>
      </c>
      <c r="R1085" s="8">
        <v>0.88541666666666663</v>
      </c>
      <c r="S1085" s="6">
        <f t="shared" si="48"/>
        <v>16.25</v>
      </c>
      <c r="T1085" s="5">
        <f t="shared" si="49"/>
        <v>0.14216478134949967</v>
      </c>
      <c r="U1085" s="3">
        <v>2.21</v>
      </c>
      <c r="V1085" s="5">
        <f t="shared" si="50"/>
        <v>6.4327955361764555E-2</v>
      </c>
      <c r="W1085" s="3">
        <v>6.4327955361764555E-2</v>
      </c>
    </row>
    <row r="1086" spans="1:23" x14ac:dyDescent="0.55000000000000004">
      <c r="A1086" s="3">
        <v>36</v>
      </c>
      <c r="B1086" s="3" t="s">
        <v>52</v>
      </c>
      <c r="C1086" s="3" t="s">
        <v>50</v>
      </c>
      <c r="D1086" s="3" t="s">
        <v>12</v>
      </c>
      <c r="E1086" s="3" t="s">
        <v>35</v>
      </c>
      <c r="F1086" s="3">
        <v>82</v>
      </c>
      <c r="G1086" s="4">
        <v>31.8</v>
      </c>
      <c r="H1086" s="4">
        <v>71.5</v>
      </c>
      <c r="I1086" s="6">
        <v>4.9849032622154228</v>
      </c>
      <c r="J1086" s="5">
        <v>7.5999999999999998E-2</v>
      </c>
      <c r="K1086" s="4">
        <v>27.7</v>
      </c>
      <c r="L1086" s="4">
        <v>35.700000000000003</v>
      </c>
      <c r="M1086" s="6">
        <v>2.6740345262418543</v>
      </c>
      <c r="N1086" s="5">
        <v>7.3999999999999996E-2</v>
      </c>
      <c r="O1086" s="5">
        <v>2.3108687359735685</v>
      </c>
      <c r="P1086" s="5">
        <v>2.3108687359735685</v>
      </c>
      <c r="Q1086" s="8">
        <v>0.20833333333333334</v>
      </c>
      <c r="R1086" s="8">
        <v>0.88541666666666663</v>
      </c>
      <c r="S1086" s="6">
        <f t="shared" si="48"/>
        <v>16.25</v>
      </c>
      <c r="T1086" s="5">
        <f t="shared" si="49"/>
        <v>0.14220730682914268</v>
      </c>
      <c r="U1086" s="3">
        <v>2.21</v>
      </c>
      <c r="V1086" s="5">
        <f t="shared" si="50"/>
        <v>6.4347197660245561E-2</v>
      </c>
      <c r="W1086" s="3">
        <v>6.4347197660245561E-2</v>
      </c>
    </row>
    <row r="1087" spans="1:23" x14ac:dyDescent="0.55000000000000004">
      <c r="A1087" s="3">
        <v>14</v>
      </c>
      <c r="B1087" s="3" t="s">
        <v>48</v>
      </c>
      <c r="C1087" s="3" t="s">
        <v>50</v>
      </c>
      <c r="D1087" s="3" t="s">
        <v>10</v>
      </c>
      <c r="E1087" s="2" t="s">
        <v>23</v>
      </c>
      <c r="F1087" s="3">
        <v>40</v>
      </c>
      <c r="G1087" s="4">
        <v>28.8</v>
      </c>
      <c r="H1087" s="4">
        <v>107.6</v>
      </c>
      <c r="I1087" s="6">
        <v>7.9030231746653694</v>
      </c>
      <c r="J1087" s="5">
        <v>5.2999999999999999E-2</v>
      </c>
      <c r="K1087" s="4">
        <v>24.1</v>
      </c>
      <c r="L1087" s="4">
        <v>69.599999999999994</v>
      </c>
      <c r="M1087" s="6">
        <v>5.570245243277868</v>
      </c>
      <c r="N1087" s="5">
        <v>4.9000000000000002E-2</v>
      </c>
      <c r="O1087" s="5">
        <v>2.3327779313875014</v>
      </c>
      <c r="P1087" s="5">
        <v>2.3327779313875014</v>
      </c>
      <c r="Q1087" s="8">
        <v>0.20833333333333334</v>
      </c>
      <c r="R1087" s="8">
        <v>0.89027777777777783</v>
      </c>
      <c r="S1087" s="6">
        <f t="shared" si="48"/>
        <v>16.366666666666667</v>
      </c>
      <c r="T1087" s="5">
        <f t="shared" si="49"/>
        <v>0.14253225650025467</v>
      </c>
      <c r="U1087" s="3">
        <v>2.21</v>
      </c>
      <c r="V1087" s="5">
        <f t="shared" si="50"/>
        <v>6.4494233710522472E-2</v>
      </c>
      <c r="W1087" s="3">
        <v>6.4494233710522472E-2</v>
      </c>
    </row>
    <row r="1088" spans="1:23" x14ac:dyDescent="0.55000000000000004">
      <c r="A1088" s="3">
        <v>49</v>
      </c>
      <c r="B1088" s="3" t="s">
        <v>51</v>
      </c>
      <c r="C1088" s="3" t="s">
        <v>49</v>
      </c>
      <c r="D1088" s="3" t="s">
        <v>39</v>
      </c>
      <c r="E1088" s="2" t="s">
        <v>22</v>
      </c>
      <c r="F1088" s="3">
        <v>37</v>
      </c>
      <c r="G1088" s="4">
        <v>30</v>
      </c>
      <c r="H1088" s="4">
        <v>99</v>
      </c>
      <c r="I1088" s="6">
        <v>7.1196886861924495</v>
      </c>
      <c r="J1088" s="5">
        <v>5.1999999999999998E-2</v>
      </c>
      <c r="K1088" s="4">
        <v>25.1</v>
      </c>
      <c r="L1088" s="4">
        <v>60.8</v>
      </c>
      <c r="M1088" s="6">
        <v>4.7756912790006423</v>
      </c>
      <c r="N1088" s="5">
        <v>5.0999999999999997E-2</v>
      </c>
      <c r="O1088" s="5">
        <v>2.3439974071918073</v>
      </c>
      <c r="P1088" s="5">
        <v>2.3439974071918073</v>
      </c>
      <c r="Q1088" s="8">
        <v>0.20138888888888887</v>
      </c>
      <c r="R1088" s="8">
        <v>0.88541666666666663</v>
      </c>
      <c r="S1088" s="6">
        <f t="shared" si="48"/>
        <v>16.416666666666668</v>
      </c>
      <c r="T1088" s="5">
        <f t="shared" si="49"/>
        <v>0.14278156795076999</v>
      </c>
      <c r="U1088" s="3">
        <v>2.21</v>
      </c>
      <c r="V1088" s="5">
        <f t="shared" si="50"/>
        <v>6.4607044321615376E-2</v>
      </c>
      <c r="W1088" s="3">
        <v>6.4607044321615376E-2</v>
      </c>
    </row>
    <row r="1089" spans="1:23" x14ac:dyDescent="0.55000000000000004">
      <c r="A1089" s="3">
        <v>49</v>
      </c>
      <c r="B1089" s="3" t="s">
        <v>51</v>
      </c>
      <c r="C1089" s="3" t="s">
        <v>49</v>
      </c>
      <c r="D1089" s="3" t="s">
        <v>39</v>
      </c>
      <c r="E1089" s="3" t="s">
        <v>30</v>
      </c>
      <c r="F1089" s="3">
        <v>65</v>
      </c>
      <c r="G1089" s="4">
        <v>27.9</v>
      </c>
      <c r="H1089" s="4">
        <v>112.1</v>
      </c>
      <c r="I1089" s="6">
        <v>8.3665535969765941</v>
      </c>
      <c r="J1089" s="5">
        <v>5.3999999999999999E-2</v>
      </c>
      <c r="K1089" s="4">
        <v>23.3</v>
      </c>
      <c r="L1089" s="4">
        <v>74.400000000000006</v>
      </c>
      <c r="M1089" s="6">
        <v>6.0454128659401229</v>
      </c>
      <c r="N1089" s="5">
        <v>4.9000000000000002E-2</v>
      </c>
      <c r="O1089" s="5">
        <v>2.3211407310364711</v>
      </c>
      <c r="P1089" s="5">
        <v>2.3211407310364711</v>
      </c>
      <c r="Q1089" s="8">
        <v>0.20833333333333334</v>
      </c>
      <c r="R1089" s="8">
        <v>0.88541666666666663</v>
      </c>
      <c r="S1089" s="6">
        <f t="shared" si="48"/>
        <v>16.25</v>
      </c>
      <c r="T1089" s="5">
        <f t="shared" si="49"/>
        <v>0.14283942960224438</v>
      </c>
      <c r="U1089" s="3">
        <v>2.21</v>
      </c>
      <c r="V1089" s="5">
        <f t="shared" si="50"/>
        <v>6.4633226064363961E-2</v>
      </c>
      <c r="W1089" s="3">
        <v>6.4633226064363961E-2</v>
      </c>
    </row>
    <row r="1090" spans="1:23" x14ac:dyDescent="0.55000000000000004">
      <c r="A1090" s="3">
        <v>32</v>
      </c>
      <c r="B1090" s="3" t="s">
        <v>53</v>
      </c>
      <c r="C1090" s="3" t="s">
        <v>50</v>
      </c>
      <c r="D1090" s="3" t="s">
        <v>11</v>
      </c>
      <c r="E1090" s="3" t="s">
        <v>31</v>
      </c>
      <c r="F1090" s="3">
        <v>68</v>
      </c>
      <c r="G1090" s="4">
        <v>25.7</v>
      </c>
      <c r="H1090" s="4">
        <v>79.2</v>
      </c>
      <c r="I1090" s="6">
        <v>6.1522189748595686</v>
      </c>
      <c r="J1090" s="5">
        <v>0.06</v>
      </c>
      <c r="K1090" s="4">
        <v>24.1</v>
      </c>
      <c r="L1090" s="4">
        <v>47.8</v>
      </c>
      <c r="M1090" s="6">
        <v>3.8255419917914093</v>
      </c>
      <c r="N1090" s="5">
        <v>0.06</v>
      </c>
      <c r="O1090" s="5">
        <v>2.3266769830681593</v>
      </c>
      <c r="P1090" s="5">
        <v>2.3266769830681593</v>
      </c>
      <c r="Q1090" s="8">
        <v>0.20833333333333334</v>
      </c>
      <c r="R1090" s="8">
        <v>0.88541666666666663</v>
      </c>
      <c r="S1090" s="6">
        <f t="shared" ref="S1090:S1153" si="51">(R1090-Q1090)*24</f>
        <v>16.25</v>
      </c>
      <c r="T1090" s="5">
        <f t="shared" ref="T1090:T1153" si="52">P1090/S1090</f>
        <v>0.14318012203496364</v>
      </c>
      <c r="U1090" s="3">
        <v>2.21</v>
      </c>
      <c r="V1090" s="5">
        <f t="shared" ref="V1090:V1153" si="53">(I1090-M1090)/U1090/S1090</f>
        <v>6.4787385536182657E-2</v>
      </c>
      <c r="W1090" s="3">
        <v>6.4787385536182657E-2</v>
      </c>
    </row>
    <row r="1091" spans="1:23" x14ac:dyDescent="0.55000000000000004">
      <c r="A1091" s="3">
        <v>21</v>
      </c>
      <c r="B1091" s="3" t="s">
        <v>48</v>
      </c>
      <c r="C1091" s="3" t="s">
        <v>49</v>
      </c>
      <c r="D1091" s="3" t="s">
        <v>38</v>
      </c>
      <c r="E1091" s="2" t="s">
        <v>23</v>
      </c>
      <c r="F1091" s="3">
        <v>40</v>
      </c>
      <c r="G1091" s="4">
        <v>28</v>
      </c>
      <c r="H1091" s="4">
        <v>95</v>
      </c>
      <c r="I1091" s="6">
        <v>7.0776195975182956</v>
      </c>
      <c r="J1091" s="5">
        <v>6.3E-2</v>
      </c>
      <c r="K1091" s="4">
        <v>23.7</v>
      </c>
      <c r="L1091" s="4">
        <v>58.7</v>
      </c>
      <c r="M1091" s="6">
        <v>4.7335602838222579</v>
      </c>
      <c r="N1091" s="5">
        <v>6.2E-2</v>
      </c>
      <c r="O1091" s="5">
        <v>2.3440593136960377</v>
      </c>
      <c r="P1091" s="5">
        <v>2.3440593136960377</v>
      </c>
      <c r="Q1091" s="8">
        <v>0.20833333333333334</v>
      </c>
      <c r="R1091" s="8">
        <v>0.89027777777777783</v>
      </c>
      <c r="S1091" s="6">
        <f t="shared" si="51"/>
        <v>16.366666666666667</v>
      </c>
      <c r="T1091" s="5">
        <f t="shared" si="52"/>
        <v>0.14322154666167236</v>
      </c>
      <c r="U1091" s="3">
        <v>2.21</v>
      </c>
      <c r="V1091" s="5">
        <f t="shared" si="53"/>
        <v>6.4806129711163965E-2</v>
      </c>
      <c r="W1091" s="3">
        <v>6.4806129711163965E-2</v>
      </c>
    </row>
    <row r="1092" spans="1:23" x14ac:dyDescent="0.55000000000000004">
      <c r="A1092" s="3">
        <v>3</v>
      </c>
      <c r="B1092" s="3" t="s">
        <v>51</v>
      </c>
      <c r="C1092" s="3" t="s">
        <v>50</v>
      </c>
      <c r="D1092" s="3" t="s">
        <v>9</v>
      </c>
      <c r="E1092" s="2" t="s">
        <v>25</v>
      </c>
      <c r="F1092" s="3">
        <v>47</v>
      </c>
      <c r="G1092" s="4">
        <v>28.2</v>
      </c>
      <c r="H1092" s="4">
        <v>76.900000000000006</v>
      </c>
      <c r="I1092" s="6">
        <v>5.708713556051074</v>
      </c>
      <c r="J1092" s="5">
        <v>5.1999999999999998E-2</v>
      </c>
      <c r="K1092" s="4">
        <v>24.9</v>
      </c>
      <c r="L1092" s="4">
        <v>42.3</v>
      </c>
      <c r="M1092" s="6">
        <v>3.3349593630056198</v>
      </c>
      <c r="N1092" s="5">
        <v>5.1999999999999998E-2</v>
      </c>
      <c r="O1092" s="5">
        <v>2.3737541930454542</v>
      </c>
      <c r="P1092" s="5">
        <v>2.3737541930454542</v>
      </c>
      <c r="Q1092" s="8">
        <v>0.20833333333333334</v>
      </c>
      <c r="R1092" s="8">
        <v>0.89583333333333337</v>
      </c>
      <c r="S1092" s="6">
        <f t="shared" si="51"/>
        <v>16.5</v>
      </c>
      <c r="T1092" s="5">
        <f t="shared" si="52"/>
        <v>0.14386389048760329</v>
      </c>
      <c r="U1092" s="3">
        <v>2.21</v>
      </c>
      <c r="V1092" s="5">
        <f t="shared" si="53"/>
        <v>6.5096783026064836E-2</v>
      </c>
      <c r="W1092" s="3">
        <v>6.5096783026064836E-2</v>
      </c>
    </row>
    <row r="1093" spans="1:23" x14ac:dyDescent="0.55000000000000004">
      <c r="A1093" s="3">
        <v>45</v>
      </c>
      <c r="B1093" s="3" t="s">
        <v>48</v>
      </c>
      <c r="C1093" s="3" t="s">
        <v>50</v>
      </c>
      <c r="D1093" s="3" t="s">
        <v>10</v>
      </c>
      <c r="E1093" s="2" t="s">
        <v>23</v>
      </c>
      <c r="F1093" s="3">
        <v>40</v>
      </c>
      <c r="G1093" s="4">
        <v>28.7</v>
      </c>
      <c r="H1093" s="4">
        <v>92.5</v>
      </c>
      <c r="I1093" s="6">
        <v>6.8060014555126953</v>
      </c>
      <c r="J1093" s="5">
        <v>5.3999999999999999E-2</v>
      </c>
      <c r="K1093" s="4">
        <v>24.1</v>
      </c>
      <c r="L1093" s="4">
        <v>55.6</v>
      </c>
      <c r="M1093" s="6">
        <v>4.4497936138828953</v>
      </c>
      <c r="N1093" s="5">
        <v>5.1999999999999998E-2</v>
      </c>
      <c r="O1093" s="5">
        <v>2.3562078416298</v>
      </c>
      <c r="P1093" s="5">
        <v>2.3562078416298</v>
      </c>
      <c r="Q1093" s="8">
        <v>0.20833333333333334</v>
      </c>
      <c r="R1093" s="8">
        <v>0.89027777777777783</v>
      </c>
      <c r="S1093" s="6">
        <f t="shared" si="51"/>
        <v>16.366666666666667</v>
      </c>
      <c r="T1093" s="5">
        <f t="shared" si="52"/>
        <v>0.14396381924418331</v>
      </c>
      <c r="U1093" s="3">
        <v>2.21</v>
      </c>
      <c r="V1093" s="5">
        <f t="shared" si="53"/>
        <v>6.5141999658001493E-2</v>
      </c>
      <c r="W1093" s="3">
        <v>6.5141999658001493E-2</v>
      </c>
    </row>
    <row r="1094" spans="1:23" x14ac:dyDescent="0.55000000000000004">
      <c r="A1094" s="3">
        <v>29</v>
      </c>
      <c r="B1094" s="3" t="s">
        <v>52</v>
      </c>
      <c r="C1094" s="3" t="s">
        <v>50</v>
      </c>
      <c r="D1094" s="3" t="s">
        <v>12</v>
      </c>
      <c r="E1094" s="3" t="s">
        <v>27</v>
      </c>
      <c r="F1094" s="3">
        <v>54</v>
      </c>
      <c r="G1094" s="4">
        <v>28</v>
      </c>
      <c r="H1094" s="4">
        <v>87.8</v>
      </c>
      <c r="I1094" s="6">
        <v>6.5412105332853301</v>
      </c>
      <c r="J1094" s="5">
        <v>4.7E-2</v>
      </c>
      <c r="K1094" s="4">
        <v>24.9</v>
      </c>
      <c r="L1094" s="4">
        <v>52.8</v>
      </c>
      <c r="M1094" s="6">
        <v>4.1627861552410579</v>
      </c>
      <c r="N1094" s="5">
        <v>4.7E-2</v>
      </c>
      <c r="O1094" s="5">
        <v>2.3784243780442722</v>
      </c>
      <c r="P1094" s="5">
        <v>2.3784243780442722</v>
      </c>
      <c r="Q1094" s="8">
        <v>0.20833333333333334</v>
      </c>
      <c r="R1094" s="8">
        <v>0.89583333333333337</v>
      </c>
      <c r="S1094" s="6">
        <f t="shared" si="51"/>
        <v>16.5</v>
      </c>
      <c r="T1094" s="5">
        <f t="shared" si="52"/>
        <v>0.14414693200268316</v>
      </c>
      <c r="U1094" s="3">
        <v>2.21</v>
      </c>
      <c r="V1094" s="5">
        <f t="shared" si="53"/>
        <v>6.5224856109811394E-2</v>
      </c>
      <c r="W1094" s="3">
        <v>6.5224856109811394E-2</v>
      </c>
    </row>
    <row r="1095" spans="1:23" x14ac:dyDescent="0.55000000000000004">
      <c r="A1095" s="3">
        <v>3</v>
      </c>
      <c r="B1095" s="3" t="s">
        <v>51</v>
      </c>
      <c r="C1095" s="3" t="s">
        <v>50</v>
      </c>
      <c r="D1095" s="3" t="s">
        <v>9</v>
      </c>
      <c r="E1095" s="3" t="s">
        <v>27</v>
      </c>
      <c r="F1095" s="3">
        <v>54</v>
      </c>
      <c r="G1095" s="4">
        <v>27.6</v>
      </c>
      <c r="H1095" s="4">
        <v>81.900000000000006</v>
      </c>
      <c r="I1095" s="6">
        <v>6.1455837009324554</v>
      </c>
      <c r="J1095" s="5">
        <v>4.9000000000000002E-2</v>
      </c>
      <c r="K1095" s="4">
        <v>24.4</v>
      </c>
      <c r="L1095" s="4">
        <v>47.3</v>
      </c>
      <c r="M1095" s="6">
        <v>3.7642171059152982</v>
      </c>
      <c r="N1095" s="5">
        <v>4.8000000000000001E-2</v>
      </c>
      <c r="O1095" s="5">
        <v>2.3813665950171572</v>
      </c>
      <c r="P1095" s="5">
        <v>2.3813665950171572</v>
      </c>
      <c r="Q1095" s="8">
        <v>0.20833333333333334</v>
      </c>
      <c r="R1095" s="8">
        <v>0.89583333333333337</v>
      </c>
      <c r="S1095" s="6">
        <f t="shared" si="51"/>
        <v>16.5</v>
      </c>
      <c r="T1095" s="5">
        <f t="shared" si="52"/>
        <v>0.14432524818285802</v>
      </c>
      <c r="U1095" s="3">
        <v>2.21</v>
      </c>
      <c r="V1095" s="5">
        <f t="shared" si="53"/>
        <v>6.5305542164189156E-2</v>
      </c>
      <c r="W1095" s="3">
        <v>6.5305542164189156E-2</v>
      </c>
    </row>
    <row r="1096" spans="1:23" x14ac:dyDescent="0.55000000000000004">
      <c r="A1096" s="3">
        <v>63</v>
      </c>
      <c r="B1096" s="3" t="s">
        <v>51</v>
      </c>
      <c r="C1096" s="3" t="s">
        <v>49</v>
      </c>
      <c r="D1096" s="3" t="s">
        <v>39</v>
      </c>
      <c r="E1096" s="3" t="s">
        <v>30</v>
      </c>
      <c r="F1096" s="3">
        <v>65</v>
      </c>
      <c r="G1096" s="4">
        <v>27.6</v>
      </c>
      <c r="H1096" s="4">
        <v>113</v>
      </c>
      <c r="I1096" s="6">
        <v>8.4792546789422154</v>
      </c>
      <c r="J1096" s="5">
        <v>4.9000000000000002E-2</v>
      </c>
      <c r="K1096" s="4">
        <v>23.2</v>
      </c>
      <c r="L1096" s="4">
        <v>75.3</v>
      </c>
      <c r="M1096" s="6">
        <v>6.130229391875603</v>
      </c>
      <c r="N1096" s="5">
        <v>4.2999999999999997E-2</v>
      </c>
      <c r="O1096" s="5">
        <v>2.3490252870666124</v>
      </c>
      <c r="P1096" s="5">
        <v>2.3490252870666124</v>
      </c>
      <c r="Q1096" s="8">
        <v>0.20833333333333334</v>
      </c>
      <c r="R1096" s="8">
        <v>0.88541666666666663</v>
      </c>
      <c r="S1096" s="6">
        <f t="shared" si="51"/>
        <v>16.25</v>
      </c>
      <c r="T1096" s="5">
        <f t="shared" si="52"/>
        <v>0.14455540228102229</v>
      </c>
      <c r="U1096" s="3">
        <v>2.21</v>
      </c>
      <c r="V1096" s="5">
        <f t="shared" si="53"/>
        <v>6.5409684290055337E-2</v>
      </c>
      <c r="W1096" s="3">
        <v>6.5409684290055337E-2</v>
      </c>
    </row>
    <row r="1097" spans="1:23" x14ac:dyDescent="0.55000000000000004">
      <c r="A1097" s="3">
        <v>50</v>
      </c>
      <c r="B1097" s="3" t="s">
        <v>53</v>
      </c>
      <c r="C1097" s="3" t="s">
        <v>50</v>
      </c>
      <c r="D1097" s="3" t="s">
        <v>11</v>
      </c>
      <c r="E1097" s="2" t="s">
        <v>15</v>
      </c>
      <c r="F1097" s="3">
        <v>12</v>
      </c>
      <c r="G1097" s="4">
        <v>22.7</v>
      </c>
      <c r="H1097" s="4">
        <v>115.1</v>
      </c>
      <c r="I1097" s="6">
        <v>9.4605924990652959</v>
      </c>
      <c r="J1097" s="5">
        <v>0.04</v>
      </c>
      <c r="K1097" s="4">
        <v>19.7</v>
      </c>
      <c r="L1097" s="4">
        <v>82.1</v>
      </c>
      <c r="M1097" s="6">
        <v>7.1580616614938277</v>
      </c>
      <c r="N1097" s="5">
        <v>3.6999999999999998E-2</v>
      </c>
      <c r="O1097" s="5">
        <v>2.3025308375714681</v>
      </c>
      <c r="P1097" s="5">
        <v>2.3025308375714681</v>
      </c>
      <c r="Q1097" s="8">
        <v>0.21319444444444444</v>
      </c>
      <c r="R1097" s="8">
        <v>0.875</v>
      </c>
      <c r="S1097" s="6">
        <f t="shared" si="51"/>
        <v>15.883333333333333</v>
      </c>
      <c r="T1097" s="5">
        <f t="shared" si="52"/>
        <v>0.14496521537700743</v>
      </c>
      <c r="U1097" s="3">
        <v>2.21</v>
      </c>
      <c r="V1097" s="5">
        <f t="shared" si="53"/>
        <v>6.5595120080093855E-2</v>
      </c>
      <c r="W1097" s="3">
        <v>6.5595120080093855E-2</v>
      </c>
    </row>
    <row r="1098" spans="1:23" x14ac:dyDescent="0.55000000000000004">
      <c r="A1098" s="3">
        <v>33</v>
      </c>
      <c r="B1098" s="3" t="s">
        <v>51</v>
      </c>
      <c r="C1098" s="3" t="s">
        <v>50</v>
      </c>
      <c r="D1098" s="3" t="s">
        <v>9</v>
      </c>
      <c r="E1098" s="2" t="s">
        <v>16</v>
      </c>
      <c r="F1098" s="3">
        <v>16</v>
      </c>
      <c r="G1098" s="4">
        <v>20.9</v>
      </c>
      <c r="H1098" s="4">
        <v>117.3</v>
      </c>
      <c r="I1098" s="6">
        <v>9.9855370702382285</v>
      </c>
      <c r="J1098" s="5">
        <v>4.3999999999999997E-2</v>
      </c>
      <c r="K1098" s="4">
        <v>19.7</v>
      </c>
      <c r="L1098" s="4">
        <v>88.2</v>
      </c>
      <c r="M1098" s="6">
        <v>7.6899030273295459</v>
      </c>
      <c r="N1098" s="5">
        <v>4.2999999999999997E-2</v>
      </c>
      <c r="O1098" s="5">
        <v>2.2956340429086826</v>
      </c>
      <c r="P1098" s="5">
        <v>2.2956340429086826</v>
      </c>
      <c r="Q1098" s="8">
        <v>0.20833333333333334</v>
      </c>
      <c r="R1098" s="8">
        <v>0.86805555555555547</v>
      </c>
      <c r="S1098" s="6">
        <f t="shared" si="51"/>
        <v>15.83333333333333</v>
      </c>
      <c r="T1098" s="5">
        <f t="shared" si="52"/>
        <v>0.14498741323633788</v>
      </c>
      <c r="U1098" s="3">
        <v>2.21</v>
      </c>
      <c r="V1098" s="5">
        <f t="shared" si="53"/>
        <v>6.5605164360333881E-2</v>
      </c>
      <c r="W1098" s="3">
        <v>6.5605164360333881E-2</v>
      </c>
    </row>
    <row r="1099" spans="1:23" x14ac:dyDescent="0.55000000000000004">
      <c r="A1099" s="3">
        <v>37</v>
      </c>
      <c r="B1099" s="3" t="s">
        <v>53</v>
      </c>
      <c r="C1099" s="3" t="s">
        <v>50</v>
      </c>
      <c r="D1099" s="3" t="s">
        <v>11</v>
      </c>
      <c r="E1099" s="3" t="s">
        <v>35</v>
      </c>
      <c r="F1099" s="3">
        <v>82</v>
      </c>
      <c r="G1099" s="4">
        <v>31.6</v>
      </c>
      <c r="H1099" s="4">
        <v>69.400000000000006</v>
      </c>
      <c r="I1099" s="6">
        <v>4.8550369149986077</v>
      </c>
      <c r="J1099" s="5">
        <v>6.2E-2</v>
      </c>
      <c r="K1099" s="4">
        <v>27.6</v>
      </c>
      <c r="L1099" s="4">
        <v>33.299999999999997</v>
      </c>
      <c r="M1099" s="6">
        <v>2.4987538124670423</v>
      </c>
      <c r="N1099" s="5">
        <v>6.0999999999999999E-2</v>
      </c>
      <c r="O1099" s="5">
        <v>2.3562831025315654</v>
      </c>
      <c r="P1099" s="5">
        <v>2.3562831025315654</v>
      </c>
      <c r="Q1099" s="8">
        <v>0.20833333333333334</v>
      </c>
      <c r="R1099" s="8">
        <v>0.88541666666666663</v>
      </c>
      <c r="S1099" s="6">
        <f t="shared" si="51"/>
        <v>16.25</v>
      </c>
      <c r="T1099" s="5">
        <f t="shared" si="52"/>
        <v>0.14500203707886555</v>
      </c>
      <c r="U1099" s="3">
        <v>2.21</v>
      </c>
      <c r="V1099" s="5">
        <f t="shared" si="53"/>
        <v>6.5611781483649573E-2</v>
      </c>
      <c r="W1099" s="3">
        <v>6.5611781483649573E-2</v>
      </c>
    </row>
    <row r="1100" spans="1:23" x14ac:dyDescent="0.55000000000000004">
      <c r="A1100" s="3">
        <v>9</v>
      </c>
      <c r="B1100" s="3" t="s">
        <v>48</v>
      </c>
      <c r="C1100" s="3" t="s">
        <v>50</v>
      </c>
      <c r="D1100" s="3" t="s">
        <v>10</v>
      </c>
      <c r="E1100" s="2" t="s">
        <v>19</v>
      </c>
      <c r="F1100" s="3">
        <v>26</v>
      </c>
      <c r="G1100" s="4">
        <v>25.7</v>
      </c>
      <c r="H1100" s="4">
        <v>83.5</v>
      </c>
      <c r="I1100" s="6">
        <v>6.486240964656238</v>
      </c>
      <c r="J1100" s="5">
        <v>5.3999999999999999E-2</v>
      </c>
      <c r="K1100" s="4">
        <v>23.4</v>
      </c>
      <c r="L1100" s="4">
        <v>50.9</v>
      </c>
      <c r="M1100" s="6">
        <v>4.1280339720715507</v>
      </c>
      <c r="N1100" s="5">
        <v>5.0999999999999997E-2</v>
      </c>
      <c r="O1100" s="5">
        <v>2.3582069925846874</v>
      </c>
      <c r="P1100" s="5">
        <v>2.3582069925846874</v>
      </c>
      <c r="Q1100" s="8">
        <v>0.20833333333333334</v>
      </c>
      <c r="R1100" s="8">
        <v>0.88541666666666663</v>
      </c>
      <c r="S1100" s="6">
        <f t="shared" si="51"/>
        <v>16.25</v>
      </c>
      <c r="T1100" s="5">
        <f t="shared" si="52"/>
        <v>0.14512043031290384</v>
      </c>
      <c r="U1100" s="3">
        <v>2.21</v>
      </c>
      <c r="V1100" s="5">
        <f t="shared" si="53"/>
        <v>6.5665353082761918E-2</v>
      </c>
      <c r="W1100" s="3">
        <v>6.5665353082761918E-2</v>
      </c>
    </row>
    <row r="1101" spans="1:23" x14ac:dyDescent="0.55000000000000004">
      <c r="A1101" s="3">
        <v>56</v>
      </c>
      <c r="B1101" s="3" t="s">
        <v>53</v>
      </c>
      <c r="C1101" s="3" t="s">
        <v>49</v>
      </c>
      <c r="D1101" s="3" t="s">
        <v>41</v>
      </c>
      <c r="E1101" s="3" t="s">
        <v>29</v>
      </c>
      <c r="F1101" s="3">
        <v>61</v>
      </c>
      <c r="G1101" s="4">
        <v>30.6</v>
      </c>
      <c r="H1101" s="4">
        <v>113.6</v>
      </c>
      <c r="I1101" s="6">
        <v>8.0849748709858957</v>
      </c>
      <c r="J1101" s="5">
        <v>6.8000000000000005E-2</v>
      </c>
      <c r="K1101" s="4">
        <v>25.9</v>
      </c>
      <c r="L1101" s="4">
        <v>73.5</v>
      </c>
      <c r="M1101" s="6">
        <v>5.6884506461125843</v>
      </c>
      <c r="N1101" s="5">
        <v>6.2E-2</v>
      </c>
      <c r="O1101" s="5">
        <v>2.3965242248733114</v>
      </c>
      <c r="P1101" s="5">
        <v>2.3965242248733114</v>
      </c>
      <c r="Q1101" s="8">
        <v>0.19791666666666666</v>
      </c>
      <c r="R1101" s="8">
        <v>0.88541666666666663</v>
      </c>
      <c r="S1101" s="6">
        <f t="shared" si="51"/>
        <v>16.5</v>
      </c>
      <c r="T1101" s="5">
        <f t="shared" si="52"/>
        <v>0.14524389241656432</v>
      </c>
      <c r="U1101" s="3">
        <v>2.21</v>
      </c>
      <c r="V1101" s="5">
        <f t="shared" si="53"/>
        <v>6.5721218288038161E-2</v>
      </c>
      <c r="W1101" s="3">
        <v>6.5721218288038161E-2</v>
      </c>
    </row>
    <row r="1102" spans="1:23" x14ac:dyDescent="0.55000000000000004">
      <c r="A1102" s="3">
        <v>27</v>
      </c>
      <c r="B1102" s="3" t="s">
        <v>48</v>
      </c>
      <c r="C1102" s="3" t="s">
        <v>50</v>
      </c>
      <c r="D1102" s="3" t="s">
        <v>10</v>
      </c>
      <c r="E1102" s="2" t="s">
        <v>23</v>
      </c>
      <c r="F1102" s="3">
        <v>40</v>
      </c>
      <c r="G1102" s="4">
        <v>29.2</v>
      </c>
      <c r="H1102" s="4">
        <v>103.5</v>
      </c>
      <c r="I1102" s="6">
        <v>7.5483835034111646</v>
      </c>
      <c r="J1102" s="5">
        <v>7.5999999999999998E-2</v>
      </c>
      <c r="K1102" s="4">
        <v>24.6</v>
      </c>
      <c r="L1102" s="4">
        <v>65.2</v>
      </c>
      <c r="M1102" s="6">
        <v>5.1693080255020867</v>
      </c>
      <c r="N1102" s="5">
        <v>7.0999999999999994E-2</v>
      </c>
      <c r="O1102" s="5">
        <v>2.3790754779090779</v>
      </c>
      <c r="P1102" s="5">
        <v>2.3790754779090779</v>
      </c>
      <c r="Q1102" s="8">
        <v>0.20833333333333334</v>
      </c>
      <c r="R1102" s="8">
        <v>0.89027777777777783</v>
      </c>
      <c r="S1102" s="6">
        <f t="shared" si="51"/>
        <v>16.366666666666667</v>
      </c>
      <c r="T1102" s="5">
        <f t="shared" si="52"/>
        <v>0.14536102716348745</v>
      </c>
      <c r="U1102" s="3">
        <v>2.21</v>
      </c>
      <c r="V1102" s="5">
        <f t="shared" si="53"/>
        <v>6.5774220435967173E-2</v>
      </c>
      <c r="W1102" s="3">
        <v>6.5774220435967173E-2</v>
      </c>
    </row>
    <row r="1103" spans="1:23" x14ac:dyDescent="0.55000000000000004">
      <c r="A1103" s="3">
        <v>58</v>
      </c>
      <c r="B1103" s="3" t="s">
        <v>53</v>
      </c>
      <c r="C1103" s="3" t="s">
        <v>49</v>
      </c>
      <c r="D1103" s="3" t="s">
        <v>41</v>
      </c>
      <c r="E1103" s="2" t="s">
        <v>25</v>
      </c>
      <c r="F1103" s="3">
        <v>47</v>
      </c>
      <c r="G1103" s="4">
        <v>28.6</v>
      </c>
      <c r="H1103" s="4">
        <v>123.2</v>
      </c>
      <c r="I1103" s="6">
        <v>9.0809509496242189</v>
      </c>
      <c r="J1103" s="5">
        <v>6.6000000000000003E-2</v>
      </c>
      <c r="K1103" s="4">
        <v>25.5</v>
      </c>
      <c r="L1103" s="4">
        <v>85.7</v>
      </c>
      <c r="M1103" s="6">
        <v>6.68177312572658</v>
      </c>
      <c r="N1103" s="5">
        <v>0.06</v>
      </c>
      <c r="O1103" s="5">
        <v>2.3991778238976389</v>
      </c>
      <c r="P1103" s="5">
        <v>2.3991778238976389</v>
      </c>
      <c r="Q1103" s="8">
        <v>0.20833333333333334</v>
      </c>
      <c r="R1103" s="8">
        <v>0.89583333333333337</v>
      </c>
      <c r="S1103" s="6">
        <f t="shared" si="51"/>
        <v>16.5</v>
      </c>
      <c r="T1103" s="5">
        <f t="shared" si="52"/>
        <v>0.1454047165998569</v>
      </c>
      <c r="U1103" s="3">
        <v>2.21</v>
      </c>
      <c r="V1103" s="5">
        <f t="shared" si="53"/>
        <v>6.5793989411699963E-2</v>
      </c>
      <c r="W1103" s="3">
        <v>6.5793989411699963E-2</v>
      </c>
    </row>
    <row r="1104" spans="1:23" x14ac:dyDescent="0.55000000000000004">
      <c r="A1104" s="3">
        <v>1</v>
      </c>
      <c r="B1104" s="3" t="s">
        <v>51</v>
      </c>
      <c r="C1104" s="3" t="s">
        <v>49</v>
      </c>
      <c r="D1104" s="3" t="s">
        <v>39</v>
      </c>
      <c r="E1104" s="2" t="s">
        <v>23</v>
      </c>
      <c r="F1104" s="3">
        <v>40</v>
      </c>
      <c r="G1104" s="4">
        <v>28.6</v>
      </c>
      <c r="H1104" s="4">
        <v>122.1</v>
      </c>
      <c r="I1104" s="6">
        <v>8.9998710304311444</v>
      </c>
      <c r="J1104" s="5">
        <v>5.1999999999999998E-2</v>
      </c>
      <c r="K1104" s="4">
        <v>23.8</v>
      </c>
      <c r="L1104" s="4">
        <v>82.2</v>
      </c>
      <c r="M1104" s="6">
        <v>6.616049119430099</v>
      </c>
      <c r="N1104" s="5">
        <v>4.2000000000000003E-2</v>
      </c>
      <c r="O1104" s="5">
        <v>2.3838219110010455</v>
      </c>
      <c r="P1104" s="5">
        <v>2.3838219110010455</v>
      </c>
      <c r="Q1104" s="8">
        <v>0.20833333333333334</v>
      </c>
      <c r="R1104" s="8">
        <v>0.89027777777777783</v>
      </c>
      <c r="S1104" s="6">
        <f t="shared" si="51"/>
        <v>16.366666666666667</v>
      </c>
      <c r="T1104" s="5">
        <f t="shared" si="52"/>
        <v>0.14565103325871967</v>
      </c>
      <c r="U1104" s="3">
        <v>2.21</v>
      </c>
      <c r="V1104" s="5">
        <f t="shared" si="53"/>
        <v>6.5905444913447825E-2</v>
      </c>
      <c r="W1104" s="3">
        <v>6.5905444913447825E-2</v>
      </c>
    </row>
    <row r="1105" spans="1:23" x14ac:dyDescent="0.55000000000000004">
      <c r="A1105" s="3">
        <v>41</v>
      </c>
      <c r="B1105" s="3" t="s">
        <v>51</v>
      </c>
      <c r="C1105" s="3" t="s">
        <v>50</v>
      </c>
      <c r="D1105" s="3" t="s">
        <v>9</v>
      </c>
      <c r="E1105" s="2" t="s">
        <v>20</v>
      </c>
      <c r="F1105" s="3">
        <v>30</v>
      </c>
      <c r="G1105" s="4">
        <v>26.8</v>
      </c>
      <c r="H1105" s="4">
        <v>109.7</v>
      </c>
      <c r="I1105" s="6">
        <v>8.3515424294127723</v>
      </c>
      <c r="J1105" s="5">
        <v>4.9000000000000002E-2</v>
      </c>
      <c r="K1105" s="4">
        <v>24.2</v>
      </c>
      <c r="L1105" s="4">
        <v>74.900000000000006</v>
      </c>
      <c r="M1105" s="6">
        <v>5.9831318453772475</v>
      </c>
      <c r="N1105" s="5">
        <v>4.3999999999999997E-2</v>
      </c>
      <c r="O1105" s="5">
        <v>2.3684105840355247</v>
      </c>
      <c r="P1105" s="5">
        <v>2.3684105840355247</v>
      </c>
      <c r="Q1105" s="8">
        <v>0.20833333333333334</v>
      </c>
      <c r="R1105" s="8">
        <v>0.88541666666666663</v>
      </c>
      <c r="S1105" s="6">
        <f t="shared" si="51"/>
        <v>16.25</v>
      </c>
      <c r="T1105" s="5">
        <f t="shared" si="52"/>
        <v>0.14574834363295536</v>
      </c>
      <c r="U1105" s="3">
        <v>2.21</v>
      </c>
      <c r="V1105" s="5">
        <f t="shared" si="53"/>
        <v>6.5949476756993378E-2</v>
      </c>
      <c r="W1105" s="3">
        <v>6.5949476756993378E-2</v>
      </c>
    </row>
    <row r="1106" spans="1:23" x14ac:dyDescent="0.55000000000000004">
      <c r="A1106" s="3">
        <v>33</v>
      </c>
      <c r="B1106" s="3" t="s">
        <v>51</v>
      </c>
      <c r="C1106" s="3" t="s">
        <v>50</v>
      </c>
      <c r="D1106" s="3" t="s">
        <v>9</v>
      </c>
      <c r="E1106" s="2" t="s">
        <v>13</v>
      </c>
      <c r="F1106" s="3">
        <v>8</v>
      </c>
      <c r="G1106" s="4">
        <v>21.9</v>
      </c>
      <c r="H1106" s="4">
        <v>126</v>
      </c>
      <c r="I1106" s="6">
        <v>10.518012917541862</v>
      </c>
      <c r="J1106" s="5">
        <v>0.04</v>
      </c>
      <c r="K1106" s="4">
        <v>19.2</v>
      </c>
      <c r="L1106" s="4">
        <v>93.4</v>
      </c>
      <c r="M1106" s="6">
        <v>8.2258130495701636</v>
      </c>
      <c r="N1106" s="5">
        <v>3.7999999999999999E-2</v>
      </c>
      <c r="O1106" s="5">
        <v>2.2921998679716982</v>
      </c>
      <c r="P1106" s="5">
        <v>2.2921998679716982</v>
      </c>
      <c r="Q1106" s="8">
        <v>0.20833333333333334</v>
      </c>
      <c r="R1106" s="8">
        <v>0.86319444444444438</v>
      </c>
      <c r="S1106" s="6">
        <f t="shared" si="51"/>
        <v>15.716666666666665</v>
      </c>
      <c r="T1106" s="5">
        <f t="shared" si="52"/>
        <v>0.14584516657296065</v>
      </c>
      <c r="U1106" s="3">
        <v>2.21</v>
      </c>
      <c r="V1106" s="5">
        <f t="shared" si="53"/>
        <v>6.5993288042063641E-2</v>
      </c>
      <c r="W1106" s="3">
        <v>6.5993288042063641E-2</v>
      </c>
    </row>
    <row r="1107" spans="1:23" x14ac:dyDescent="0.55000000000000004">
      <c r="A1107" s="3">
        <v>29</v>
      </c>
      <c r="B1107" s="3" t="s">
        <v>52</v>
      </c>
      <c r="C1107" s="3" t="s">
        <v>50</v>
      </c>
      <c r="D1107" s="3" t="s">
        <v>12</v>
      </c>
      <c r="E1107" s="3" t="s">
        <v>35</v>
      </c>
      <c r="F1107" s="3">
        <v>82</v>
      </c>
      <c r="G1107" s="4">
        <v>32</v>
      </c>
      <c r="H1107" s="4">
        <v>73.900000000000006</v>
      </c>
      <c r="I1107" s="6">
        <v>5.1347157102311094</v>
      </c>
      <c r="J1107" s="5">
        <v>6.8000000000000005E-2</v>
      </c>
      <c r="K1107" s="4">
        <v>27.9</v>
      </c>
      <c r="L1107" s="4">
        <v>37</v>
      </c>
      <c r="M1107" s="6">
        <v>2.7614851301350041</v>
      </c>
      <c r="N1107" s="5">
        <v>6.6000000000000003E-2</v>
      </c>
      <c r="O1107" s="5">
        <v>2.3732305800961053</v>
      </c>
      <c r="P1107" s="5">
        <v>2.3732305800961053</v>
      </c>
      <c r="Q1107" s="8">
        <v>0.20833333333333334</v>
      </c>
      <c r="R1107" s="8">
        <v>0.88541666666666663</v>
      </c>
      <c r="S1107" s="6">
        <f t="shared" si="51"/>
        <v>16.25</v>
      </c>
      <c r="T1107" s="5">
        <f t="shared" si="52"/>
        <v>0.14604495877514495</v>
      </c>
      <c r="U1107" s="3">
        <v>2.21</v>
      </c>
      <c r="V1107" s="5">
        <f t="shared" si="53"/>
        <v>6.6083691753459253E-2</v>
      </c>
      <c r="W1107" s="3">
        <v>6.6083691753459253E-2</v>
      </c>
    </row>
    <row r="1108" spans="1:23" x14ac:dyDescent="0.55000000000000004">
      <c r="A1108" s="3">
        <v>60</v>
      </c>
      <c r="B1108" s="3" t="s">
        <v>51</v>
      </c>
      <c r="C1108" s="3" t="s">
        <v>49</v>
      </c>
      <c r="D1108" s="3" t="s">
        <v>39</v>
      </c>
      <c r="E1108" s="3" t="s">
        <v>31</v>
      </c>
      <c r="F1108" s="3">
        <v>68</v>
      </c>
      <c r="G1108" s="4">
        <v>25.9</v>
      </c>
      <c r="H1108" s="4">
        <v>92.4</v>
      </c>
      <c r="I1108" s="6">
        <v>7.1511950979701062</v>
      </c>
      <c r="J1108" s="5">
        <v>0.05</v>
      </c>
      <c r="K1108" s="4">
        <v>24.4</v>
      </c>
      <c r="L1108" s="4">
        <v>60</v>
      </c>
      <c r="M1108" s="6">
        <v>4.7749054197657061</v>
      </c>
      <c r="N1108" s="5">
        <v>4.8000000000000001E-2</v>
      </c>
      <c r="O1108" s="5">
        <v>2.3762896782044001</v>
      </c>
      <c r="P1108" s="5">
        <v>2.3762896782044001</v>
      </c>
      <c r="Q1108" s="8">
        <v>0.20833333333333334</v>
      </c>
      <c r="R1108" s="8">
        <v>0.88541666666666663</v>
      </c>
      <c r="S1108" s="6">
        <f t="shared" si="51"/>
        <v>16.25</v>
      </c>
      <c r="T1108" s="5">
        <f t="shared" si="52"/>
        <v>0.14623321096642461</v>
      </c>
      <c r="U1108" s="3">
        <v>2.21</v>
      </c>
      <c r="V1108" s="5">
        <f t="shared" si="53"/>
        <v>6.6168873740463638E-2</v>
      </c>
      <c r="W1108" s="3">
        <v>6.6168873740463638E-2</v>
      </c>
    </row>
    <row r="1109" spans="1:23" x14ac:dyDescent="0.55000000000000004">
      <c r="A1109" s="3">
        <v>63</v>
      </c>
      <c r="B1109" s="3" t="s">
        <v>51</v>
      </c>
      <c r="C1109" s="3" t="s">
        <v>49</v>
      </c>
      <c r="D1109" s="3" t="s">
        <v>39</v>
      </c>
      <c r="E1109" s="3" t="s">
        <v>34</v>
      </c>
      <c r="F1109" s="3">
        <v>79</v>
      </c>
      <c r="G1109" s="4">
        <v>28.5</v>
      </c>
      <c r="H1109" s="4">
        <v>82.1</v>
      </c>
      <c r="I1109" s="6">
        <v>6.0622674954050231</v>
      </c>
      <c r="J1109" s="5">
        <v>4.2999999999999997E-2</v>
      </c>
      <c r="K1109" s="4">
        <v>25.2</v>
      </c>
      <c r="L1109" s="4">
        <v>47</v>
      </c>
      <c r="M1109" s="6">
        <v>3.684880678166889</v>
      </c>
      <c r="N1109" s="5">
        <v>4.2000000000000003E-2</v>
      </c>
      <c r="O1109" s="5">
        <v>2.3773868172381341</v>
      </c>
      <c r="P1109" s="5">
        <v>2.3773868172381341</v>
      </c>
      <c r="Q1109" s="8">
        <v>0.20833333333333334</v>
      </c>
      <c r="R1109" s="8">
        <v>0.88541666666666663</v>
      </c>
      <c r="S1109" s="6">
        <f t="shared" si="51"/>
        <v>16.25</v>
      </c>
      <c r="T1109" s="5">
        <f t="shared" si="52"/>
        <v>0.1463007272146544</v>
      </c>
      <c r="U1109" s="3">
        <v>2.21</v>
      </c>
      <c r="V1109" s="5">
        <f t="shared" si="53"/>
        <v>6.6199424079029151E-2</v>
      </c>
      <c r="W1109" s="3">
        <v>6.6199424079029151E-2</v>
      </c>
    </row>
    <row r="1110" spans="1:23" x14ac:dyDescent="0.55000000000000004">
      <c r="A1110" s="3">
        <v>7</v>
      </c>
      <c r="B1110" s="3" t="s">
        <v>53</v>
      </c>
      <c r="C1110" s="3" t="s">
        <v>49</v>
      </c>
      <c r="D1110" s="3" t="s">
        <v>41</v>
      </c>
      <c r="E1110" s="3" t="s">
        <v>31</v>
      </c>
      <c r="F1110" s="3">
        <v>68</v>
      </c>
      <c r="G1110" s="4">
        <v>25.1</v>
      </c>
      <c r="H1110" s="4">
        <v>76.7</v>
      </c>
      <c r="I1110" s="6">
        <v>6.0245973865024549</v>
      </c>
      <c r="J1110" s="5">
        <v>6.9000000000000006E-2</v>
      </c>
      <c r="K1110" s="4">
        <v>23.6</v>
      </c>
      <c r="L1110" s="4">
        <v>45.1</v>
      </c>
      <c r="M1110" s="6">
        <v>3.6437654716088326</v>
      </c>
      <c r="N1110" s="5">
        <v>6.8000000000000005E-2</v>
      </c>
      <c r="O1110" s="5">
        <v>2.3808319148936223</v>
      </c>
      <c r="P1110" s="5">
        <v>2.3808319148936223</v>
      </c>
      <c r="Q1110" s="8">
        <v>0.20833333333333334</v>
      </c>
      <c r="R1110" s="8">
        <v>0.88541666666666663</v>
      </c>
      <c r="S1110" s="6">
        <f t="shared" si="51"/>
        <v>16.25</v>
      </c>
      <c r="T1110" s="5">
        <f t="shared" si="52"/>
        <v>0.14651273322422292</v>
      </c>
      <c r="U1110" s="3">
        <v>2.21</v>
      </c>
      <c r="V1110" s="5">
        <f t="shared" si="53"/>
        <v>6.629535440010087E-2</v>
      </c>
      <c r="W1110" s="3">
        <v>6.629535440010087E-2</v>
      </c>
    </row>
    <row r="1111" spans="1:23" x14ac:dyDescent="0.55000000000000004">
      <c r="A1111" s="3">
        <v>45</v>
      </c>
      <c r="B1111" s="3" t="s">
        <v>48</v>
      </c>
      <c r="C1111" s="3" t="s">
        <v>50</v>
      </c>
      <c r="D1111" s="3" t="s">
        <v>10</v>
      </c>
      <c r="E1111" s="3" t="s">
        <v>29</v>
      </c>
      <c r="F1111" s="3">
        <v>61</v>
      </c>
      <c r="G1111" s="4">
        <v>29.3</v>
      </c>
      <c r="H1111" s="4">
        <v>98.5</v>
      </c>
      <c r="I1111" s="6">
        <v>7.1710946620667224</v>
      </c>
      <c r="J1111" s="5">
        <v>6.4000000000000001E-2</v>
      </c>
      <c r="K1111" s="4">
        <v>25.1</v>
      </c>
      <c r="L1111" s="4">
        <v>60.5</v>
      </c>
      <c r="M1111" s="6">
        <v>4.7521270128213633</v>
      </c>
      <c r="N1111" s="5">
        <v>5.8000000000000003E-2</v>
      </c>
      <c r="O1111" s="5">
        <v>2.4189676492453591</v>
      </c>
      <c r="P1111" s="5">
        <v>2.4189676492453591</v>
      </c>
      <c r="Q1111" s="8">
        <v>0.19791666666666666</v>
      </c>
      <c r="R1111" s="8">
        <v>0.88541666666666663</v>
      </c>
      <c r="S1111" s="6">
        <f t="shared" si="51"/>
        <v>16.5</v>
      </c>
      <c r="T1111" s="5">
        <f t="shared" si="52"/>
        <v>0.14660409995426418</v>
      </c>
      <c r="U1111" s="3">
        <v>2.21</v>
      </c>
      <c r="V1111" s="5">
        <f t="shared" si="53"/>
        <v>6.6336696811884241E-2</v>
      </c>
      <c r="W1111" s="3">
        <v>6.6336696811884241E-2</v>
      </c>
    </row>
    <row r="1112" spans="1:23" x14ac:dyDescent="0.55000000000000004">
      <c r="A1112" s="3">
        <v>27</v>
      </c>
      <c r="B1112" s="3" t="s">
        <v>48</v>
      </c>
      <c r="C1112" s="3" t="s">
        <v>50</v>
      </c>
      <c r="D1112" s="3" t="s">
        <v>10</v>
      </c>
      <c r="E1112" s="3" t="s">
        <v>27</v>
      </c>
      <c r="F1112" s="3">
        <v>54</v>
      </c>
      <c r="G1112" s="4">
        <v>28.1</v>
      </c>
      <c r="H1112" s="4">
        <v>103.8</v>
      </c>
      <c r="I1112" s="6">
        <v>7.7194188927406477</v>
      </c>
      <c r="J1112" s="5">
        <v>7.6999999999999999E-2</v>
      </c>
      <c r="K1112" s="4">
        <v>24.8</v>
      </c>
      <c r="L1112" s="4">
        <v>67.099999999999994</v>
      </c>
      <c r="M1112" s="6">
        <v>5.3000885545279095</v>
      </c>
      <c r="N1112" s="5">
        <v>7.0999999999999994E-2</v>
      </c>
      <c r="O1112" s="5">
        <v>2.4193303382127382</v>
      </c>
      <c r="P1112" s="5">
        <v>2.4193303382127382</v>
      </c>
      <c r="Q1112" s="8">
        <v>0.20833333333333334</v>
      </c>
      <c r="R1112" s="8">
        <v>0.89583333333333337</v>
      </c>
      <c r="S1112" s="6">
        <f t="shared" si="51"/>
        <v>16.5</v>
      </c>
      <c r="T1112" s="5">
        <f t="shared" si="52"/>
        <v>0.14662608110380232</v>
      </c>
      <c r="U1112" s="3">
        <v>2.21</v>
      </c>
      <c r="V1112" s="5">
        <f t="shared" si="53"/>
        <v>6.6346643033394714E-2</v>
      </c>
      <c r="W1112" s="3">
        <v>6.6346643033394714E-2</v>
      </c>
    </row>
    <row r="1113" spans="1:23" x14ac:dyDescent="0.55000000000000004">
      <c r="A1113" s="3">
        <v>62</v>
      </c>
      <c r="B1113" s="3" t="s">
        <v>52</v>
      </c>
      <c r="C1113" s="3" t="s">
        <v>49</v>
      </c>
      <c r="D1113" s="3" t="s">
        <v>40</v>
      </c>
      <c r="E1113" s="3" t="s">
        <v>31</v>
      </c>
      <c r="F1113" s="3">
        <v>68</v>
      </c>
      <c r="G1113" s="4">
        <v>25.8</v>
      </c>
      <c r="H1113" s="4">
        <v>83.2</v>
      </c>
      <c r="I1113" s="6">
        <v>6.4510352227825623</v>
      </c>
      <c r="J1113" s="5">
        <v>6.4000000000000001E-2</v>
      </c>
      <c r="K1113" s="4">
        <v>24.4</v>
      </c>
      <c r="L1113" s="4">
        <v>51.1</v>
      </c>
      <c r="M1113" s="6">
        <v>4.0666277825004604</v>
      </c>
      <c r="N1113" s="5">
        <v>6.6000000000000003E-2</v>
      </c>
      <c r="O1113" s="5">
        <v>2.3844074402821018</v>
      </c>
      <c r="P1113" s="5">
        <v>2.3844074402821018</v>
      </c>
      <c r="Q1113" s="8">
        <v>0.20833333333333334</v>
      </c>
      <c r="R1113" s="8">
        <v>0.88541666666666663</v>
      </c>
      <c r="S1113" s="6">
        <f t="shared" si="51"/>
        <v>16.25</v>
      </c>
      <c r="T1113" s="5">
        <f t="shared" si="52"/>
        <v>0.14673276555582165</v>
      </c>
      <c r="U1113" s="3">
        <v>2.21</v>
      </c>
      <c r="V1113" s="5">
        <f t="shared" si="53"/>
        <v>6.6394916541095764E-2</v>
      </c>
      <c r="W1113" s="3">
        <v>6.6394916541095764E-2</v>
      </c>
    </row>
    <row r="1114" spans="1:23" x14ac:dyDescent="0.55000000000000004">
      <c r="A1114" s="3">
        <v>38</v>
      </c>
      <c r="B1114" s="3" t="s">
        <v>51</v>
      </c>
      <c r="C1114" s="3" t="s">
        <v>49</v>
      </c>
      <c r="D1114" s="3" t="s">
        <v>39</v>
      </c>
      <c r="E1114" s="2" t="s">
        <v>22</v>
      </c>
      <c r="F1114" s="3">
        <v>37</v>
      </c>
      <c r="G1114" s="4">
        <v>30.6</v>
      </c>
      <c r="H1114" s="4">
        <v>110.7</v>
      </c>
      <c r="I1114" s="6">
        <v>7.878580266004743</v>
      </c>
      <c r="J1114" s="5">
        <v>5.2999999999999999E-2</v>
      </c>
      <c r="K1114" s="4">
        <v>25.4</v>
      </c>
      <c r="L1114" s="4">
        <v>70</v>
      </c>
      <c r="M1114" s="6">
        <v>5.4678014255871918</v>
      </c>
      <c r="N1114" s="5">
        <v>5.0999999999999997E-2</v>
      </c>
      <c r="O1114" s="5">
        <v>2.4107788404175512</v>
      </c>
      <c r="P1114" s="5">
        <v>2.4107788404175512</v>
      </c>
      <c r="Q1114" s="8">
        <v>0.20138888888888887</v>
      </c>
      <c r="R1114" s="8">
        <v>0.88541666666666663</v>
      </c>
      <c r="S1114" s="6">
        <f t="shared" si="51"/>
        <v>16.416666666666668</v>
      </c>
      <c r="T1114" s="5">
        <f t="shared" si="52"/>
        <v>0.14684947251274422</v>
      </c>
      <c r="U1114" s="3">
        <v>2.21</v>
      </c>
      <c r="V1114" s="5">
        <f t="shared" si="53"/>
        <v>6.6447725118888787E-2</v>
      </c>
      <c r="W1114" s="3">
        <v>6.6447725118888787E-2</v>
      </c>
    </row>
    <row r="1115" spans="1:23" x14ac:dyDescent="0.55000000000000004">
      <c r="A1115" s="3">
        <v>6</v>
      </c>
      <c r="B1115" s="3" t="s">
        <v>51</v>
      </c>
      <c r="C1115" s="3" t="s">
        <v>49</v>
      </c>
      <c r="D1115" s="3" t="s">
        <v>39</v>
      </c>
      <c r="E1115" s="3" t="s">
        <v>31</v>
      </c>
      <c r="F1115" s="3">
        <v>68</v>
      </c>
      <c r="G1115" s="4">
        <v>25.4</v>
      </c>
      <c r="H1115" s="4">
        <v>79.3</v>
      </c>
      <c r="I1115" s="6">
        <v>6.1942379007009176</v>
      </c>
      <c r="J1115" s="5">
        <v>4.8000000000000001E-2</v>
      </c>
      <c r="K1115" s="4">
        <v>24</v>
      </c>
      <c r="L1115" s="4">
        <v>47.4</v>
      </c>
      <c r="M1115" s="6">
        <v>3.8006937904625597</v>
      </c>
      <c r="N1115" s="5">
        <v>4.8000000000000001E-2</v>
      </c>
      <c r="O1115" s="5">
        <v>2.3935441102383579</v>
      </c>
      <c r="P1115" s="5">
        <v>2.3935441102383579</v>
      </c>
      <c r="Q1115" s="8">
        <v>0.20833333333333334</v>
      </c>
      <c r="R1115" s="8">
        <v>0.88541666666666663</v>
      </c>
      <c r="S1115" s="6">
        <f t="shared" si="51"/>
        <v>16.25</v>
      </c>
      <c r="T1115" s="5">
        <f t="shared" si="52"/>
        <v>0.14729502216851434</v>
      </c>
      <c r="U1115" s="3">
        <v>2.21</v>
      </c>
      <c r="V1115" s="5">
        <f t="shared" si="53"/>
        <v>6.664933129797028E-2</v>
      </c>
      <c r="W1115" s="3">
        <v>6.664933129797028E-2</v>
      </c>
    </row>
    <row r="1116" spans="1:23" x14ac:dyDescent="0.55000000000000004">
      <c r="A1116" s="3">
        <v>27</v>
      </c>
      <c r="B1116" s="3" t="s">
        <v>48</v>
      </c>
      <c r="C1116" s="3" t="s">
        <v>50</v>
      </c>
      <c r="D1116" s="3" t="s">
        <v>10</v>
      </c>
      <c r="E1116" s="3" t="s">
        <v>28</v>
      </c>
      <c r="F1116" s="3">
        <v>58</v>
      </c>
      <c r="G1116" s="4">
        <v>29</v>
      </c>
      <c r="H1116" s="4">
        <v>109.8</v>
      </c>
      <c r="I1116" s="6">
        <v>8.0361430739521467</v>
      </c>
      <c r="J1116" s="5">
        <v>7.8E-2</v>
      </c>
      <c r="K1116" s="4">
        <v>24.3</v>
      </c>
      <c r="L1116" s="4">
        <v>70.599999999999994</v>
      </c>
      <c r="M1116" s="6">
        <v>5.6290392005712855</v>
      </c>
      <c r="N1116" s="5">
        <v>7.1999999999999995E-2</v>
      </c>
      <c r="O1116" s="5">
        <v>2.4071038733808612</v>
      </c>
      <c r="P1116" s="5">
        <v>2.4071038733808612</v>
      </c>
      <c r="Q1116" s="8">
        <v>0.20833333333333334</v>
      </c>
      <c r="R1116" s="8">
        <v>0.88888888888888884</v>
      </c>
      <c r="S1116" s="6">
        <f t="shared" si="51"/>
        <v>16.333333333333332</v>
      </c>
      <c r="T1116" s="5">
        <f t="shared" si="52"/>
        <v>0.14737370653352214</v>
      </c>
      <c r="U1116" s="3">
        <v>2.21</v>
      </c>
      <c r="V1116" s="5">
        <f t="shared" si="53"/>
        <v>6.6684935083041685E-2</v>
      </c>
      <c r="W1116" s="3">
        <v>6.6684935083041685E-2</v>
      </c>
    </row>
    <row r="1117" spans="1:23" x14ac:dyDescent="0.55000000000000004">
      <c r="A1117" s="3">
        <v>53</v>
      </c>
      <c r="B1117" s="3" t="s">
        <v>48</v>
      </c>
      <c r="C1117" s="3" t="s">
        <v>49</v>
      </c>
      <c r="D1117" s="3" t="s">
        <v>38</v>
      </c>
      <c r="E1117" s="2" t="s">
        <v>23</v>
      </c>
      <c r="F1117" s="3">
        <v>40</v>
      </c>
      <c r="G1117" s="4">
        <v>28.7</v>
      </c>
      <c r="H1117" s="4">
        <v>95.5</v>
      </c>
      <c r="I1117" s="6">
        <v>7.0267366378536487</v>
      </c>
      <c r="J1117" s="5">
        <v>5.2999999999999999E-2</v>
      </c>
      <c r="K1117" s="4">
        <v>24.1</v>
      </c>
      <c r="L1117" s="4">
        <v>57.6</v>
      </c>
      <c r="M1117" s="6">
        <v>4.6098581323678918</v>
      </c>
      <c r="N1117" s="5">
        <v>5.5E-2</v>
      </c>
      <c r="O1117" s="5">
        <v>2.4168785054857569</v>
      </c>
      <c r="P1117" s="5">
        <v>2.4168785054857569</v>
      </c>
      <c r="Q1117" s="8">
        <v>0.20833333333333334</v>
      </c>
      <c r="R1117" s="8">
        <v>0.89027777777777783</v>
      </c>
      <c r="S1117" s="6">
        <f t="shared" si="51"/>
        <v>16.366666666666667</v>
      </c>
      <c r="T1117" s="5">
        <f t="shared" si="52"/>
        <v>0.14767078444923157</v>
      </c>
      <c r="U1117" s="3">
        <v>2.21</v>
      </c>
      <c r="V1117" s="5">
        <f t="shared" si="53"/>
        <v>6.6819359479290311E-2</v>
      </c>
      <c r="W1117" s="3">
        <v>6.6819359479290311E-2</v>
      </c>
    </row>
    <row r="1118" spans="1:23" x14ac:dyDescent="0.55000000000000004">
      <c r="A1118" s="3">
        <v>37</v>
      </c>
      <c r="B1118" s="3" t="s">
        <v>53</v>
      </c>
      <c r="C1118" s="3" t="s">
        <v>50</v>
      </c>
      <c r="D1118" s="3" t="s">
        <v>11</v>
      </c>
      <c r="E1118" s="2" t="s">
        <v>19</v>
      </c>
      <c r="F1118" s="3">
        <v>26</v>
      </c>
      <c r="G1118" s="4">
        <v>22.4</v>
      </c>
      <c r="H1118" s="4">
        <v>104.7</v>
      </c>
      <c r="I1118" s="6">
        <v>8.6556704801819446</v>
      </c>
      <c r="J1118" s="5">
        <v>4.1000000000000002E-2</v>
      </c>
      <c r="K1118" s="4">
        <v>23</v>
      </c>
      <c r="L1118" s="4">
        <v>76.5</v>
      </c>
      <c r="M1118" s="6">
        <v>6.2517866132827207</v>
      </c>
      <c r="N1118" s="5">
        <v>3.7999999999999999E-2</v>
      </c>
      <c r="O1118" s="5">
        <v>2.403883866899224</v>
      </c>
      <c r="P1118" s="5">
        <v>2.403883866899224</v>
      </c>
      <c r="Q1118" s="8">
        <v>0.20833333333333334</v>
      </c>
      <c r="R1118" s="8">
        <v>0.88541666666666663</v>
      </c>
      <c r="S1118" s="6">
        <f t="shared" si="51"/>
        <v>16.25</v>
      </c>
      <c r="T1118" s="5">
        <f t="shared" si="52"/>
        <v>0.14793131488610609</v>
      </c>
      <c r="U1118" s="3">
        <v>2.21</v>
      </c>
      <c r="V1118" s="5">
        <f t="shared" si="53"/>
        <v>6.6937246554799143E-2</v>
      </c>
      <c r="W1118" s="3">
        <v>6.6937246554799143E-2</v>
      </c>
    </row>
    <row r="1119" spans="1:23" x14ac:dyDescent="0.55000000000000004">
      <c r="A1119" s="3">
        <v>62</v>
      </c>
      <c r="B1119" s="3" t="s">
        <v>52</v>
      </c>
      <c r="C1119" s="3" t="s">
        <v>49</v>
      </c>
      <c r="D1119" s="3" t="s">
        <v>40</v>
      </c>
      <c r="E1119" s="3" t="s">
        <v>28</v>
      </c>
      <c r="F1119" s="3">
        <v>58</v>
      </c>
      <c r="G1119" s="4">
        <v>28.4</v>
      </c>
      <c r="H1119" s="4">
        <v>110.3</v>
      </c>
      <c r="I1119" s="6">
        <v>8.1590532851707831</v>
      </c>
      <c r="J1119" s="5">
        <v>6.9000000000000006E-2</v>
      </c>
      <c r="K1119" s="4">
        <v>24</v>
      </c>
      <c r="L1119" s="4">
        <v>71.599999999999994</v>
      </c>
      <c r="M1119" s="6">
        <v>5.7411323923442872</v>
      </c>
      <c r="N1119" s="5">
        <v>6.5000000000000002E-2</v>
      </c>
      <c r="O1119" s="5">
        <v>2.4179208928264959</v>
      </c>
      <c r="P1119" s="5">
        <v>2.4179208928264959</v>
      </c>
      <c r="Q1119" s="8">
        <v>0.20833333333333334</v>
      </c>
      <c r="R1119" s="8">
        <v>0.88888888888888884</v>
      </c>
      <c r="S1119" s="6">
        <f t="shared" si="51"/>
        <v>16.333333333333332</v>
      </c>
      <c r="T1119" s="5">
        <f t="shared" si="52"/>
        <v>0.14803597303019364</v>
      </c>
      <c r="U1119" s="3">
        <v>2.21</v>
      </c>
      <c r="V1119" s="5">
        <f t="shared" si="53"/>
        <v>6.6984603181083097E-2</v>
      </c>
      <c r="W1119" s="3">
        <v>6.6984603181083097E-2</v>
      </c>
    </row>
    <row r="1120" spans="1:23" x14ac:dyDescent="0.55000000000000004">
      <c r="A1120" s="3">
        <v>63</v>
      </c>
      <c r="B1120" s="3" t="s">
        <v>51</v>
      </c>
      <c r="C1120" s="3" t="s">
        <v>49</v>
      </c>
      <c r="D1120" s="3" t="s">
        <v>39</v>
      </c>
      <c r="E1120" s="3" t="s">
        <v>29</v>
      </c>
      <c r="F1120" s="3">
        <v>61</v>
      </c>
      <c r="G1120" s="4">
        <v>30.5</v>
      </c>
      <c r="H1120" s="4">
        <v>101.6</v>
      </c>
      <c r="I1120" s="6">
        <v>7.2434575891148301</v>
      </c>
      <c r="J1120" s="5">
        <v>5.7000000000000002E-2</v>
      </c>
      <c r="K1120" s="4">
        <v>25.9</v>
      </c>
      <c r="L1120" s="4">
        <v>62</v>
      </c>
      <c r="M1120" s="6">
        <v>4.7984209531834043</v>
      </c>
      <c r="N1120" s="5">
        <v>5.1999999999999998E-2</v>
      </c>
      <c r="O1120" s="5">
        <v>2.4450366359314257</v>
      </c>
      <c r="P1120" s="5">
        <v>2.4450366359314257</v>
      </c>
      <c r="Q1120" s="8">
        <v>0.19791666666666666</v>
      </c>
      <c r="R1120" s="8">
        <v>0.88541666666666663</v>
      </c>
      <c r="S1120" s="6">
        <f t="shared" si="51"/>
        <v>16.5</v>
      </c>
      <c r="T1120" s="5">
        <f t="shared" si="52"/>
        <v>0.14818403854129852</v>
      </c>
      <c r="U1120" s="3">
        <v>2.21</v>
      </c>
      <c r="V1120" s="5">
        <f t="shared" si="53"/>
        <v>6.7051601149908838E-2</v>
      </c>
      <c r="W1120" s="3">
        <v>6.7051601149908838E-2</v>
      </c>
    </row>
    <row r="1121" spans="1:23" x14ac:dyDescent="0.55000000000000004">
      <c r="A1121" s="3">
        <v>35</v>
      </c>
      <c r="B1121" s="3" t="s">
        <v>51</v>
      </c>
      <c r="C1121" s="3" t="s">
        <v>50</v>
      </c>
      <c r="D1121" s="3" t="s">
        <v>9</v>
      </c>
      <c r="E1121" s="2" t="s">
        <v>24</v>
      </c>
      <c r="F1121" s="3">
        <v>44</v>
      </c>
      <c r="G1121" s="4">
        <v>25.5</v>
      </c>
      <c r="H1121" s="4">
        <v>100.3</v>
      </c>
      <c r="I1121" s="6">
        <v>7.8200915345434767</v>
      </c>
      <c r="J1121" s="5">
        <v>7.0000000000000007E-2</v>
      </c>
      <c r="K1121" s="4">
        <v>21.7</v>
      </c>
      <c r="L1121" s="4">
        <v>63.6</v>
      </c>
      <c r="M1121" s="6">
        <v>5.329818705915474</v>
      </c>
      <c r="N1121" s="5">
        <v>4.2999999999999997E-2</v>
      </c>
      <c r="O1121" s="5">
        <v>2.4902728286280027</v>
      </c>
      <c r="P1121" s="5">
        <v>2.4902728286280027</v>
      </c>
      <c r="Q1121" s="8">
        <v>0.20277777777777781</v>
      </c>
      <c r="R1121" s="8">
        <v>0.90277777777777779</v>
      </c>
      <c r="S1121" s="6">
        <f t="shared" si="51"/>
        <v>16.799999999999997</v>
      </c>
      <c r="T1121" s="5">
        <f t="shared" si="52"/>
        <v>0.1482305255135716</v>
      </c>
      <c r="U1121" s="3">
        <v>2.21</v>
      </c>
      <c r="V1121" s="5">
        <f t="shared" si="53"/>
        <v>6.7072635978991685E-2</v>
      </c>
      <c r="W1121" s="3">
        <v>6.7072635978991685E-2</v>
      </c>
    </row>
    <row r="1122" spans="1:23" x14ac:dyDescent="0.55000000000000004">
      <c r="A1122" s="3">
        <v>40</v>
      </c>
      <c r="B1122" s="3" t="s">
        <v>48</v>
      </c>
      <c r="C1122" s="3" t="s">
        <v>50</v>
      </c>
      <c r="D1122" s="3" t="s">
        <v>10</v>
      </c>
      <c r="E1122" s="3" t="s">
        <v>26</v>
      </c>
      <c r="F1122" s="3">
        <v>51</v>
      </c>
      <c r="G1122" s="4">
        <v>26.8</v>
      </c>
      <c r="H1122" s="4">
        <v>93.3</v>
      </c>
      <c r="I1122" s="6">
        <v>7.1029982558269058</v>
      </c>
      <c r="J1122" s="5">
        <v>6.4000000000000001E-2</v>
      </c>
      <c r="K1122" s="4">
        <v>24.2</v>
      </c>
      <c r="L1122" s="4">
        <v>59.2</v>
      </c>
      <c r="M1122" s="6">
        <v>4.7289907242501075</v>
      </c>
      <c r="N1122" s="5">
        <v>6.0999999999999999E-2</v>
      </c>
      <c r="O1122" s="5">
        <v>2.3740075315767983</v>
      </c>
      <c r="P1122" s="5">
        <v>2.3740075315767983</v>
      </c>
      <c r="Q1122" s="8">
        <v>0.20833333333333334</v>
      </c>
      <c r="R1122" s="8">
        <v>0.875</v>
      </c>
      <c r="S1122" s="6">
        <f t="shared" si="51"/>
        <v>16</v>
      </c>
      <c r="T1122" s="5">
        <f t="shared" si="52"/>
        <v>0.1483754707235499</v>
      </c>
      <c r="U1122" s="3">
        <v>2.21</v>
      </c>
      <c r="V1122" s="5">
        <f t="shared" si="53"/>
        <v>6.7138222046855156E-2</v>
      </c>
      <c r="W1122" s="3">
        <v>6.7138222046855156E-2</v>
      </c>
    </row>
    <row r="1123" spans="1:23" x14ac:dyDescent="0.55000000000000004">
      <c r="A1123" s="3">
        <v>28</v>
      </c>
      <c r="B1123" s="3" t="s">
        <v>53</v>
      </c>
      <c r="C1123" s="3" t="s">
        <v>50</v>
      </c>
      <c r="D1123" s="3" t="s">
        <v>11</v>
      </c>
      <c r="E1123" s="2" t="s">
        <v>22</v>
      </c>
      <c r="F1123" s="3">
        <v>37</v>
      </c>
      <c r="G1123" s="4">
        <v>29.4</v>
      </c>
      <c r="H1123" s="4">
        <v>102.7</v>
      </c>
      <c r="I1123" s="6">
        <v>7.4637359323715602</v>
      </c>
      <c r="J1123" s="5">
        <v>6.7000000000000004E-2</v>
      </c>
      <c r="K1123" s="4">
        <v>24.6</v>
      </c>
      <c r="L1123" s="4">
        <v>63.4</v>
      </c>
      <c r="M1123" s="6">
        <v>5.0265970677428262</v>
      </c>
      <c r="N1123" s="5">
        <v>6.2E-2</v>
      </c>
      <c r="O1123" s="5">
        <v>2.437138864628734</v>
      </c>
      <c r="P1123" s="5">
        <v>2.437138864628734</v>
      </c>
      <c r="Q1123" s="8">
        <v>0.20138888888888887</v>
      </c>
      <c r="R1123" s="8">
        <v>0.88541666666666663</v>
      </c>
      <c r="S1123" s="6">
        <f t="shared" si="51"/>
        <v>16.416666666666668</v>
      </c>
      <c r="T1123" s="5">
        <f t="shared" si="52"/>
        <v>0.1484551592667249</v>
      </c>
      <c r="U1123" s="3">
        <v>2.21</v>
      </c>
      <c r="V1123" s="5">
        <f t="shared" si="53"/>
        <v>6.7174280211187751E-2</v>
      </c>
      <c r="W1123" s="3">
        <v>6.7174280211187751E-2</v>
      </c>
    </row>
    <row r="1124" spans="1:23" x14ac:dyDescent="0.55000000000000004">
      <c r="A1124" s="3">
        <v>34</v>
      </c>
      <c r="B1124" s="3" t="s">
        <v>48</v>
      </c>
      <c r="C1124" s="3" t="s">
        <v>50</v>
      </c>
      <c r="D1124" s="3" t="s">
        <v>10</v>
      </c>
      <c r="E1124" s="3" t="s">
        <v>30</v>
      </c>
      <c r="F1124" s="3">
        <v>65</v>
      </c>
      <c r="G1124" s="4">
        <v>27.6</v>
      </c>
      <c r="H1124" s="4">
        <v>108.9</v>
      </c>
      <c r="I1124" s="6">
        <v>8.1716003056354634</v>
      </c>
      <c r="J1124" s="5">
        <v>7.1999999999999995E-2</v>
      </c>
      <c r="K1124" s="4">
        <v>22.8</v>
      </c>
      <c r="L1124" s="4">
        <v>70.2</v>
      </c>
      <c r="M1124" s="6">
        <v>5.758979131685634</v>
      </c>
      <c r="N1124" s="5">
        <v>6.3E-2</v>
      </c>
      <c r="O1124" s="5">
        <v>2.4126211739498293</v>
      </c>
      <c r="P1124" s="5">
        <v>2.4126211739498293</v>
      </c>
      <c r="Q1124" s="8">
        <v>0.20833333333333334</v>
      </c>
      <c r="R1124" s="8">
        <v>0.88541666666666663</v>
      </c>
      <c r="S1124" s="6">
        <f t="shared" si="51"/>
        <v>16.25</v>
      </c>
      <c r="T1124" s="5">
        <f t="shared" si="52"/>
        <v>0.1484689953199895</v>
      </c>
      <c r="U1124" s="3">
        <v>2.21</v>
      </c>
      <c r="V1124" s="5">
        <f t="shared" si="53"/>
        <v>6.7180540868773536E-2</v>
      </c>
      <c r="W1124" s="3">
        <v>6.7180540868773536E-2</v>
      </c>
    </row>
    <row r="1125" spans="1:23" x14ac:dyDescent="0.55000000000000004">
      <c r="A1125" s="3">
        <v>30</v>
      </c>
      <c r="B1125" s="3" t="s">
        <v>52</v>
      </c>
      <c r="C1125" s="3" t="s">
        <v>49</v>
      </c>
      <c r="D1125" s="3" t="s">
        <v>40</v>
      </c>
      <c r="E1125" s="2" t="s">
        <v>25</v>
      </c>
      <c r="F1125" s="3">
        <v>47</v>
      </c>
      <c r="G1125" s="4">
        <v>28.6</v>
      </c>
      <c r="H1125" s="4">
        <v>85.5</v>
      </c>
      <c r="I1125" s="6">
        <v>6.302120991825249</v>
      </c>
      <c r="J1125" s="5">
        <v>7.0000000000000007E-2</v>
      </c>
      <c r="K1125" s="4">
        <v>25.2</v>
      </c>
      <c r="L1125" s="4">
        <v>49.1</v>
      </c>
      <c r="M1125" s="6">
        <v>3.8495242829360476</v>
      </c>
      <c r="N1125" s="5">
        <v>6.7000000000000004E-2</v>
      </c>
      <c r="O1125" s="5">
        <v>2.4525967088892013</v>
      </c>
      <c r="P1125" s="5">
        <v>2.4525967088892013</v>
      </c>
      <c r="Q1125" s="8">
        <v>0.20833333333333334</v>
      </c>
      <c r="R1125" s="8">
        <v>0.89583333333333337</v>
      </c>
      <c r="S1125" s="6">
        <f t="shared" si="51"/>
        <v>16.5</v>
      </c>
      <c r="T1125" s="5">
        <f t="shared" si="52"/>
        <v>0.14864222478116371</v>
      </c>
      <c r="U1125" s="3">
        <v>2.21</v>
      </c>
      <c r="V1125" s="5">
        <f t="shared" si="53"/>
        <v>6.7258925240345574E-2</v>
      </c>
      <c r="W1125" s="3">
        <v>6.7258925240345574E-2</v>
      </c>
    </row>
    <row r="1126" spans="1:23" x14ac:dyDescent="0.55000000000000004">
      <c r="A1126" s="3">
        <v>59</v>
      </c>
      <c r="B1126" s="3" t="s">
        <v>52</v>
      </c>
      <c r="C1126" s="3" t="s">
        <v>49</v>
      </c>
      <c r="D1126" s="3" t="s">
        <v>40</v>
      </c>
      <c r="E1126" s="3" t="s">
        <v>27</v>
      </c>
      <c r="F1126" s="3">
        <v>54</v>
      </c>
      <c r="G1126" s="4">
        <v>28.3</v>
      </c>
      <c r="H1126" s="4">
        <v>100</v>
      </c>
      <c r="I1126" s="6">
        <v>7.4103305468267493</v>
      </c>
      <c r="J1126" s="5">
        <v>0.06</v>
      </c>
      <c r="K1126" s="4">
        <v>25</v>
      </c>
      <c r="L1126" s="4">
        <v>63</v>
      </c>
      <c r="M1126" s="6">
        <v>4.9577133876461339</v>
      </c>
      <c r="N1126" s="5">
        <v>5.7000000000000002E-2</v>
      </c>
      <c r="O1126" s="5">
        <v>2.4526171591806154</v>
      </c>
      <c r="P1126" s="5">
        <v>2.4526171591806154</v>
      </c>
      <c r="Q1126" s="8">
        <v>0.20833333333333334</v>
      </c>
      <c r="R1126" s="8">
        <v>0.89583333333333337</v>
      </c>
      <c r="S1126" s="6">
        <f t="shared" si="51"/>
        <v>16.5</v>
      </c>
      <c r="T1126" s="5">
        <f t="shared" si="52"/>
        <v>0.14864346419276456</v>
      </c>
      <c r="U1126" s="3">
        <v>2.21</v>
      </c>
      <c r="V1126" s="5">
        <f t="shared" si="53"/>
        <v>6.7259486060074467E-2</v>
      </c>
      <c r="W1126" s="3">
        <v>6.7259486060074467E-2</v>
      </c>
    </row>
    <row r="1127" spans="1:23" x14ac:dyDescent="0.55000000000000004">
      <c r="A1127" s="3">
        <v>53</v>
      </c>
      <c r="B1127" s="3" t="s">
        <v>48</v>
      </c>
      <c r="C1127" s="3" t="s">
        <v>49</v>
      </c>
      <c r="D1127" s="3" t="s">
        <v>38</v>
      </c>
      <c r="E1127" s="3" t="s">
        <v>32</v>
      </c>
      <c r="F1127" s="3">
        <v>72</v>
      </c>
      <c r="G1127" s="4">
        <v>29.1</v>
      </c>
      <c r="H1127" s="4">
        <v>100.4</v>
      </c>
      <c r="I1127" s="6">
        <v>7.3352122323186624</v>
      </c>
      <c r="J1127" s="5">
        <v>0.05</v>
      </c>
      <c r="K1127" s="4">
        <v>24.5</v>
      </c>
      <c r="L1127" s="4">
        <v>61.9</v>
      </c>
      <c r="M1127" s="6">
        <v>4.9168759857030322</v>
      </c>
      <c r="N1127" s="5">
        <v>0.05</v>
      </c>
      <c r="O1127" s="5">
        <v>2.4183362466156302</v>
      </c>
      <c r="P1127" s="5">
        <v>2.4183362466156302</v>
      </c>
      <c r="Q1127" s="8">
        <v>0.20833333333333334</v>
      </c>
      <c r="R1127" s="8">
        <v>0.88541666666666663</v>
      </c>
      <c r="S1127" s="6">
        <f t="shared" si="51"/>
        <v>16.25</v>
      </c>
      <c r="T1127" s="5">
        <f t="shared" si="52"/>
        <v>0.14882069209942339</v>
      </c>
      <c r="U1127" s="3">
        <v>2.21</v>
      </c>
      <c r="V1127" s="5">
        <f t="shared" si="53"/>
        <v>6.733967968299702E-2</v>
      </c>
      <c r="W1127" s="3">
        <v>6.733967968299702E-2</v>
      </c>
    </row>
    <row r="1128" spans="1:23" x14ac:dyDescent="0.55000000000000004">
      <c r="A1128" s="3">
        <v>38</v>
      </c>
      <c r="B1128" s="3" t="s">
        <v>51</v>
      </c>
      <c r="C1128" s="3" t="s">
        <v>49</v>
      </c>
      <c r="D1128" s="3" t="s">
        <v>39</v>
      </c>
      <c r="E1128" s="3" t="s">
        <v>30</v>
      </c>
      <c r="F1128" s="3">
        <v>65</v>
      </c>
      <c r="G1128" s="4">
        <v>27.9</v>
      </c>
      <c r="H1128" s="4">
        <v>121.6</v>
      </c>
      <c r="I1128" s="6">
        <v>9.075583562822068</v>
      </c>
      <c r="J1128" s="5">
        <v>5.7000000000000002E-2</v>
      </c>
      <c r="K1128" s="4">
        <v>23.5</v>
      </c>
      <c r="L1128" s="4">
        <v>82.2</v>
      </c>
      <c r="M1128" s="6">
        <v>6.6538179408850953</v>
      </c>
      <c r="N1128" s="5">
        <v>4.4999999999999998E-2</v>
      </c>
      <c r="O1128" s="5">
        <v>2.4217656219369728</v>
      </c>
      <c r="P1128" s="5">
        <v>2.4217656219369728</v>
      </c>
      <c r="Q1128" s="8">
        <v>0.20833333333333334</v>
      </c>
      <c r="R1128" s="8">
        <v>0.88541666666666663</v>
      </c>
      <c r="S1128" s="6">
        <f t="shared" si="51"/>
        <v>16.25</v>
      </c>
      <c r="T1128" s="5">
        <f t="shared" si="52"/>
        <v>0.14903173058073679</v>
      </c>
      <c r="U1128" s="3">
        <v>2.21</v>
      </c>
      <c r="V1128" s="5">
        <f t="shared" si="53"/>
        <v>6.7435172208478181E-2</v>
      </c>
      <c r="W1128" s="3">
        <v>6.7435172208478181E-2</v>
      </c>
    </row>
    <row r="1129" spans="1:23" x14ac:dyDescent="0.55000000000000004">
      <c r="A1129" s="3">
        <v>16</v>
      </c>
      <c r="B1129" s="3" t="s">
        <v>52</v>
      </c>
      <c r="C1129" s="3" t="s">
        <v>50</v>
      </c>
      <c r="D1129" s="3" t="s">
        <v>12</v>
      </c>
      <c r="E1129" s="2" t="s">
        <v>23</v>
      </c>
      <c r="F1129" s="3">
        <v>40</v>
      </c>
      <c r="G1129" s="4">
        <v>28.1</v>
      </c>
      <c r="H1129" s="4">
        <v>89.3</v>
      </c>
      <c r="I1129" s="6">
        <v>6.6410800300745656</v>
      </c>
      <c r="J1129" s="5">
        <v>5.3999999999999999E-2</v>
      </c>
      <c r="K1129" s="4">
        <v>23.8</v>
      </c>
      <c r="L1129" s="4">
        <v>52.2</v>
      </c>
      <c r="M1129" s="6">
        <v>4.201432652484808</v>
      </c>
      <c r="N1129" s="5">
        <v>5.3999999999999999E-2</v>
      </c>
      <c r="O1129" s="5">
        <v>2.4396473775897576</v>
      </c>
      <c r="P1129" s="5">
        <v>2.4396473775897576</v>
      </c>
      <c r="Q1129" s="8">
        <v>0.20833333333333334</v>
      </c>
      <c r="R1129" s="8">
        <v>0.89027777777777783</v>
      </c>
      <c r="S1129" s="6">
        <f t="shared" si="51"/>
        <v>16.366666666666667</v>
      </c>
      <c r="T1129" s="5">
        <f t="shared" si="52"/>
        <v>0.1490619578975412</v>
      </c>
      <c r="U1129" s="3">
        <v>2.21</v>
      </c>
      <c r="V1129" s="5">
        <f t="shared" si="53"/>
        <v>6.7448849727394206E-2</v>
      </c>
      <c r="W1129" s="3">
        <v>6.7448849727394206E-2</v>
      </c>
    </row>
    <row r="1130" spans="1:23" x14ac:dyDescent="0.55000000000000004">
      <c r="A1130" s="3">
        <v>38</v>
      </c>
      <c r="B1130" s="3" t="s">
        <v>51</v>
      </c>
      <c r="C1130" s="3" t="s">
        <v>49</v>
      </c>
      <c r="D1130" s="3" t="s">
        <v>39</v>
      </c>
      <c r="E1130" s="3" t="s">
        <v>26</v>
      </c>
      <c r="F1130" s="3">
        <v>51</v>
      </c>
      <c r="G1130" s="4">
        <v>26.8</v>
      </c>
      <c r="H1130" s="4">
        <v>102.4</v>
      </c>
      <c r="I1130" s="6">
        <v>7.795788010682478</v>
      </c>
      <c r="J1130" s="5">
        <v>6.0999999999999999E-2</v>
      </c>
      <c r="K1130" s="4">
        <v>24.8</v>
      </c>
      <c r="L1130" s="4">
        <v>68.400000000000006</v>
      </c>
      <c r="M1130" s="6">
        <v>5.4027728335277061</v>
      </c>
      <c r="N1130" s="5">
        <v>5.6000000000000001E-2</v>
      </c>
      <c r="O1130" s="5">
        <v>2.3930151771547719</v>
      </c>
      <c r="P1130" s="5">
        <v>2.3930151771547719</v>
      </c>
      <c r="Q1130" s="8">
        <v>0.20833333333333334</v>
      </c>
      <c r="R1130" s="8">
        <v>0.875</v>
      </c>
      <c r="S1130" s="6">
        <f t="shared" si="51"/>
        <v>16</v>
      </c>
      <c r="T1130" s="5">
        <f t="shared" si="52"/>
        <v>0.14956344857217324</v>
      </c>
      <c r="U1130" s="3">
        <v>2.21</v>
      </c>
      <c r="V1130" s="5">
        <f t="shared" si="53"/>
        <v>6.7675768584693777E-2</v>
      </c>
      <c r="W1130" s="3">
        <v>6.7675768584693777E-2</v>
      </c>
    </row>
    <row r="1131" spans="1:23" x14ac:dyDescent="0.55000000000000004">
      <c r="A1131" s="3">
        <v>20</v>
      </c>
      <c r="B1131" s="3" t="s">
        <v>52</v>
      </c>
      <c r="C1131" s="3" t="s">
        <v>50</v>
      </c>
      <c r="D1131" s="3" t="s">
        <v>12</v>
      </c>
      <c r="E1131" s="3" t="s">
        <v>31</v>
      </c>
      <c r="F1131" s="3">
        <v>68</v>
      </c>
      <c r="G1131" s="4">
        <v>25.4</v>
      </c>
      <c r="H1131" s="4">
        <v>79.8</v>
      </c>
      <c r="I1131" s="6">
        <v>6.2332936251693978</v>
      </c>
      <c r="J1131" s="5">
        <v>3.3000000000000002E-2</v>
      </c>
      <c r="K1131" s="4">
        <v>24.2</v>
      </c>
      <c r="L1131" s="4">
        <v>47.5</v>
      </c>
      <c r="M1131" s="6">
        <v>3.7943760034101373</v>
      </c>
      <c r="N1131" s="5">
        <v>3.5999999999999997E-2</v>
      </c>
      <c r="O1131" s="5">
        <v>2.4389176217592605</v>
      </c>
      <c r="P1131" s="5">
        <v>2.4389176217592605</v>
      </c>
      <c r="Q1131" s="8">
        <v>0.20833333333333334</v>
      </c>
      <c r="R1131" s="8">
        <v>0.88541666666666663</v>
      </c>
      <c r="S1131" s="6">
        <f t="shared" si="51"/>
        <v>16.25</v>
      </c>
      <c r="T1131" s="5">
        <f t="shared" si="52"/>
        <v>0.15008723826210835</v>
      </c>
      <c r="U1131" s="3">
        <v>2.21</v>
      </c>
      <c r="V1131" s="5">
        <f t="shared" si="53"/>
        <v>6.7912777494166673E-2</v>
      </c>
      <c r="W1131" s="3">
        <v>6.7912777494166673E-2</v>
      </c>
    </row>
    <row r="1132" spans="1:23" x14ac:dyDescent="0.55000000000000004">
      <c r="A1132" s="3">
        <v>11</v>
      </c>
      <c r="B1132" s="3" t="s">
        <v>53</v>
      </c>
      <c r="C1132" s="3" t="s">
        <v>49</v>
      </c>
      <c r="D1132" s="3" t="s">
        <v>41</v>
      </c>
      <c r="E1132" s="3" t="s">
        <v>34</v>
      </c>
      <c r="F1132" s="3">
        <v>79</v>
      </c>
      <c r="G1132" s="4">
        <v>27.8</v>
      </c>
      <c r="H1132" s="4">
        <v>76.400000000000006</v>
      </c>
      <c r="I1132" s="6">
        <v>5.7123227421282516</v>
      </c>
      <c r="J1132" s="5">
        <v>5.2999999999999999E-2</v>
      </c>
      <c r="K1132" s="4">
        <v>24.5</v>
      </c>
      <c r="L1132" s="4">
        <v>41.2</v>
      </c>
      <c r="M1132" s="6">
        <v>3.2726218192401446</v>
      </c>
      <c r="N1132" s="5">
        <v>5.3999999999999999E-2</v>
      </c>
      <c r="O1132" s="5">
        <v>2.439700922888107</v>
      </c>
      <c r="P1132" s="5">
        <v>2.439700922888107</v>
      </c>
      <c r="Q1132" s="8">
        <v>0.20833333333333334</v>
      </c>
      <c r="R1132" s="8">
        <v>0.88541666666666663</v>
      </c>
      <c r="S1132" s="6">
        <f t="shared" si="51"/>
        <v>16.25</v>
      </c>
      <c r="T1132" s="5">
        <f t="shared" si="52"/>
        <v>0.15013544140849888</v>
      </c>
      <c r="U1132" s="3">
        <v>2.21</v>
      </c>
      <c r="V1132" s="5">
        <f t="shared" si="53"/>
        <v>6.7934588872623936E-2</v>
      </c>
      <c r="W1132" s="3">
        <v>6.7934588872623936E-2</v>
      </c>
    </row>
    <row r="1133" spans="1:23" x14ac:dyDescent="0.55000000000000004">
      <c r="A1133" s="3">
        <v>63</v>
      </c>
      <c r="B1133" s="3" t="s">
        <v>51</v>
      </c>
      <c r="C1133" s="3" t="s">
        <v>49</v>
      </c>
      <c r="D1133" s="3" t="s">
        <v>39</v>
      </c>
      <c r="E1133" s="3" t="s">
        <v>26</v>
      </c>
      <c r="F1133" s="3">
        <v>51</v>
      </c>
      <c r="G1133" s="4">
        <v>26.8</v>
      </c>
      <c r="H1133" s="4">
        <v>107.8</v>
      </c>
      <c r="I1133" s="6">
        <v>8.2068940190583106</v>
      </c>
      <c r="J1133" s="5">
        <v>5.7000000000000002E-2</v>
      </c>
      <c r="K1133" s="4">
        <v>24.6</v>
      </c>
      <c r="L1133" s="4">
        <v>73.2</v>
      </c>
      <c r="M1133" s="6">
        <v>5.8035789488765763</v>
      </c>
      <c r="N1133" s="5">
        <v>5.6000000000000001E-2</v>
      </c>
      <c r="O1133" s="5">
        <v>2.4033150701817343</v>
      </c>
      <c r="P1133" s="5">
        <v>2.4033150701817343</v>
      </c>
      <c r="Q1133" s="8">
        <v>0.20833333333333334</v>
      </c>
      <c r="R1133" s="8">
        <v>0.875</v>
      </c>
      <c r="S1133" s="6">
        <f t="shared" si="51"/>
        <v>16</v>
      </c>
      <c r="T1133" s="5">
        <f t="shared" si="52"/>
        <v>0.15020719188635839</v>
      </c>
      <c r="U1133" s="3">
        <v>2.21</v>
      </c>
      <c r="V1133" s="5">
        <f t="shared" si="53"/>
        <v>6.7967055152198363E-2</v>
      </c>
      <c r="W1133" s="3">
        <v>6.7967055152198363E-2</v>
      </c>
    </row>
    <row r="1134" spans="1:23" x14ac:dyDescent="0.55000000000000004">
      <c r="A1134" s="3">
        <v>64</v>
      </c>
      <c r="B1134" s="3" t="s">
        <v>53</v>
      </c>
      <c r="C1134" s="3" t="s">
        <v>50</v>
      </c>
      <c r="D1134" s="3" t="s">
        <v>11</v>
      </c>
      <c r="E1134" s="3" t="s">
        <v>28</v>
      </c>
      <c r="F1134" s="3">
        <v>58</v>
      </c>
      <c r="G1134" s="4">
        <v>28.2</v>
      </c>
      <c r="H1134" s="4">
        <v>97.4</v>
      </c>
      <c r="I1134" s="6">
        <v>7.2305422673520763</v>
      </c>
      <c r="J1134" s="5">
        <v>6.2E-2</v>
      </c>
      <c r="K1134" s="4">
        <v>23.7</v>
      </c>
      <c r="L1134" s="4">
        <v>59.2</v>
      </c>
      <c r="M1134" s="6">
        <v>4.773880218096723</v>
      </c>
      <c r="N1134" s="5">
        <v>5.8999999999999997E-2</v>
      </c>
      <c r="O1134" s="5">
        <v>2.4566620492553533</v>
      </c>
      <c r="P1134" s="5">
        <v>2.4566620492553533</v>
      </c>
      <c r="Q1134" s="8">
        <v>0.20833333333333334</v>
      </c>
      <c r="R1134" s="8">
        <v>0.88888888888888884</v>
      </c>
      <c r="S1134" s="6">
        <f t="shared" si="51"/>
        <v>16.333333333333332</v>
      </c>
      <c r="T1134" s="5">
        <f t="shared" si="52"/>
        <v>0.1504078805666543</v>
      </c>
      <c r="U1134" s="3">
        <v>2.21</v>
      </c>
      <c r="V1134" s="5">
        <f t="shared" si="53"/>
        <v>6.8057864509798324E-2</v>
      </c>
      <c r="W1134" s="3">
        <v>6.8057864509798324E-2</v>
      </c>
    </row>
    <row r="1135" spans="1:23" x14ac:dyDescent="0.55000000000000004">
      <c r="A1135" s="3">
        <v>56</v>
      </c>
      <c r="B1135" s="3" t="s">
        <v>53</v>
      </c>
      <c r="C1135" s="3" t="s">
        <v>49</v>
      </c>
      <c r="D1135" s="3" t="s">
        <v>41</v>
      </c>
      <c r="E1135" s="2" t="s">
        <v>23</v>
      </c>
      <c r="F1135" s="3">
        <v>40</v>
      </c>
      <c r="G1135" s="4">
        <v>28.9</v>
      </c>
      <c r="H1135" s="4">
        <v>101.7</v>
      </c>
      <c r="I1135" s="6">
        <v>7.4564757494991758</v>
      </c>
      <c r="J1135" s="5">
        <v>5.0999999999999997E-2</v>
      </c>
      <c r="K1135" s="4">
        <v>24.3</v>
      </c>
      <c r="L1135" s="4">
        <v>62.6</v>
      </c>
      <c r="M1135" s="6">
        <v>4.9911877330844536</v>
      </c>
      <c r="N1135" s="5">
        <v>0.05</v>
      </c>
      <c r="O1135" s="5">
        <v>2.4652880164147222</v>
      </c>
      <c r="P1135" s="5">
        <v>2.4652880164147222</v>
      </c>
      <c r="Q1135" s="8">
        <v>0.20833333333333334</v>
      </c>
      <c r="R1135" s="8">
        <v>0.89027777777777783</v>
      </c>
      <c r="S1135" s="6">
        <f t="shared" si="51"/>
        <v>16.366666666666667</v>
      </c>
      <c r="T1135" s="5">
        <f t="shared" si="52"/>
        <v>0.15062859570762049</v>
      </c>
      <c r="U1135" s="3">
        <v>2.21</v>
      </c>
      <c r="V1135" s="5">
        <f t="shared" si="53"/>
        <v>6.8157735614307921E-2</v>
      </c>
      <c r="W1135" s="3">
        <v>6.8157735614307921E-2</v>
      </c>
    </row>
    <row r="1136" spans="1:23" x14ac:dyDescent="0.55000000000000004">
      <c r="A1136" s="3">
        <v>8</v>
      </c>
      <c r="B1136" s="3" t="s">
        <v>51</v>
      </c>
      <c r="C1136" s="3" t="s">
        <v>50</v>
      </c>
      <c r="D1136" s="3" t="s">
        <v>9</v>
      </c>
      <c r="E1136" s="2" t="s">
        <v>23</v>
      </c>
      <c r="F1136" s="3">
        <v>40</v>
      </c>
      <c r="G1136" s="4">
        <v>28.1</v>
      </c>
      <c r="H1136" s="4">
        <v>102.6</v>
      </c>
      <c r="I1136" s="6">
        <v>7.6301770558303508</v>
      </c>
      <c r="J1136" s="5">
        <v>0.04</v>
      </c>
      <c r="K1136" s="4">
        <v>23.5</v>
      </c>
      <c r="L1136" s="4">
        <v>63.8</v>
      </c>
      <c r="M1136" s="6">
        <v>5.1643988397623968</v>
      </c>
      <c r="N1136" s="5">
        <v>3.7999999999999999E-2</v>
      </c>
      <c r="O1136" s="5">
        <v>2.465778216067954</v>
      </c>
      <c r="P1136" s="5">
        <v>2.465778216067954</v>
      </c>
      <c r="Q1136" s="8">
        <v>0.20833333333333334</v>
      </c>
      <c r="R1136" s="8">
        <v>0.89027777777777783</v>
      </c>
      <c r="S1136" s="6">
        <f t="shared" si="51"/>
        <v>16.366666666666667</v>
      </c>
      <c r="T1136" s="5">
        <f t="shared" si="52"/>
        <v>0.15065854680659596</v>
      </c>
      <c r="U1136" s="3">
        <v>2.21</v>
      </c>
      <c r="V1136" s="5">
        <f t="shared" si="53"/>
        <v>6.8171288147780978E-2</v>
      </c>
      <c r="W1136" s="3">
        <v>6.8171288147780978E-2</v>
      </c>
    </row>
    <row r="1137" spans="1:23" x14ac:dyDescent="0.55000000000000004">
      <c r="A1137" s="3">
        <v>63</v>
      </c>
      <c r="B1137" s="3" t="s">
        <v>51</v>
      </c>
      <c r="C1137" s="3" t="s">
        <v>49</v>
      </c>
      <c r="D1137" s="3" t="s">
        <v>39</v>
      </c>
      <c r="E1137" s="3" t="s">
        <v>28</v>
      </c>
      <c r="F1137" s="3">
        <v>58</v>
      </c>
      <c r="G1137" s="4">
        <v>28.7</v>
      </c>
      <c r="H1137" s="4">
        <v>111.9</v>
      </c>
      <c r="I1137" s="6">
        <v>8.2334223013175212</v>
      </c>
      <c r="J1137" s="5">
        <v>4.5999999999999999E-2</v>
      </c>
      <c r="K1137" s="4">
        <v>24.3</v>
      </c>
      <c r="L1137" s="4">
        <v>72.400000000000006</v>
      </c>
      <c r="M1137" s="6">
        <v>5.7725557807558232</v>
      </c>
      <c r="N1137" s="5">
        <v>0.05</v>
      </c>
      <c r="O1137" s="5">
        <v>2.460866520561698</v>
      </c>
      <c r="P1137" s="5">
        <v>2.460866520561698</v>
      </c>
      <c r="Q1137" s="8">
        <v>0.20833333333333334</v>
      </c>
      <c r="R1137" s="8">
        <v>0.88888888888888884</v>
      </c>
      <c r="S1137" s="6">
        <f t="shared" si="51"/>
        <v>16.333333333333332</v>
      </c>
      <c r="T1137" s="5">
        <f t="shared" si="52"/>
        <v>0.15066529717724683</v>
      </c>
      <c r="U1137" s="3">
        <v>2.21</v>
      </c>
      <c r="V1137" s="5">
        <f t="shared" si="53"/>
        <v>6.8174342614138836E-2</v>
      </c>
      <c r="W1137" s="3">
        <v>6.8174342614138836E-2</v>
      </c>
    </row>
    <row r="1138" spans="1:23" x14ac:dyDescent="0.55000000000000004">
      <c r="A1138" s="3">
        <v>33</v>
      </c>
      <c r="B1138" s="3" t="s">
        <v>51</v>
      </c>
      <c r="C1138" s="3" t="s">
        <v>50</v>
      </c>
      <c r="D1138" s="3" t="s">
        <v>9</v>
      </c>
      <c r="E1138" s="2" t="s">
        <v>20</v>
      </c>
      <c r="F1138" s="3">
        <v>30</v>
      </c>
      <c r="G1138" s="4">
        <v>27.5</v>
      </c>
      <c r="H1138" s="4">
        <v>112.8</v>
      </c>
      <c r="I1138" s="6">
        <v>8.4794914507682364</v>
      </c>
      <c r="J1138" s="5">
        <v>5.6000000000000001E-2</v>
      </c>
      <c r="K1138" s="4">
        <v>24.2</v>
      </c>
      <c r="L1138" s="4">
        <v>75.5</v>
      </c>
      <c r="M1138" s="6">
        <v>6.0310608054203225</v>
      </c>
      <c r="N1138" s="5">
        <v>0.05</v>
      </c>
      <c r="O1138" s="5">
        <v>2.4484306453479139</v>
      </c>
      <c r="P1138" s="5">
        <v>2.4484306453479139</v>
      </c>
      <c r="Q1138" s="8">
        <v>0.20833333333333334</v>
      </c>
      <c r="R1138" s="8">
        <v>0.88541666666666663</v>
      </c>
      <c r="S1138" s="6">
        <f t="shared" si="51"/>
        <v>16.25</v>
      </c>
      <c r="T1138" s="5">
        <f t="shared" si="52"/>
        <v>0.15067265509833316</v>
      </c>
      <c r="U1138" s="3">
        <v>2.21</v>
      </c>
      <c r="V1138" s="5">
        <f t="shared" si="53"/>
        <v>6.8177671990196004E-2</v>
      </c>
      <c r="W1138" s="3">
        <v>6.8177671990196004E-2</v>
      </c>
    </row>
    <row r="1139" spans="1:23" x14ac:dyDescent="0.55000000000000004">
      <c r="A1139" s="3">
        <v>26</v>
      </c>
      <c r="B1139" s="3" t="s">
        <v>52</v>
      </c>
      <c r="C1139" s="3" t="s">
        <v>50</v>
      </c>
      <c r="D1139" s="3" t="s">
        <v>12</v>
      </c>
      <c r="E1139" s="3" t="s">
        <v>28</v>
      </c>
      <c r="F1139" s="3">
        <v>58</v>
      </c>
      <c r="G1139" s="4">
        <v>28.9</v>
      </c>
      <c r="H1139" s="4">
        <v>95.1</v>
      </c>
      <c r="I1139" s="6">
        <v>6.9725746684107328</v>
      </c>
      <c r="J1139" s="5">
        <v>3.9E-2</v>
      </c>
      <c r="K1139" s="4">
        <v>24.9</v>
      </c>
      <c r="L1139" s="4">
        <v>57.1</v>
      </c>
      <c r="M1139" s="6">
        <v>4.5018009368231899</v>
      </c>
      <c r="N1139" s="5">
        <v>3.9E-2</v>
      </c>
      <c r="O1139" s="5">
        <v>2.4707737315875429</v>
      </c>
      <c r="P1139" s="5">
        <v>2.4707737315875429</v>
      </c>
      <c r="Q1139" s="8">
        <v>0.20833333333333334</v>
      </c>
      <c r="R1139" s="8">
        <v>0.88888888888888884</v>
      </c>
      <c r="S1139" s="6">
        <f t="shared" si="51"/>
        <v>16.333333333333332</v>
      </c>
      <c r="T1139" s="5">
        <f t="shared" si="52"/>
        <v>0.15127186111760468</v>
      </c>
      <c r="U1139" s="3">
        <v>2.21</v>
      </c>
      <c r="V1139" s="5">
        <f t="shared" si="53"/>
        <v>6.8448805935567722E-2</v>
      </c>
      <c r="W1139" s="3">
        <v>6.8448805935567722E-2</v>
      </c>
    </row>
    <row r="1140" spans="1:23" x14ac:dyDescent="0.55000000000000004">
      <c r="A1140" s="3">
        <v>40</v>
      </c>
      <c r="B1140" s="3" t="s">
        <v>48</v>
      </c>
      <c r="C1140" s="3" t="s">
        <v>50</v>
      </c>
      <c r="D1140" s="3" t="s">
        <v>10</v>
      </c>
      <c r="E1140" s="3" t="s">
        <v>29</v>
      </c>
      <c r="F1140" s="3">
        <v>61</v>
      </c>
      <c r="G1140" s="4">
        <v>29.2</v>
      </c>
      <c r="H1140" s="4">
        <v>96.4</v>
      </c>
      <c r="I1140" s="6">
        <v>7.0305716882013165</v>
      </c>
      <c r="J1140" s="5">
        <v>6.2E-2</v>
      </c>
      <c r="K1140" s="4">
        <v>24.9</v>
      </c>
      <c r="L1140" s="4">
        <v>57.5</v>
      </c>
      <c r="M1140" s="6">
        <v>4.5333371955750161</v>
      </c>
      <c r="N1140" s="5">
        <v>5.7000000000000002E-2</v>
      </c>
      <c r="O1140" s="5">
        <v>2.4972344926263004</v>
      </c>
      <c r="P1140" s="5">
        <v>2.4972344926263004</v>
      </c>
      <c r="Q1140" s="8">
        <v>0.19791666666666666</v>
      </c>
      <c r="R1140" s="8">
        <v>0.88541666666666663</v>
      </c>
      <c r="S1140" s="6">
        <f t="shared" si="51"/>
        <v>16.5</v>
      </c>
      <c r="T1140" s="5">
        <f t="shared" si="52"/>
        <v>0.15134754500765457</v>
      </c>
      <c r="U1140" s="3">
        <v>2.21</v>
      </c>
      <c r="V1140" s="5">
        <f t="shared" si="53"/>
        <v>6.8483052039662692E-2</v>
      </c>
      <c r="W1140" s="3">
        <v>6.8483052039662692E-2</v>
      </c>
    </row>
    <row r="1141" spans="1:23" x14ac:dyDescent="0.55000000000000004">
      <c r="A1141" s="3">
        <v>30</v>
      </c>
      <c r="B1141" s="3" t="s">
        <v>52</v>
      </c>
      <c r="C1141" s="3" t="s">
        <v>49</v>
      </c>
      <c r="D1141" s="3" t="s">
        <v>40</v>
      </c>
      <c r="E1141" s="3" t="s">
        <v>31</v>
      </c>
      <c r="F1141" s="3">
        <v>68</v>
      </c>
      <c r="G1141" s="4">
        <v>25.7</v>
      </c>
      <c r="H1141" s="4">
        <v>83.6</v>
      </c>
      <c r="I1141" s="6">
        <v>6.4940089179073235</v>
      </c>
      <c r="J1141" s="5">
        <v>7.6999999999999999E-2</v>
      </c>
      <c r="K1141" s="4">
        <v>24.1</v>
      </c>
      <c r="L1141" s="4">
        <v>50.4</v>
      </c>
      <c r="M1141" s="6">
        <v>4.0336258658219046</v>
      </c>
      <c r="N1141" s="5">
        <v>7.5999999999999998E-2</v>
      </c>
      <c r="O1141" s="5">
        <v>2.4603830520854189</v>
      </c>
      <c r="P1141" s="5">
        <v>2.4603830520854189</v>
      </c>
      <c r="Q1141" s="8">
        <v>0.20833333333333334</v>
      </c>
      <c r="R1141" s="8">
        <v>0.88541666666666663</v>
      </c>
      <c r="S1141" s="6">
        <f t="shared" si="51"/>
        <v>16.25</v>
      </c>
      <c r="T1141" s="5">
        <f t="shared" si="52"/>
        <v>0.15140818782064117</v>
      </c>
      <c r="U1141" s="3">
        <v>2.21</v>
      </c>
      <c r="V1141" s="5">
        <f t="shared" si="53"/>
        <v>6.8510492226534464E-2</v>
      </c>
      <c r="W1141" s="3">
        <v>6.8510492226534464E-2</v>
      </c>
    </row>
    <row r="1142" spans="1:23" x14ac:dyDescent="0.55000000000000004">
      <c r="A1142" s="3">
        <v>6</v>
      </c>
      <c r="B1142" s="3" t="s">
        <v>51</v>
      </c>
      <c r="C1142" s="3" t="s">
        <v>49</v>
      </c>
      <c r="D1142" s="3" t="s">
        <v>39</v>
      </c>
      <c r="E1142" s="3" t="s">
        <v>26</v>
      </c>
      <c r="F1142" s="3">
        <v>51</v>
      </c>
      <c r="G1142" s="4">
        <v>27.8</v>
      </c>
      <c r="H1142" s="4">
        <v>108.9</v>
      </c>
      <c r="I1142" s="6">
        <v>8.1423029662011324</v>
      </c>
      <c r="J1142" s="5">
        <v>6.0999999999999999E-2</v>
      </c>
      <c r="K1142" s="4">
        <v>24.5</v>
      </c>
      <c r="L1142" s="4">
        <v>72</v>
      </c>
      <c r="M1142" s="6">
        <v>5.7191449268274361</v>
      </c>
      <c r="N1142" s="5">
        <v>5.8000000000000003E-2</v>
      </c>
      <c r="O1142" s="5">
        <v>2.4231580393736962</v>
      </c>
      <c r="P1142" s="5">
        <v>2.4231580393736962</v>
      </c>
      <c r="Q1142" s="8">
        <v>0.20833333333333334</v>
      </c>
      <c r="R1142" s="8">
        <v>0.875</v>
      </c>
      <c r="S1142" s="6">
        <f t="shared" si="51"/>
        <v>16</v>
      </c>
      <c r="T1142" s="5">
        <f t="shared" si="52"/>
        <v>0.15144737746085601</v>
      </c>
      <c r="U1142" s="3">
        <v>2.21</v>
      </c>
      <c r="V1142" s="5">
        <f t="shared" si="53"/>
        <v>6.8528225095409956E-2</v>
      </c>
      <c r="W1142" s="3">
        <v>6.8528225095409956E-2</v>
      </c>
    </row>
    <row r="1143" spans="1:23" x14ac:dyDescent="0.55000000000000004">
      <c r="A1143" s="3">
        <v>60</v>
      </c>
      <c r="B1143" s="3" t="s">
        <v>51</v>
      </c>
      <c r="C1143" s="3" t="s">
        <v>49</v>
      </c>
      <c r="D1143" s="3" t="s">
        <v>39</v>
      </c>
      <c r="E1143" s="3" t="s">
        <v>34</v>
      </c>
      <c r="F1143" s="3">
        <v>79</v>
      </c>
      <c r="G1143" s="4">
        <v>28.9</v>
      </c>
      <c r="H1143" s="4">
        <v>89.5</v>
      </c>
      <c r="I1143" s="6">
        <v>6.5619919329417522</v>
      </c>
      <c r="J1143" s="5">
        <v>5.8000000000000003E-2</v>
      </c>
      <c r="K1143" s="4">
        <v>25.5</v>
      </c>
      <c r="L1143" s="4">
        <v>52.5</v>
      </c>
      <c r="M1143" s="6">
        <v>4.0932682508826774</v>
      </c>
      <c r="N1143" s="5">
        <v>5.3999999999999999E-2</v>
      </c>
      <c r="O1143" s="5">
        <v>2.4687236820590748</v>
      </c>
      <c r="P1143" s="5">
        <v>2.4687236820590748</v>
      </c>
      <c r="Q1143" s="8">
        <v>0.20833333333333334</v>
      </c>
      <c r="R1143" s="8">
        <v>0.88541666666666663</v>
      </c>
      <c r="S1143" s="6">
        <f t="shared" si="51"/>
        <v>16.25</v>
      </c>
      <c r="T1143" s="5">
        <f t="shared" si="52"/>
        <v>0.15192145735748153</v>
      </c>
      <c r="U1143" s="3">
        <v>2.21</v>
      </c>
      <c r="V1143" s="5">
        <f t="shared" si="53"/>
        <v>6.8742740885738257E-2</v>
      </c>
      <c r="W1143" s="3">
        <v>6.8742740885738257E-2</v>
      </c>
    </row>
    <row r="1144" spans="1:23" x14ac:dyDescent="0.55000000000000004">
      <c r="A1144" s="3">
        <v>55</v>
      </c>
      <c r="B1144" s="3" t="s">
        <v>52</v>
      </c>
      <c r="C1144" s="3" t="s">
        <v>49</v>
      </c>
      <c r="D1144" s="3" t="s">
        <v>40</v>
      </c>
      <c r="E1144" s="3" t="s">
        <v>31</v>
      </c>
      <c r="F1144" s="3">
        <v>68</v>
      </c>
      <c r="G1144" s="4">
        <v>25.6</v>
      </c>
      <c r="H1144" s="4">
        <v>85</v>
      </c>
      <c r="I1144" s="6">
        <v>6.6149586448907192</v>
      </c>
      <c r="J1144" s="5">
        <v>6.0999999999999999E-2</v>
      </c>
      <c r="K1144" s="4">
        <v>24.3</v>
      </c>
      <c r="L1144" s="4">
        <v>52</v>
      </c>
      <c r="M1144" s="6">
        <v>4.1460345386644022</v>
      </c>
      <c r="N1144" s="5">
        <v>6.0999999999999999E-2</v>
      </c>
      <c r="O1144" s="5">
        <v>2.468924106226317</v>
      </c>
      <c r="P1144" s="5">
        <v>2.468924106226317</v>
      </c>
      <c r="Q1144" s="8">
        <v>0.20833333333333334</v>
      </c>
      <c r="R1144" s="8">
        <v>0.88541666666666663</v>
      </c>
      <c r="S1144" s="6">
        <f t="shared" si="51"/>
        <v>16.25</v>
      </c>
      <c r="T1144" s="5">
        <f t="shared" si="52"/>
        <v>0.15193379115238873</v>
      </c>
      <c r="U1144" s="3">
        <v>2.21</v>
      </c>
      <c r="V1144" s="5">
        <f t="shared" si="53"/>
        <v>6.8748321788411199E-2</v>
      </c>
      <c r="W1144" s="3">
        <v>6.8748321788411199E-2</v>
      </c>
    </row>
    <row r="1145" spans="1:23" x14ac:dyDescent="0.55000000000000004">
      <c r="A1145" s="3">
        <v>23</v>
      </c>
      <c r="B1145" s="3" t="s">
        <v>52</v>
      </c>
      <c r="C1145" s="3" t="s">
        <v>49</v>
      </c>
      <c r="D1145" s="3" t="s">
        <v>40</v>
      </c>
      <c r="E1145" s="3" t="s">
        <v>27</v>
      </c>
      <c r="F1145" s="3">
        <v>54</v>
      </c>
      <c r="G1145" s="4">
        <v>27.3</v>
      </c>
      <c r="H1145" s="4">
        <v>88.1</v>
      </c>
      <c r="I1145" s="6">
        <v>6.6466476315364336</v>
      </c>
      <c r="J1145" s="5">
        <v>6.6000000000000003E-2</v>
      </c>
      <c r="K1145" s="4">
        <v>24.2</v>
      </c>
      <c r="L1145" s="4">
        <v>51.8</v>
      </c>
      <c r="M1145" s="6">
        <v>4.1378668837188437</v>
      </c>
      <c r="N1145" s="5">
        <v>6.7000000000000004E-2</v>
      </c>
      <c r="O1145" s="5">
        <v>2.5087807478175899</v>
      </c>
      <c r="P1145" s="5">
        <v>2.5087807478175899</v>
      </c>
      <c r="Q1145" s="8">
        <v>0.20833333333333334</v>
      </c>
      <c r="R1145" s="8">
        <v>0.89583333333333337</v>
      </c>
      <c r="S1145" s="6">
        <f t="shared" si="51"/>
        <v>16.5</v>
      </c>
      <c r="T1145" s="5">
        <f t="shared" si="52"/>
        <v>0.15204731804955091</v>
      </c>
      <c r="U1145" s="3">
        <v>2.21</v>
      </c>
      <c r="V1145" s="5">
        <f t="shared" si="53"/>
        <v>6.8799691425136159E-2</v>
      </c>
      <c r="W1145" s="3">
        <v>6.8799691425136159E-2</v>
      </c>
    </row>
    <row r="1146" spans="1:23" x14ac:dyDescent="0.55000000000000004">
      <c r="A1146" s="3">
        <v>60</v>
      </c>
      <c r="B1146" s="3" t="s">
        <v>51</v>
      </c>
      <c r="C1146" s="3" t="s">
        <v>49</v>
      </c>
      <c r="D1146" s="3" t="s">
        <v>39</v>
      </c>
      <c r="E1146" s="3" t="s">
        <v>26</v>
      </c>
      <c r="F1146" s="3">
        <v>51</v>
      </c>
      <c r="G1146" s="4">
        <v>27.1</v>
      </c>
      <c r="H1146" s="4">
        <v>108.1</v>
      </c>
      <c r="I1146" s="6">
        <v>8.1850744262378079</v>
      </c>
      <c r="J1146" s="5">
        <v>6.4000000000000001E-2</v>
      </c>
      <c r="K1146" s="4">
        <v>24.7</v>
      </c>
      <c r="L1146" s="4">
        <v>72.599999999999994</v>
      </c>
      <c r="M1146" s="6">
        <v>5.7452478764285528</v>
      </c>
      <c r="N1146" s="5">
        <v>6.0999999999999999E-2</v>
      </c>
      <c r="O1146" s="5">
        <v>2.4398265498092551</v>
      </c>
      <c r="P1146" s="5">
        <v>2.4398265498092551</v>
      </c>
      <c r="Q1146" s="8">
        <v>0.20833333333333334</v>
      </c>
      <c r="R1146" s="8">
        <v>0.875</v>
      </c>
      <c r="S1146" s="6">
        <f t="shared" si="51"/>
        <v>16</v>
      </c>
      <c r="T1146" s="5">
        <f t="shared" si="52"/>
        <v>0.15248915936307844</v>
      </c>
      <c r="U1146" s="3">
        <v>2.21</v>
      </c>
      <c r="V1146" s="5">
        <f t="shared" si="53"/>
        <v>6.8999619621302466E-2</v>
      </c>
      <c r="W1146" s="3">
        <v>6.8999619621302466E-2</v>
      </c>
    </row>
    <row r="1147" spans="1:23" x14ac:dyDescent="0.55000000000000004">
      <c r="A1147" s="3">
        <v>36</v>
      </c>
      <c r="B1147" s="3" t="s">
        <v>52</v>
      </c>
      <c r="C1147" s="3" t="s">
        <v>50</v>
      </c>
      <c r="D1147" s="3" t="s">
        <v>12</v>
      </c>
      <c r="E1147" s="2" t="s">
        <v>19</v>
      </c>
      <c r="F1147" s="3">
        <v>26</v>
      </c>
      <c r="G1147" s="4">
        <v>20.3</v>
      </c>
      <c r="H1147" s="4">
        <v>107.4</v>
      </c>
      <c r="I1147" s="6">
        <v>9.2521792382694485</v>
      </c>
      <c r="J1147" s="5">
        <v>0.05</v>
      </c>
      <c r="K1147" s="4">
        <v>22.5</v>
      </c>
      <c r="L1147" s="4">
        <v>82.1</v>
      </c>
      <c r="M1147" s="6">
        <v>6.7742151570697873</v>
      </c>
      <c r="N1147" s="5">
        <v>4.5999999999999999E-2</v>
      </c>
      <c r="O1147" s="5">
        <v>2.4779640811996613</v>
      </c>
      <c r="P1147" s="5">
        <v>2.4779640811996613</v>
      </c>
      <c r="Q1147" s="8">
        <v>0.20833333333333334</v>
      </c>
      <c r="R1147" s="8">
        <v>0.88541666666666663</v>
      </c>
      <c r="S1147" s="6">
        <f t="shared" si="51"/>
        <v>16.25</v>
      </c>
      <c r="T1147" s="5">
        <f t="shared" si="52"/>
        <v>0.15249009730459454</v>
      </c>
      <c r="U1147" s="3">
        <v>2.21</v>
      </c>
      <c r="V1147" s="5">
        <f t="shared" si="53"/>
        <v>6.9000044029228297E-2</v>
      </c>
      <c r="W1147" s="3">
        <v>6.9000044029228297E-2</v>
      </c>
    </row>
    <row r="1148" spans="1:23" x14ac:dyDescent="0.55000000000000004">
      <c r="A1148" s="3">
        <v>16</v>
      </c>
      <c r="B1148" s="3" t="s">
        <v>52</v>
      </c>
      <c r="C1148" s="3" t="s">
        <v>50</v>
      </c>
      <c r="D1148" s="3" t="s">
        <v>12</v>
      </c>
      <c r="E1148" s="3" t="s">
        <v>31</v>
      </c>
      <c r="F1148" s="3">
        <v>68</v>
      </c>
      <c r="G1148" s="4">
        <v>25.3</v>
      </c>
      <c r="H1148" s="4">
        <v>71.400000000000006</v>
      </c>
      <c r="I1148" s="6">
        <v>5.5875033156790845</v>
      </c>
      <c r="J1148" s="5">
        <v>6.8000000000000005E-2</v>
      </c>
      <c r="K1148" s="4">
        <v>23.9</v>
      </c>
      <c r="L1148" s="4">
        <v>38.700000000000003</v>
      </c>
      <c r="M1148" s="6">
        <v>3.1089670005760284</v>
      </c>
      <c r="N1148" s="5">
        <v>6.8000000000000005E-2</v>
      </c>
      <c r="O1148" s="5">
        <v>2.4785363151030562</v>
      </c>
      <c r="P1148" s="5">
        <v>2.4785363151030562</v>
      </c>
      <c r="Q1148" s="8">
        <v>0.20833333333333334</v>
      </c>
      <c r="R1148" s="8">
        <v>0.88541666666666663</v>
      </c>
      <c r="S1148" s="6">
        <f t="shared" si="51"/>
        <v>16.25</v>
      </c>
      <c r="T1148" s="5">
        <f t="shared" si="52"/>
        <v>0.15252531169864961</v>
      </c>
      <c r="U1148" s="3">
        <v>2.21</v>
      </c>
      <c r="V1148" s="5">
        <f t="shared" si="53"/>
        <v>6.901597814418535E-2</v>
      </c>
      <c r="W1148" s="3">
        <v>6.901597814418535E-2</v>
      </c>
    </row>
    <row r="1149" spans="1:23" x14ac:dyDescent="0.55000000000000004">
      <c r="A1149" s="3">
        <v>41</v>
      </c>
      <c r="B1149" s="3" t="s">
        <v>51</v>
      </c>
      <c r="C1149" s="3" t="s">
        <v>50</v>
      </c>
      <c r="D1149" s="3" t="s">
        <v>9</v>
      </c>
      <c r="E1149" s="3" t="s">
        <v>28</v>
      </c>
      <c r="F1149" s="3">
        <v>58</v>
      </c>
      <c r="G1149" s="4">
        <v>29.1</v>
      </c>
      <c r="H1149" s="4">
        <v>104.5</v>
      </c>
      <c r="I1149" s="6">
        <v>7.6347577517659388</v>
      </c>
      <c r="J1149" s="5">
        <v>5.7000000000000002E-2</v>
      </c>
      <c r="K1149" s="4">
        <v>24.8</v>
      </c>
      <c r="L1149" s="4">
        <v>65.099999999999994</v>
      </c>
      <c r="M1149" s="6">
        <v>5.1421127406820695</v>
      </c>
      <c r="N1149" s="5">
        <v>4.7E-2</v>
      </c>
      <c r="O1149" s="5">
        <v>2.4926450110838694</v>
      </c>
      <c r="P1149" s="5">
        <v>2.4926450110838694</v>
      </c>
      <c r="Q1149" s="8">
        <v>0.20833333333333334</v>
      </c>
      <c r="R1149" s="8">
        <v>0.88888888888888884</v>
      </c>
      <c r="S1149" s="6">
        <f t="shared" si="51"/>
        <v>16.333333333333332</v>
      </c>
      <c r="T1149" s="5">
        <f t="shared" si="52"/>
        <v>0.1526109190459512</v>
      </c>
      <c r="U1149" s="3">
        <v>2.21</v>
      </c>
      <c r="V1149" s="5">
        <f t="shared" si="53"/>
        <v>6.9054714500430409E-2</v>
      </c>
      <c r="W1149" s="3">
        <v>6.9054714500430409E-2</v>
      </c>
    </row>
    <row r="1150" spans="1:23" x14ac:dyDescent="0.55000000000000004">
      <c r="A1150" s="3">
        <v>20</v>
      </c>
      <c r="B1150" s="3" t="s">
        <v>52</v>
      </c>
      <c r="C1150" s="3" t="s">
        <v>50</v>
      </c>
      <c r="D1150" s="3" t="s">
        <v>12</v>
      </c>
      <c r="E1150" s="3" t="s">
        <v>28</v>
      </c>
      <c r="F1150" s="3">
        <v>58</v>
      </c>
      <c r="G1150" s="4">
        <v>28.7</v>
      </c>
      <c r="H1150" s="4">
        <v>102.4</v>
      </c>
      <c r="I1150" s="6">
        <v>7.534427557237839</v>
      </c>
      <c r="J1150" s="5">
        <v>3.6999999999999998E-2</v>
      </c>
      <c r="K1150" s="4">
        <v>24.2</v>
      </c>
      <c r="L1150" s="4">
        <v>63.1</v>
      </c>
      <c r="M1150" s="6">
        <v>5.0405289645300977</v>
      </c>
      <c r="N1150" s="5">
        <v>3.3000000000000002E-2</v>
      </c>
      <c r="O1150" s="5">
        <v>2.4938985927077413</v>
      </c>
      <c r="P1150" s="5">
        <v>2.4938985927077413</v>
      </c>
      <c r="Q1150" s="8">
        <v>0.20833333333333334</v>
      </c>
      <c r="R1150" s="8">
        <v>0.88888888888888884</v>
      </c>
      <c r="S1150" s="6">
        <f t="shared" si="51"/>
        <v>16.333333333333332</v>
      </c>
      <c r="T1150" s="5">
        <f t="shared" si="52"/>
        <v>0.15268766894129029</v>
      </c>
      <c r="U1150" s="3">
        <v>2.21</v>
      </c>
      <c r="V1150" s="5">
        <f t="shared" si="53"/>
        <v>6.9089442959859859E-2</v>
      </c>
      <c r="W1150" s="3">
        <v>6.9089442959859859E-2</v>
      </c>
    </row>
    <row r="1151" spans="1:23" x14ac:dyDescent="0.55000000000000004">
      <c r="A1151" s="3">
        <v>51</v>
      </c>
      <c r="B1151" s="3" t="s">
        <v>48</v>
      </c>
      <c r="C1151" s="3" t="s">
        <v>50</v>
      </c>
      <c r="D1151" s="3" t="s">
        <v>10</v>
      </c>
      <c r="E1151" s="3" t="s">
        <v>30</v>
      </c>
      <c r="F1151" s="3">
        <v>65</v>
      </c>
      <c r="G1151" s="4">
        <v>27.7</v>
      </c>
      <c r="H1151" s="4">
        <v>104.4</v>
      </c>
      <c r="I1151" s="6">
        <v>7.8198656733795406</v>
      </c>
      <c r="J1151" s="5">
        <v>6.7000000000000004E-2</v>
      </c>
      <c r="K1151" s="4">
        <v>22.9</v>
      </c>
      <c r="L1151" s="4">
        <v>65.2</v>
      </c>
      <c r="M1151" s="6">
        <v>5.3385406717908044</v>
      </c>
      <c r="N1151" s="5">
        <v>5.8999999999999997E-2</v>
      </c>
      <c r="O1151" s="5">
        <v>2.4813250015887363</v>
      </c>
      <c r="P1151" s="5">
        <v>2.4813250015887363</v>
      </c>
      <c r="Q1151" s="8">
        <v>0.20833333333333334</v>
      </c>
      <c r="R1151" s="8">
        <v>0.88541666666666663</v>
      </c>
      <c r="S1151" s="6">
        <f t="shared" si="51"/>
        <v>16.25</v>
      </c>
      <c r="T1151" s="5">
        <f t="shared" si="52"/>
        <v>0.15269692317469147</v>
      </c>
      <c r="U1151" s="3">
        <v>2.21</v>
      </c>
      <c r="V1151" s="5">
        <f t="shared" si="53"/>
        <v>6.9093630395788003E-2</v>
      </c>
      <c r="W1151" s="3">
        <v>6.9093630395788003E-2</v>
      </c>
    </row>
    <row r="1152" spans="1:23" x14ac:dyDescent="0.55000000000000004">
      <c r="A1152" s="3">
        <v>3</v>
      </c>
      <c r="B1152" s="3" t="s">
        <v>51</v>
      </c>
      <c r="C1152" s="3" t="s">
        <v>50</v>
      </c>
      <c r="D1152" s="3" t="s">
        <v>9</v>
      </c>
      <c r="E1152" s="2" t="s">
        <v>21</v>
      </c>
      <c r="F1152" s="3">
        <v>33</v>
      </c>
      <c r="G1152" s="4">
        <v>30.6</v>
      </c>
      <c r="H1152" s="4">
        <v>100.1</v>
      </c>
      <c r="I1152" s="6">
        <v>7.1241723995219033</v>
      </c>
      <c r="J1152" s="5">
        <v>5.2999999999999999E-2</v>
      </c>
      <c r="K1152" s="4">
        <v>26.5</v>
      </c>
      <c r="L1152" s="4">
        <v>60.8</v>
      </c>
      <c r="M1152" s="6">
        <v>4.6541057657837905</v>
      </c>
      <c r="N1152" s="5">
        <v>5.1999999999999998E-2</v>
      </c>
      <c r="O1152" s="5">
        <v>2.4700666337381127</v>
      </c>
      <c r="P1152" s="5">
        <v>2.4700666337381127</v>
      </c>
      <c r="Q1152" s="8">
        <v>0.20833333333333334</v>
      </c>
      <c r="R1152" s="8">
        <v>0.88194444444444453</v>
      </c>
      <c r="S1152" s="6">
        <f t="shared" si="51"/>
        <v>16.166666666666668</v>
      </c>
      <c r="T1152" s="5">
        <f t="shared" si="52"/>
        <v>0.15278762682916161</v>
      </c>
      <c r="U1152" s="3">
        <v>2.21</v>
      </c>
      <c r="V1152" s="5">
        <f t="shared" si="53"/>
        <v>6.9134672773376302E-2</v>
      </c>
      <c r="W1152" s="3">
        <v>6.9134672773376302E-2</v>
      </c>
    </row>
    <row r="1153" spans="1:23" x14ac:dyDescent="0.55000000000000004">
      <c r="A1153" s="3">
        <v>16</v>
      </c>
      <c r="B1153" s="3" t="s">
        <v>52</v>
      </c>
      <c r="C1153" s="3" t="s">
        <v>50</v>
      </c>
      <c r="D1153" s="3" t="s">
        <v>12</v>
      </c>
      <c r="E1153" s="2" t="s">
        <v>21</v>
      </c>
      <c r="F1153" s="3">
        <v>33</v>
      </c>
      <c r="G1153" s="4">
        <v>29.6</v>
      </c>
      <c r="H1153" s="4">
        <v>94.6</v>
      </c>
      <c r="I1153" s="6">
        <v>6.8509859812034897</v>
      </c>
      <c r="J1153" s="5">
        <v>6.5000000000000002E-2</v>
      </c>
      <c r="K1153" s="4">
        <v>25.9</v>
      </c>
      <c r="L1153" s="4">
        <v>56.6</v>
      </c>
      <c r="M1153" s="6">
        <v>4.3804939669383982</v>
      </c>
      <c r="N1153" s="5">
        <v>6.3E-2</v>
      </c>
      <c r="O1153" s="5">
        <v>2.4704920142650915</v>
      </c>
      <c r="P1153" s="5">
        <v>2.4704920142650915</v>
      </c>
      <c r="Q1153" s="8">
        <v>0.20833333333333334</v>
      </c>
      <c r="R1153" s="8">
        <v>0.88194444444444453</v>
      </c>
      <c r="S1153" s="6">
        <f t="shared" si="51"/>
        <v>16.166666666666668</v>
      </c>
      <c r="T1153" s="5">
        <f t="shared" si="52"/>
        <v>0.15281393902670667</v>
      </c>
      <c r="U1153" s="3">
        <v>2.21</v>
      </c>
      <c r="V1153" s="5">
        <f t="shared" si="53"/>
        <v>6.914657874511615E-2</v>
      </c>
      <c r="W1153" s="3">
        <v>6.914657874511615E-2</v>
      </c>
    </row>
    <row r="1154" spans="1:23" x14ac:dyDescent="0.55000000000000004">
      <c r="A1154" s="3">
        <v>12</v>
      </c>
      <c r="B1154" s="3" t="s">
        <v>53</v>
      </c>
      <c r="C1154" s="3" t="s">
        <v>50</v>
      </c>
      <c r="D1154" s="3" t="s">
        <v>11</v>
      </c>
      <c r="E1154" s="3" t="s">
        <v>35</v>
      </c>
      <c r="F1154" s="3">
        <v>82</v>
      </c>
      <c r="G1154" s="4">
        <v>32</v>
      </c>
      <c r="H1154" s="4">
        <v>73.099999999999994</v>
      </c>
      <c r="I1154" s="6">
        <v>5.0791301545046563</v>
      </c>
      <c r="J1154" s="5">
        <v>6.2E-2</v>
      </c>
      <c r="K1154" s="4">
        <v>27.8</v>
      </c>
      <c r="L1154" s="4">
        <v>34.700000000000003</v>
      </c>
      <c r="M1154" s="6">
        <v>2.5944711930870459</v>
      </c>
      <c r="N1154" s="5">
        <v>5.6000000000000001E-2</v>
      </c>
      <c r="O1154" s="5">
        <v>2.4846589614176104</v>
      </c>
      <c r="P1154" s="5">
        <v>2.4846589614176104</v>
      </c>
      <c r="Q1154" s="8">
        <v>0.20833333333333334</v>
      </c>
      <c r="R1154" s="8">
        <v>0.88541666666666663</v>
      </c>
      <c r="S1154" s="6">
        <f t="shared" ref="S1154:S1217" si="54">(R1154-Q1154)*24</f>
        <v>16.25</v>
      </c>
      <c r="T1154" s="5">
        <f t="shared" ref="T1154:T1217" si="55">P1154/S1154</f>
        <v>0.15290208993339141</v>
      </c>
      <c r="U1154" s="3">
        <v>2.21</v>
      </c>
      <c r="V1154" s="5">
        <f t="shared" ref="V1154:V1217" si="56">(I1154-M1154)/U1154/S1154</f>
        <v>6.9186466033208785E-2</v>
      </c>
      <c r="W1154" s="3">
        <v>6.9186466033208785E-2</v>
      </c>
    </row>
    <row r="1155" spans="1:23" x14ac:dyDescent="0.55000000000000004">
      <c r="A1155" s="3">
        <v>25</v>
      </c>
      <c r="B1155" s="3" t="s">
        <v>53</v>
      </c>
      <c r="C1155" s="3" t="s">
        <v>49</v>
      </c>
      <c r="D1155" s="3" t="s">
        <v>41</v>
      </c>
      <c r="E1155" s="2" t="s">
        <v>24</v>
      </c>
      <c r="F1155" s="3">
        <v>44</v>
      </c>
      <c r="G1155" s="4">
        <v>25.1</v>
      </c>
      <c r="H1155" s="4">
        <v>85.8</v>
      </c>
      <c r="I1155" s="6">
        <v>6.7393801272739333</v>
      </c>
      <c r="J1155" s="5">
        <v>7.0000000000000007E-2</v>
      </c>
      <c r="K1155" s="4">
        <v>20.6</v>
      </c>
      <c r="L1155" s="4">
        <v>48.7</v>
      </c>
      <c r="M1155" s="6">
        <v>4.1704203280433747</v>
      </c>
      <c r="N1155" s="5">
        <v>6.4000000000000001E-2</v>
      </c>
      <c r="O1155" s="5">
        <v>2.5689597992305586</v>
      </c>
      <c r="P1155" s="5">
        <v>2.5689597992305586</v>
      </c>
      <c r="Q1155" s="8">
        <v>0.20277777777777781</v>
      </c>
      <c r="R1155" s="8">
        <v>0.90277777777777779</v>
      </c>
      <c r="S1155" s="6">
        <f t="shared" si="54"/>
        <v>16.799999999999997</v>
      </c>
      <c r="T1155" s="5">
        <f t="shared" si="55"/>
        <v>0.15291427376372374</v>
      </c>
      <c r="U1155" s="3">
        <v>2.21</v>
      </c>
      <c r="V1155" s="5">
        <f t="shared" si="56"/>
        <v>6.9191979078608037E-2</v>
      </c>
      <c r="W1155" s="3">
        <v>6.9191979078608037E-2</v>
      </c>
    </row>
    <row r="1156" spans="1:23" x14ac:dyDescent="0.55000000000000004">
      <c r="A1156" s="3">
        <v>49</v>
      </c>
      <c r="B1156" s="3" t="s">
        <v>51</v>
      </c>
      <c r="C1156" s="3" t="s">
        <v>49</v>
      </c>
      <c r="D1156" s="3" t="s">
        <v>39</v>
      </c>
      <c r="E1156" s="3" t="s">
        <v>28</v>
      </c>
      <c r="F1156" s="3">
        <v>58</v>
      </c>
      <c r="G1156" s="4">
        <v>29</v>
      </c>
      <c r="H1156" s="4">
        <v>107.2</v>
      </c>
      <c r="I1156" s="6">
        <v>7.845851890051641</v>
      </c>
      <c r="J1156" s="5">
        <v>0.06</v>
      </c>
      <c r="K1156" s="4">
        <v>24.4</v>
      </c>
      <c r="L1156" s="4">
        <v>67.2</v>
      </c>
      <c r="M1156" s="6">
        <v>5.3478940701375919</v>
      </c>
      <c r="N1156" s="5">
        <v>5.3999999999999999E-2</v>
      </c>
      <c r="O1156" s="5">
        <v>2.4979578199140491</v>
      </c>
      <c r="P1156" s="5">
        <v>2.4979578199140491</v>
      </c>
      <c r="Q1156" s="8">
        <v>0.20833333333333334</v>
      </c>
      <c r="R1156" s="8">
        <v>0.88888888888888884</v>
      </c>
      <c r="S1156" s="6">
        <f t="shared" si="54"/>
        <v>16.333333333333332</v>
      </c>
      <c r="T1156" s="5">
        <f t="shared" si="55"/>
        <v>0.15293619305596221</v>
      </c>
      <c r="U1156" s="3">
        <v>2.21</v>
      </c>
      <c r="V1156" s="5">
        <f t="shared" si="56"/>
        <v>6.9201897310390142E-2</v>
      </c>
      <c r="W1156" s="3">
        <v>6.9201897310390142E-2</v>
      </c>
    </row>
    <row r="1157" spans="1:23" x14ac:dyDescent="0.55000000000000004">
      <c r="A1157" s="3">
        <v>62</v>
      </c>
      <c r="B1157" s="3" t="s">
        <v>52</v>
      </c>
      <c r="C1157" s="3" t="s">
        <v>49</v>
      </c>
      <c r="D1157" s="3" t="s">
        <v>40</v>
      </c>
      <c r="E1157" s="3" t="s">
        <v>26</v>
      </c>
      <c r="F1157" s="3">
        <v>51</v>
      </c>
      <c r="G1157" s="4">
        <v>27.1</v>
      </c>
      <c r="H1157" s="4">
        <v>104.4</v>
      </c>
      <c r="I1157" s="6">
        <v>7.9049192423610295</v>
      </c>
      <c r="J1157" s="5">
        <v>7.0999999999999994E-2</v>
      </c>
      <c r="K1157" s="4">
        <v>24.5</v>
      </c>
      <c r="L1157" s="4">
        <v>68.7</v>
      </c>
      <c r="M1157" s="6">
        <v>5.4570174510145124</v>
      </c>
      <c r="N1157" s="5">
        <v>7.1999999999999995E-2</v>
      </c>
      <c r="O1157" s="5">
        <v>2.4479017913465171</v>
      </c>
      <c r="P1157" s="5">
        <v>2.4479017913465171</v>
      </c>
      <c r="Q1157" s="8">
        <v>0.20833333333333334</v>
      </c>
      <c r="R1157" s="8">
        <v>0.875</v>
      </c>
      <c r="S1157" s="6">
        <f t="shared" si="54"/>
        <v>16</v>
      </c>
      <c r="T1157" s="5">
        <f t="shared" si="55"/>
        <v>0.15299386195915732</v>
      </c>
      <c r="U1157" s="3">
        <v>2.21</v>
      </c>
      <c r="V1157" s="5">
        <f t="shared" si="56"/>
        <v>6.9227991836722763E-2</v>
      </c>
      <c r="W1157" s="3">
        <v>6.9227991836722763E-2</v>
      </c>
    </row>
    <row r="1158" spans="1:23" x14ac:dyDescent="0.55000000000000004">
      <c r="A1158" s="3">
        <v>36</v>
      </c>
      <c r="B1158" s="3" t="s">
        <v>52</v>
      </c>
      <c r="C1158" s="3" t="s">
        <v>50</v>
      </c>
      <c r="D1158" s="3" t="s">
        <v>12</v>
      </c>
      <c r="E1158" s="3" t="s">
        <v>28</v>
      </c>
      <c r="F1158" s="3">
        <v>58</v>
      </c>
      <c r="G1158" s="4">
        <v>27.9</v>
      </c>
      <c r="H1158" s="4">
        <v>95.6</v>
      </c>
      <c r="I1158" s="6">
        <v>7.1350804984028748</v>
      </c>
      <c r="J1158" s="5">
        <v>6.4000000000000001E-2</v>
      </c>
      <c r="K1158" s="4">
        <v>23.8</v>
      </c>
      <c r="L1158" s="4">
        <v>57.6</v>
      </c>
      <c r="M1158" s="6">
        <v>4.63606361653496</v>
      </c>
      <c r="N1158" s="5">
        <v>0.06</v>
      </c>
      <c r="O1158" s="5">
        <v>2.4990168818679148</v>
      </c>
      <c r="P1158" s="5">
        <v>2.4990168818679148</v>
      </c>
      <c r="Q1158" s="8">
        <v>0.20833333333333334</v>
      </c>
      <c r="R1158" s="8">
        <v>0.88888888888888884</v>
      </c>
      <c r="S1158" s="6">
        <f t="shared" si="54"/>
        <v>16.333333333333332</v>
      </c>
      <c r="T1158" s="5">
        <f t="shared" si="55"/>
        <v>0.15300103358374989</v>
      </c>
      <c r="U1158" s="3">
        <v>2.21</v>
      </c>
      <c r="V1158" s="5">
        <f t="shared" si="56"/>
        <v>6.9231236915723929E-2</v>
      </c>
      <c r="W1158" s="3">
        <v>6.9231236915723929E-2</v>
      </c>
    </row>
    <row r="1159" spans="1:23" x14ac:dyDescent="0.55000000000000004">
      <c r="A1159" s="3">
        <v>60</v>
      </c>
      <c r="B1159" s="3" t="s">
        <v>51</v>
      </c>
      <c r="C1159" s="3" t="s">
        <v>49</v>
      </c>
      <c r="D1159" s="3" t="s">
        <v>39</v>
      </c>
      <c r="E1159" s="3" t="s">
        <v>28</v>
      </c>
      <c r="F1159" s="3">
        <v>58</v>
      </c>
      <c r="G1159" s="4">
        <v>28.6</v>
      </c>
      <c r="H1159" s="4">
        <v>126.5</v>
      </c>
      <c r="I1159" s="6">
        <v>9.3241907072034387</v>
      </c>
      <c r="J1159" s="5">
        <v>5.1999999999999998E-2</v>
      </c>
      <c r="K1159" s="4">
        <v>24.2</v>
      </c>
      <c r="L1159" s="4">
        <v>85.4</v>
      </c>
      <c r="M1159" s="6">
        <v>6.8218886461310673</v>
      </c>
      <c r="N1159" s="5">
        <v>5.8000000000000003E-2</v>
      </c>
      <c r="O1159" s="5">
        <v>2.5023020610723714</v>
      </c>
      <c r="P1159" s="5">
        <v>2.5023020610723714</v>
      </c>
      <c r="Q1159" s="8">
        <v>0.20833333333333334</v>
      </c>
      <c r="R1159" s="8">
        <v>0.88888888888888884</v>
      </c>
      <c r="S1159" s="6">
        <f t="shared" si="54"/>
        <v>16.333333333333332</v>
      </c>
      <c r="T1159" s="5">
        <f t="shared" si="55"/>
        <v>0.1532021670044309</v>
      </c>
      <c r="U1159" s="3">
        <v>2.21</v>
      </c>
      <c r="V1159" s="5">
        <f t="shared" si="56"/>
        <v>6.9322247513317156E-2</v>
      </c>
      <c r="W1159" s="3">
        <v>6.9322247513317156E-2</v>
      </c>
    </row>
    <row r="1160" spans="1:23" x14ac:dyDescent="0.55000000000000004">
      <c r="A1160" s="3">
        <v>39</v>
      </c>
      <c r="B1160" s="3" t="s">
        <v>51</v>
      </c>
      <c r="C1160" s="3" t="s">
        <v>50</v>
      </c>
      <c r="D1160" s="3" t="s">
        <v>9</v>
      </c>
      <c r="E1160" s="3" t="s">
        <v>27</v>
      </c>
      <c r="F1160" s="3">
        <v>54</v>
      </c>
      <c r="G1160" s="4">
        <v>27.9</v>
      </c>
      <c r="H1160" s="4">
        <v>112</v>
      </c>
      <c r="I1160" s="6">
        <v>8.3590901236519031</v>
      </c>
      <c r="J1160" s="5">
        <v>3.7999999999999999E-2</v>
      </c>
      <c r="K1160" s="4">
        <v>24.8</v>
      </c>
      <c r="L1160" s="4">
        <v>73.8</v>
      </c>
      <c r="M1160" s="6">
        <v>5.8293075309114712</v>
      </c>
      <c r="N1160" s="5">
        <v>3.3000000000000002E-2</v>
      </c>
      <c r="O1160" s="5">
        <v>2.5297825927404318</v>
      </c>
      <c r="P1160" s="5">
        <v>2.5297825927404318</v>
      </c>
      <c r="Q1160" s="8">
        <v>0.20833333333333334</v>
      </c>
      <c r="R1160" s="8">
        <v>0.89583333333333337</v>
      </c>
      <c r="S1160" s="6">
        <f t="shared" si="54"/>
        <v>16.5</v>
      </c>
      <c r="T1160" s="5">
        <f t="shared" si="55"/>
        <v>0.15332015713578376</v>
      </c>
      <c r="U1160" s="3">
        <v>2.21</v>
      </c>
      <c r="V1160" s="5">
        <f t="shared" si="56"/>
        <v>6.9375636713024311E-2</v>
      </c>
      <c r="W1160" s="3">
        <v>6.9375636713024311E-2</v>
      </c>
    </row>
    <row r="1161" spans="1:23" x14ac:dyDescent="0.55000000000000004">
      <c r="A1161" s="3">
        <v>32</v>
      </c>
      <c r="B1161" s="3" t="s">
        <v>53</v>
      </c>
      <c r="C1161" s="3" t="s">
        <v>50</v>
      </c>
      <c r="D1161" s="3" t="s">
        <v>11</v>
      </c>
      <c r="E1161" s="3" t="s">
        <v>29</v>
      </c>
      <c r="F1161" s="3">
        <v>61</v>
      </c>
      <c r="G1161" s="4">
        <v>29.3</v>
      </c>
      <c r="H1161" s="4">
        <v>88.7</v>
      </c>
      <c r="I1161" s="6">
        <v>6.4576253454347032</v>
      </c>
      <c r="J1161" s="5">
        <v>7.2999999999999995E-2</v>
      </c>
      <c r="K1161" s="4">
        <v>25.1</v>
      </c>
      <c r="L1161" s="4">
        <v>50</v>
      </c>
      <c r="M1161" s="6">
        <v>3.9273776965465812</v>
      </c>
      <c r="N1161" s="5">
        <v>6.8000000000000005E-2</v>
      </c>
      <c r="O1161" s="5">
        <v>2.530247648888122</v>
      </c>
      <c r="P1161" s="5">
        <v>2.530247648888122</v>
      </c>
      <c r="Q1161" s="8">
        <v>0.19791666666666666</v>
      </c>
      <c r="R1161" s="8">
        <v>0.88541666666666663</v>
      </c>
      <c r="S1161" s="6">
        <f t="shared" si="54"/>
        <v>16.5</v>
      </c>
      <c r="T1161" s="5">
        <f t="shared" si="55"/>
        <v>0.15334834235685588</v>
      </c>
      <c r="U1161" s="3">
        <v>2.21</v>
      </c>
      <c r="V1161" s="5">
        <f t="shared" si="56"/>
        <v>6.938839020672212E-2</v>
      </c>
      <c r="W1161" s="3">
        <v>6.938839020672212E-2</v>
      </c>
    </row>
    <row r="1162" spans="1:23" x14ac:dyDescent="0.55000000000000004">
      <c r="A1162" s="3">
        <v>40</v>
      </c>
      <c r="B1162" s="3" t="s">
        <v>48</v>
      </c>
      <c r="C1162" s="3" t="s">
        <v>50</v>
      </c>
      <c r="D1162" s="3" t="s">
        <v>10</v>
      </c>
      <c r="E1162" s="2" t="s">
        <v>22</v>
      </c>
      <c r="F1162" s="3">
        <v>37</v>
      </c>
      <c r="G1162" s="4">
        <v>30.2</v>
      </c>
      <c r="H1162" s="4">
        <v>100.9</v>
      </c>
      <c r="I1162" s="6">
        <v>7.231105170039922</v>
      </c>
      <c r="J1162" s="5">
        <v>6.0999999999999999E-2</v>
      </c>
      <c r="K1162" s="4">
        <v>25.1</v>
      </c>
      <c r="L1162" s="4">
        <v>60</v>
      </c>
      <c r="M1162" s="6">
        <v>4.7128532358558974</v>
      </c>
      <c r="N1162" s="5">
        <v>5.6000000000000001E-2</v>
      </c>
      <c r="O1162" s="5">
        <v>2.5182519341840246</v>
      </c>
      <c r="P1162" s="5">
        <v>2.5182519341840246</v>
      </c>
      <c r="Q1162" s="8">
        <v>0.20138888888888887</v>
      </c>
      <c r="R1162" s="8">
        <v>0.88541666666666663</v>
      </c>
      <c r="S1162" s="6">
        <f t="shared" si="54"/>
        <v>16.416666666666668</v>
      </c>
      <c r="T1162" s="5">
        <f t="shared" si="55"/>
        <v>0.15339605690461061</v>
      </c>
      <c r="U1162" s="3">
        <v>2.21</v>
      </c>
      <c r="V1162" s="5">
        <f t="shared" si="56"/>
        <v>6.9409980499823817E-2</v>
      </c>
      <c r="W1162" s="3">
        <v>6.9409980499823817E-2</v>
      </c>
    </row>
    <row r="1163" spans="1:23" x14ac:dyDescent="0.55000000000000004">
      <c r="A1163" s="3">
        <v>57</v>
      </c>
      <c r="B1163" s="3" t="s">
        <v>52</v>
      </c>
      <c r="C1163" s="3" t="s">
        <v>50</v>
      </c>
      <c r="D1163" s="3" t="s">
        <v>12</v>
      </c>
      <c r="E1163" s="2" t="s">
        <v>15</v>
      </c>
      <c r="F1163" s="3">
        <v>12</v>
      </c>
      <c r="G1163" s="4">
        <v>22.6</v>
      </c>
      <c r="H1163" s="4">
        <v>118.5</v>
      </c>
      <c r="I1163" s="6">
        <v>9.7588169971162433</v>
      </c>
      <c r="J1163" s="5">
        <v>3.5999999999999997E-2</v>
      </c>
      <c r="K1163" s="4">
        <v>19.5</v>
      </c>
      <c r="L1163" s="4">
        <v>83.6</v>
      </c>
      <c r="M1163" s="6">
        <v>7.3182371186786792</v>
      </c>
      <c r="N1163" s="5">
        <v>3.3000000000000002E-2</v>
      </c>
      <c r="O1163" s="5">
        <v>2.4405798784375641</v>
      </c>
      <c r="P1163" s="5">
        <v>2.4405798784375641</v>
      </c>
      <c r="Q1163" s="8">
        <v>0.21319444444444444</v>
      </c>
      <c r="R1163" s="8">
        <v>0.875</v>
      </c>
      <c r="S1163" s="6">
        <f t="shared" si="54"/>
        <v>15.883333333333333</v>
      </c>
      <c r="T1163" s="5">
        <f t="shared" si="55"/>
        <v>0.15365665551548147</v>
      </c>
      <c r="U1163" s="3">
        <v>2.21</v>
      </c>
      <c r="V1163" s="5">
        <f t="shared" si="56"/>
        <v>6.9527898423294793E-2</v>
      </c>
      <c r="W1163" s="3">
        <v>6.9527898423294793E-2</v>
      </c>
    </row>
    <row r="1164" spans="1:23" x14ac:dyDescent="0.55000000000000004">
      <c r="A1164" s="3">
        <v>51</v>
      </c>
      <c r="B1164" s="3" t="s">
        <v>48</v>
      </c>
      <c r="C1164" s="3" t="s">
        <v>50</v>
      </c>
      <c r="D1164" s="3" t="s">
        <v>10</v>
      </c>
      <c r="E1164" s="2" t="s">
        <v>25</v>
      </c>
      <c r="F1164" s="3">
        <v>47</v>
      </c>
      <c r="G1164" s="4">
        <v>28.8</v>
      </c>
      <c r="H1164" s="4">
        <v>91</v>
      </c>
      <c r="I1164" s="6">
        <v>6.6837835399121612</v>
      </c>
      <c r="J1164" s="5">
        <v>7.3999999999999996E-2</v>
      </c>
      <c r="K1164" s="4">
        <v>25.6</v>
      </c>
      <c r="L1164" s="4">
        <v>53.3</v>
      </c>
      <c r="M1164" s="6">
        <v>4.1479681855608863</v>
      </c>
      <c r="N1164" s="5">
        <v>7.0000000000000007E-2</v>
      </c>
      <c r="O1164" s="5">
        <v>2.5358153543512749</v>
      </c>
      <c r="P1164" s="5">
        <v>2.5358153543512749</v>
      </c>
      <c r="Q1164" s="8">
        <v>0.20833333333333334</v>
      </c>
      <c r="R1164" s="8">
        <v>0.89583333333333337</v>
      </c>
      <c r="S1164" s="6">
        <f t="shared" si="54"/>
        <v>16.5</v>
      </c>
      <c r="T1164" s="5">
        <f t="shared" si="55"/>
        <v>0.15368577905159242</v>
      </c>
      <c r="U1164" s="3">
        <v>2.21</v>
      </c>
      <c r="V1164" s="5">
        <f t="shared" si="56"/>
        <v>6.9541076493933235E-2</v>
      </c>
      <c r="W1164" s="3">
        <v>6.9541076493933235E-2</v>
      </c>
    </row>
    <row r="1165" spans="1:23" x14ac:dyDescent="0.55000000000000004">
      <c r="A1165" s="3">
        <v>43</v>
      </c>
      <c r="B1165" s="3" t="s">
        <v>51</v>
      </c>
      <c r="C1165" s="3" t="s">
        <v>50</v>
      </c>
      <c r="D1165" s="3" t="s">
        <v>9</v>
      </c>
      <c r="E1165" s="2" t="s">
        <v>24</v>
      </c>
      <c r="F1165" s="3">
        <v>44</v>
      </c>
      <c r="G1165" s="4">
        <v>25.8</v>
      </c>
      <c r="H1165" s="4">
        <v>108.5</v>
      </c>
      <c r="I1165" s="6">
        <v>8.4127081931719712</v>
      </c>
      <c r="J1165" s="5">
        <v>3.9E-2</v>
      </c>
      <c r="K1165" s="4">
        <v>21.2</v>
      </c>
      <c r="L1165" s="4">
        <v>68.900000000000006</v>
      </c>
      <c r="M1165" s="6">
        <v>5.8307781440429265</v>
      </c>
      <c r="N1165" s="5">
        <v>3.1E-2</v>
      </c>
      <c r="O1165" s="5">
        <v>2.5819300491290447</v>
      </c>
      <c r="P1165" s="5">
        <v>2.5819300491290447</v>
      </c>
      <c r="Q1165" s="8">
        <v>0.20277777777777781</v>
      </c>
      <c r="R1165" s="8">
        <v>0.90277777777777779</v>
      </c>
      <c r="S1165" s="6">
        <f t="shared" si="54"/>
        <v>16.799999999999997</v>
      </c>
      <c r="T1165" s="5">
        <f t="shared" si="55"/>
        <v>0.15368631244815745</v>
      </c>
      <c r="U1165" s="3">
        <v>2.21</v>
      </c>
      <c r="V1165" s="5">
        <f t="shared" si="56"/>
        <v>6.9541317849845005E-2</v>
      </c>
      <c r="W1165" s="3">
        <v>6.9541317849845005E-2</v>
      </c>
    </row>
    <row r="1166" spans="1:23" x14ac:dyDescent="0.55000000000000004">
      <c r="A1166" s="3">
        <v>28</v>
      </c>
      <c r="B1166" s="3" t="s">
        <v>53</v>
      </c>
      <c r="C1166" s="3" t="s">
        <v>50</v>
      </c>
      <c r="D1166" s="3" t="s">
        <v>11</v>
      </c>
      <c r="E1166" s="3" t="s">
        <v>35</v>
      </c>
      <c r="F1166" s="3">
        <v>82</v>
      </c>
      <c r="G1166" s="4">
        <v>31.7</v>
      </c>
      <c r="H1166" s="4">
        <v>74.2</v>
      </c>
      <c r="I1166" s="6">
        <v>5.1819751712265871</v>
      </c>
      <c r="J1166" s="5">
        <v>7.9000000000000001E-2</v>
      </c>
      <c r="K1166" s="4">
        <v>27.8</v>
      </c>
      <c r="L1166" s="4">
        <v>35.9</v>
      </c>
      <c r="M1166" s="6">
        <v>2.6841935398220444</v>
      </c>
      <c r="N1166" s="5">
        <v>8.1000000000000003E-2</v>
      </c>
      <c r="O1166" s="5">
        <v>2.4977816314045427</v>
      </c>
      <c r="P1166" s="5">
        <v>2.4977816314045427</v>
      </c>
      <c r="Q1166" s="8">
        <v>0.20833333333333334</v>
      </c>
      <c r="R1166" s="8">
        <v>0.88541666666666663</v>
      </c>
      <c r="S1166" s="6">
        <f t="shared" si="54"/>
        <v>16.25</v>
      </c>
      <c r="T1166" s="5">
        <f t="shared" si="55"/>
        <v>0.15370963885566416</v>
      </c>
      <c r="U1166" s="3">
        <v>2.21</v>
      </c>
      <c r="V1166" s="5">
        <f t="shared" si="56"/>
        <v>6.955187278536841E-2</v>
      </c>
      <c r="W1166" s="3">
        <v>6.955187278536841E-2</v>
      </c>
    </row>
    <row r="1167" spans="1:23" x14ac:dyDescent="0.55000000000000004">
      <c r="A1167" s="3">
        <v>49</v>
      </c>
      <c r="B1167" s="3" t="s">
        <v>51</v>
      </c>
      <c r="C1167" s="3" t="s">
        <v>49</v>
      </c>
      <c r="D1167" s="3" t="s">
        <v>39</v>
      </c>
      <c r="E1167" s="3" t="s">
        <v>31</v>
      </c>
      <c r="F1167" s="3">
        <v>68</v>
      </c>
      <c r="G1167" s="4">
        <v>25.3</v>
      </c>
      <c r="H1167" s="4">
        <v>84.3</v>
      </c>
      <c r="I1167" s="6">
        <v>6.5970102172513556</v>
      </c>
      <c r="J1167" s="5">
        <v>4.8000000000000001E-2</v>
      </c>
      <c r="K1167" s="4">
        <v>24.2</v>
      </c>
      <c r="L1167" s="4">
        <v>51.3</v>
      </c>
      <c r="M1167" s="6">
        <v>4.097926083682947</v>
      </c>
      <c r="N1167" s="5">
        <v>4.7E-2</v>
      </c>
      <c r="O1167" s="5">
        <v>2.4990841335684086</v>
      </c>
      <c r="P1167" s="5">
        <v>2.4990841335684086</v>
      </c>
      <c r="Q1167" s="8">
        <v>0.20833333333333334</v>
      </c>
      <c r="R1167" s="8">
        <v>0.88541666666666663</v>
      </c>
      <c r="S1167" s="6">
        <f t="shared" si="54"/>
        <v>16.25</v>
      </c>
      <c r="T1167" s="5">
        <f t="shared" si="55"/>
        <v>0.15378979283497898</v>
      </c>
      <c r="U1167" s="3">
        <v>2.21</v>
      </c>
      <c r="V1167" s="5">
        <f t="shared" si="56"/>
        <v>6.9588141554289148E-2</v>
      </c>
      <c r="W1167" s="3">
        <v>6.9588141554289148E-2</v>
      </c>
    </row>
    <row r="1168" spans="1:23" x14ac:dyDescent="0.55000000000000004">
      <c r="A1168" s="3">
        <v>50</v>
      </c>
      <c r="B1168" s="3" t="s">
        <v>53</v>
      </c>
      <c r="C1168" s="3" t="s">
        <v>50</v>
      </c>
      <c r="D1168" s="3" t="s">
        <v>11</v>
      </c>
      <c r="E1168" s="3" t="s">
        <v>27</v>
      </c>
      <c r="F1168" s="3">
        <v>54</v>
      </c>
      <c r="G1168" s="4">
        <v>28.1</v>
      </c>
      <c r="H1168" s="4">
        <v>84.8</v>
      </c>
      <c r="I1168" s="6">
        <v>6.3064231416609529</v>
      </c>
      <c r="J1168" s="5">
        <v>4.2000000000000003E-2</v>
      </c>
      <c r="K1168" s="4">
        <v>24.9</v>
      </c>
      <c r="L1168" s="4">
        <v>47.8</v>
      </c>
      <c r="M1168" s="6">
        <v>3.76858292084323</v>
      </c>
      <c r="N1168" s="5">
        <v>3.9E-2</v>
      </c>
      <c r="O1168" s="5">
        <v>2.5378402208177229</v>
      </c>
      <c r="P1168" s="5">
        <v>2.5378402208177229</v>
      </c>
      <c r="Q1168" s="8">
        <v>0.20833333333333334</v>
      </c>
      <c r="R1168" s="8">
        <v>0.89583333333333337</v>
      </c>
      <c r="S1168" s="6">
        <f t="shared" si="54"/>
        <v>16.5</v>
      </c>
      <c r="T1168" s="5">
        <f t="shared" si="55"/>
        <v>0.15380849823137716</v>
      </c>
      <c r="U1168" s="3">
        <v>2.21</v>
      </c>
      <c r="V1168" s="5">
        <f t="shared" si="56"/>
        <v>6.9596605534559805E-2</v>
      </c>
      <c r="W1168" s="3">
        <v>6.9596605534559805E-2</v>
      </c>
    </row>
    <row r="1169" spans="1:23" x14ac:dyDescent="0.55000000000000004">
      <c r="A1169" s="3">
        <v>6</v>
      </c>
      <c r="B1169" s="3" t="s">
        <v>51</v>
      </c>
      <c r="C1169" s="3" t="s">
        <v>49</v>
      </c>
      <c r="D1169" s="3" t="s">
        <v>39</v>
      </c>
      <c r="E1169" s="2" t="s">
        <v>23</v>
      </c>
      <c r="F1169" s="3">
        <v>40</v>
      </c>
      <c r="G1169" s="4">
        <v>28.5</v>
      </c>
      <c r="H1169" s="4">
        <v>121.2</v>
      </c>
      <c r="I1169" s="6">
        <v>8.949413160086344</v>
      </c>
      <c r="J1169" s="5">
        <v>4.7E-2</v>
      </c>
      <c r="K1169" s="4">
        <v>23.6</v>
      </c>
      <c r="L1169" s="4">
        <v>79.599999999999994</v>
      </c>
      <c r="M1169" s="6">
        <v>6.4311248678506221</v>
      </c>
      <c r="N1169" s="5">
        <v>4.2999999999999997E-2</v>
      </c>
      <c r="O1169" s="5">
        <v>2.5182882922357219</v>
      </c>
      <c r="P1169" s="5">
        <v>2.5182882922357219</v>
      </c>
      <c r="Q1169" s="8">
        <v>0.20833333333333334</v>
      </c>
      <c r="R1169" s="8">
        <v>0.89027777777777783</v>
      </c>
      <c r="S1169" s="6">
        <f t="shared" si="54"/>
        <v>16.366666666666667</v>
      </c>
      <c r="T1169" s="5">
        <f t="shared" si="55"/>
        <v>0.15386690176593004</v>
      </c>
      <c r="U1169" s="3">
        <v>2.21</v>
      </c>
      <c r="V1169" s="5">
        <f t="shared" si="56"/>
        <v>6.9623032473271521E-2</v>
      </c>
      <c r="W1169" s="3">
        <v>6.9623032473271521E-2</v>
      </c>
    </row>
    <row r="1170" spans="1:23" x14ac:dyDescent="0.55000000000000004">
      <c r="A1170" s="3">
        <v>10</v>
      </c>
      <c r="B1170" s="3" t="s">
        <v>51</v>
      </c>
      <c r="C1170" s="3" t="s">
        <v>49</v>
      </c>
      <c r="D1170" s="3" t="s">
        <v>39</v>
      </c>
      <c r="E1170" s="3" t="s">
        <v>27</v>
      </c>
      <c r="F1170" s="3">
        <v>54</v>
      </c>
      <c r="G1170" s="4">
        <v>27.9</v>
      </c>
      <c r="H1170" s="4">
        <v>113.8</v>
      </c>
      <c r="I1170" s="6">
        <v>8.4934326434963108</v>
      </c>
      <c r="J1170" s="5">
        <v>6.7000000000000004E-2</v>
      </c>
      <c r="K1170" s="4">
        <v>24.6</v>
      </c>
      <c r="L1170" s="4">
        <v>75.099999999999994</v>
      </c>
      <c r="M1170" s="6">
        <v>5.954218293178017</v>
      </c>
      <c r="N1170" s="5">
        <v>5.8999999999999997E-2</v>
      </c>
      <c r="O1170" s="5">
        <v>2.5392143503182938</v>
      </c>
      <c r="P1170" s="5">
        <v>2.5392143503182938</v>
      </c>
      <c r="Q1170" s="8">
        <v>0.20833333333333334</v>
      </c>
      <c r="R1170" s="8">
        <v>0.89583333333333337</v>
      </c>
      <c r="S1170" s="6">
        <f t="shared" si="54"/>
        <v>16.5</v>
      </c>
      <c r="T1170" s="5">
        <f t="shared" si="55"/>
        <v>0.15389177880716931</v>
      </c>
      <c r="U1170" s="3">
        <v>2.21</v>
      </c>
      <c r="V1170" s="5">
        <f t="shared" si="56"/>
        <v>6.96342890530178E-2</v>
      </c>
      <c r="W1170" s="3">
        <v>6.96342890530178E-2</v>
      </c>
    </row>
    <row r="1171" spans="1:23" x14ac:dyDescent="0.55000000000000004">
      <c r="A1171" s="3">
        <v>55</v>
      </c>
      <c r="B1171" s="3" t="s">
        <v>52</v>
      </c>
      <c r="C1171" s="3" t="s">
        <v>49</v>
      </c>
      <c r="D1171" s="3" t="s">
        <v>40</v>
      </c>
      <c r="E1171" s="2" t="s">
        <v>23</v>
      </c>
      <c r="F1171" s="3">
        <v>40</v>
      </c>
      <c r="G1171" s="4">
        <v>28.9</v>
      </c>
      <c r="H1171" s="4">
        <v>103.4</v>
      </c>
      <c r="I1171" s="6">
        <v>7.5811169370522604</v>
      </c>
      <c r="J1171" s="5">
        <v>5.0999999999999997E-2</v>
      </c>
      <c r="K1171" s="4">
        <v>24.4</v>
      </c>
      <c r="L1171" s="4">
        <v>63.6</v>
      </c>
      <c r="M1171" s="6">
        <v>5.0613997449516486</v>
      </c>
      <c r="N1171" s="5">
        <v>5.1999999999999998E-2</v>
      </c>
      <c r="O1171" s="5">
        <v>2.5197171921006118</v>
      </c>
      <c r="P1171" s="5">
        <v>2.5197171921006118</v>
      </c>
      <c r="Q1171" s="8">
        <v>0.20833333333333334</v>
      </c>
      <c r="R1171" s="8">
        <v>0.89027777777777783</v>
      </c>
      <c r="S1171" s="6">
        <f t="shared" si="54"/>
        <v>16.366666666666667</v>
      </c>
      <c r="T1171" s="5">
        <f t="shared" si="55"/>
        <v>0.15395420725665651</v>
      </c>
      <c r="U1171" s="3">
        <v>2.21</v>
      </c>
      <c r="V1171" s="5">
        <f t="shared" si="56"/>
        <v>6.9662537220206572E-2</v>
      </c>
      <c r="W1171" s="3">
        <v>6.9662537220206572E-2</v>
      </c>
    </row>
    <row r="1172" spans="1:23" x14ac:dyDescent="0.55000000000000004">
      <c r="A1172" s="3">
        <v>52</v>
      </c>
      <c r="B1172" s="3" t="s">
        <v>48</v>
      </c>
      <c r="C1172" s="3" t="s">
        <v>49</v>
      </c>
      <c r="D1172" s="3" t="s">
        <v>38</v>
      </c>
      <c r="E1172" s="3" t="s">
        <v>31</v>
      </c>
      <c r="F1172" s="3">
        <v>68</v>
      </c>
      <c r="G1172" s="4">
        <v>25.2</v>
      </c>
      <c r="H1172" s="4">
        <v>80.3</v>
      </c>
      <c r="I1172" s="6">
        <v>6.2956578395064078</v>
      </c>
      <c r="J1172" s="5">
        <v>7.2999999999999995E-2</v>
      </c>
      <c r="K1172" s="4">
        <v>24.1</v>
      </c>
      <c r="L1172" s="4">
        <v>47.4</v>
      </c>
      <c r="M1172" s="6">
        <v>3.7935290880944104</v>
      </c>
      <c r="N1172" s="5">
        <v>7.4999999999999997E-2</v>
      </c>
      <c r="O1172" s="5">
        <v>2.5021287514119974</v>
      </c>
      <c r="P1172" s="5">
        <v>2.5021287514119974</v>
      </c>
      <c r="Q1172" s="8">
        <v>0.20833333333333334</v>
      </c>
      <c r="R1172" s="8">
        <v>0.88541666666666663</v>
      </c>
      <c r="S1172" s="6">
        <f t="shared" si="54"/>
        <v>16.25</v>
      </c>
      <c r="T1172" s="5">
        <f t="shared" si="55"/>
        <v>0.15397715393304601</v>
      </c>
      <c r="U1172" s="3">
        <v>2.21</v>
      </c>
      <c r="V1172" s="5">
        <f t="shared" si="56"/>
        <v>6.9672920331695018E-2</v>
      </c>
      <c r="W1172" s="3">
        <v>6.9672920331695018E-2</v>
      </c>
    </row>
    <row r="1173" spans="1:23" x14ac:dyDescent="0.55000000000000004">
      <c r="A1173" s="3">
        <v>32</v>
      </c>
      <c r="B1173" s="3" t="s">
        <v>53</v>
      </c>
      <c r="C1173" s="3" t="s">
        <v>50</v>
      </c>
      <c r="D1173" s="3" t="s">
        <v>11</v>
      </c>
      <c r="E1173" s="3" t="s">
        <v>30</v>
      </c>
      <c r="F1173" s="3">
        <v>65</v>
      </c>
      <c r="G1173" s="4">
        <v>27.4</v>
      </c>
      <c r="H1173" s="4">
        <v>108.4</v>
      </c>
      <c r="I1173" s="6">
        <v>8.1634265922276494</v>
      </c>
      <c r="J1173" s="5">
        <v>6.0999999999999999E-2</v>
      </c>
      <c r="K1173" s="4">
        <v>22.8</v>
      </c>
      <c r="L1173" s="4">
        <v>69</v>
      </c>
      <c r="M1173" s="6">
        <v>5.6605350439645115</v>
      </c>
      <c r="N1173" s="5">
        <v>5.5E-2</v>
      </c>
      <c r="O1173" s="5">
        <v>2.502891548263138</v>
      </c>
      <c r="P1173" s="5">
        <v>2.502891548263138</v>
      </c>
      <c r="Q1173" s="8">
        <v>0.20833333333333334</v>
      </c>
      <c r="R1173" s="8">
        <v>0.88541666666666663</v>
      </c>
      <c r="S1173" s="6">
        <f t="shared" si="54"/>
        <v>16.25</v>
      </c>
      <c r="T1173" s="5">
        <f t="shared" si="55"/>
        <v>0.15402409527773156</v>
      </c>
      <c r="U1173" s="3">
        <v>2.21</v>
      </c>
      <c r="V1173" s="5">
        <f t="shared" si="56"/>
        <v>6.969416075915455E-2</v>
      </c>
      <c r="W1173" s="3">
        <v>6.969416075915455E-2</v>
      </c>
    </row>
    <row r="1174" spans="1:23" x14ac:dyDescent="0.55000000000000004">
      <c r="A1174" s="3">
        <v>32</v>
      </c>
      <c r="B1174" s="3" t="s">
        <v>53</v>
      </c>
      <c r="C1174" s="3" t="s">
        <v>50</v>
      </c>
      <c r="D1174" s="3" t="s">
        <v>11</v>
      </c>
      <c r="E1174" s="3" t="s">
        <v>28</v>
      </c>
      <c r="F1174" s="3">
        <v>58</v>
      </c>
      <c r="G1174" s="4">
        <v>27.7</v>
      </c>
      <c r="H1174" s="4">
        <v>89.8</v>
      </c>
      <c r="I1174" s="6">
        <v>6.7262829259528996</v>
      </c>
      <c r="J1174" s="5">
        <v>6.5000000000000002E-2</v>
      </c>
      <c r="K1174" s="4">
        <v>23.5</v>
      </c>
      <c r="L1174" s="4">
        <v>52</v>
      </c>
      <c r="M1174" s="6">
        <v>4.2092278944771895</v>
      </c>
      <c r="N1174" s="5">
        <v>6.3E-2</v>
      </c>
      <c r="O1174" s="5">
        <v>2.5170550314757101</v>
      </c>
      <c r="P1174" s="5">
        <v>2.5170550314757101</v>
      </c>
      <c r="Q1174" s="8">
        <v>0.20833333333333334</v>
      </c>
      <c r="R1174" s="8">
        <v>0.88888888888888884</v>
      </c>
      <c r="S1174" s="6">
        <f t="shared" si="54"/>
        <v>16.333333333333332</v>
      </c>
      <c r="T1174" s="5">
        <f t="shared" si="55"/>
        <v>0.15410541009034961</v>
      </c>
      <c r="U1174" s="3">
        <v>2.21</v>
      </c>
      <c r="V1174" s="5">
        <f t="shared" si="56"/>
        <v>6.9730954792013397E-2</v>
      </c>
      <c r="W1174" s="3">
        <v>6.9730954792013397E-2</v>
      </c>
    </row>
    <row r="1175" spans="1:23" x14ac:dyDescent="0.55000000000000004">
      <c r="A1175" s="3">
        <v>59</v>
      </c>
      <c r="B1175" s="3" t="s">
        <v>52</v>
      </c>
      <c r="C1175" s="3" t="s">
        <v>49</v>
      </c>
      <c r="D1175" s="3" t="s">
        <v>40</v>
      </c>
      <c r="E1175" s="3" t="s">
        <v>30</v>
      </c>
      <c r="F1175" s="3">
        <v>65</v>
      </c>
      <c r="G1175" s="4">
        <v>27.2</v>
      </c>
      <c r="H1175" s="4">
        <v>107.4</v>
      </c>
      <c r="I1175" s="6">
        <v>8.1173748918605195</v>
      </c>
      <c r="J1175" s="5">
        <v>5.8000000000000003E-2</v>
      </c>
      <c r="K1175" s="4">
        <v>23.2</v>
      </c>
      <c r="L1175" s="4">
        <v>68.900000000000006</v>
      </c>
      <c r="M1175" s="6">
        <v>5.6092005989406255</v>
      </c>
      <c r="N1175" s="5">
        <v>5.5E-2</v>
      </c>
      <c r="O1175" s="5">
        <v>2.508174292919894</v>
      </c>
      <c r="P1175" s="5">
        <v>2.508174292919894</v>
      </c>
      <c r="Q1175" s="8">
        <v>0.20833333333333334</v>
      </c>
      <c r="R1175" s="8">
        <v>0.88541666666666663</v>
      </c>
      <c r="S1175" s="6">
        <f t="shared" si="54"/>
        <v>16.25</v>
      </c>
      <c r="T1175" s="5">
        <f t="shared" si="55"/>
        <v>0.15434918725660887</v>
      </c>
      <c r="U1175" s="3">
        <v>2.21</v>
      </c>
      <c r="V1175" s="5">
        <f t="shared" si="56"/>
        <v>6.9841261202085461E-2</v>
      </c>
      <c r="W1175" s="3">
        <v>6.9841261202085461E-2</v>
      </c>
    </row>
    <row r="1176" spans="1:23" x14ac:dyDescent="0.55000000000000004">
      <c r="A1176" s="3">
        <v>54</v>
      </c>
      <c r="B1176" s="3" t="s">
        <v>48</v>
      </c>
      <c r="C1176" s="3" t="s">
        <v>50</v>
      </c>
      <c r="D1176" s="3" t="s">
        <v>10</v>
      </c>
      <c r="E1176" s="3" t="s">
        <v>29</v>
      </c>
      <c r="F1176" s="3">
        <v>61</v>
      </c>
      <c r="G1176" s="4">
        <v>29.9</v>
      </c>
      <c r="H1176" s="4">
        <v>106.8</v>
      </c>
      <c r="I1176" s="6">
        <v>7.6940437096368131</v>
      </c>
      <c r="J1176" s="5">
        <v>5.8999999999999997E-2</v>
      </c>
      <c r="K1176" s="4">
        <v>25.3</v>
      </c>
      <c r="L1176" s="4">
        <v>65.7</v>
      </c>
      <c r="M1176" s="6">
        <v>5.141442126612267</v>
      </c>
      <c r="N1176" s="5">
        <v>5.7000000000000002E-2</v>
      </c>
      <c r="O1176" s="5">
        <v>2.5526015830245461</v>
      </c>
      <c r="P1176" s="5">
        <v>2.5526015830245461</v>
      </c>
      <c r="Q1176" s="8">
        <v>0.19791666666666666</v>
      </c>
      <c r="R1176" s="8">
        <v>0.88541666666666663</v>
      </c>
      <c r="S1176" s="6">
        <f t="shared" si="54"/>
        <v>16.5</v>
      </c>
      <c r="T1176" s="5">
        <f t="shared" si="55"/>
        <v>0.15470312624391189</v>
      </c>
      <c r="U1176" s="3">
        <v>2.21</v>
      </c>
      <c r="V1176" s="5">
        <f t="shared" si="56"/>
        <v>7.0001414590005376E-2</v>
      </c>
      <c r="W1176" s="3">
        <v>7.0001414590005376E-2</v>
      </c>
    </row>
    <row r="1177" spans="1:23" x14ac:dyDescent="0.55000000000000004">
      <c r="A1177" s="3">
        <v>31</v>
      </c>
      <c r="B1177" s="3" t="s">
        <v>52</v>
      </c>
      <c r="C1177" s="3" t="s">
        <v>49</v>
      </c>
      <c r="D1177" s="3" t="s">
        <v>40</v>
      </c>
      <c r="E1177" s="3" t="s">
        <v>29</v>
      </c>
      <c r="F1177" s="3">
        <v>61</v>
      </c>
      <c r="G1177" s="4">
        <v>29.1</v>
      </c>
      <c r="H1177" s="4">
        <v>94.4</v>
      </c>
      <c r="I1177" s="6">
        <v>6.8968529355665513</v>
      </c>
      <c r="J1177" s="5">
        <v>8.1000000000000003E-2</v>
      </c>
      <c r="K1177" s="4">
        <v>24.9</v>
      </c>
      <c r="L1177" s="4">
        <v>55.1</v>
      </c>
      <c r="M1177" s="6">
        <v>4.344119643064059</v>
      </c>
      <c r="N1177" s="5">
        <v>7.5999999999999998E-2</v>
      </c>
      <c r="O1177" s="5">
        <v>2.5527332925024924</v>
      </c>
      <c r="P1177" s="5">
        <v>2.5527332925024924</v>
      </c>
      <c r="Q1177" s="8">
        <v>0.19791666666666666</v>
      </c>
      <c r="R1177" s="8">
        <v>0.88541666666666663</v>
      </c>
      <c r="S1177" s="6">
        <f t="shared" si="54"/>
        <v>16.5</v>
      </c>
      <c r="T1177" s="5">
        <f t="shared" si="55"/>
        <v>0.15471110863651469</v>
      </c>
      <c r="U1177" s="3">
        <v>2.21</v>
      </c>
      <c r="V1177" s="5">
        <f t="shared" si="56"/>
        <v>7.0005026532359585E-2</v>
      </c>
      <c r="W1177" s="3">
        <v>7.0005026532359585E-2</v>
      </c>
    </row>
    <row r="1178" spans="1:23" x14ac:dyDescent="0.55000000000000004">
      <c r="A1178" s="3">
        <v>17</v>
      </c>
      <c r="B1178" s="3" t="s">
        <v>52</v>
      </c>
      <c r="C1178" s="3" t="s">
        <v>50</v>
      </c>
      <c r="D1178" s="3" t="s">
        <v>12</v>
      </c>
      <c r="E1178" s="2" t="s">
        <v>23</v>
      </c>
      <c r="F1178" s="3">
        <v>40</v>
      </c>
      <c r="G1178" s="4">
        <v>28.1</v>
      </c>
      <c r="H1178" s="4">
        <v>106.6</v>
      </c>
      <c r="I1178" s="6">
        <v>7.9276498455313389</v>
      </c>
      <c r="J1178" s="5">
        <v>6.3E-2</v>
      </c>
      <c r="K1178" s="4">
        <v>23.8</v>
      </c>
      <c r="L1178" s="4">
        <v>67</v>
      </c>
      <c r="M1178" s="6">
        <v>5.3926434428444852</v>
      </c>
      <c r="N1178" s="5">
        <v>6.3E-2</v>
      </c>
      <c r="O1178" s="5">
        <v>2.5350064026868537</v>
      </c>
      <c r="P1178" s="5">
        <v>2.5350064026868537</v>
      </c>
      <c r="Q1178" s="8">
        <v>0.20833333333333334</v>
      </c>
      <c r="R1178" s="8">
        <v>0.89027777777777783</v>
      </c>
      <c r="S1178" s="6">
        <f t="shared" si="54"/>
        <v>16.366666666666667</v>
      </c>
      <c r="T1178" s="5">
        <f t="shared" si="55"/>
        <v>0.15488837490958374</v>
      </c>
      <c r="U1178" s="3">
        <v>2.21</v>
      </c>
      <c r="V1178" s="5">
        <f t="shared" si="56"/>
        <v>7.0085237515648741E-2</v>
      </c>
      <c r="W1178" s="3">
        <v>7.0085237515648741E-2</v>
      </c>
    </row>
    <row r="1179" spans="1:23" x14ac:dyDescent="0.55000000000000004">
      <c r="A1179" s="3">
        <v>64</v>
      </c>
      <c r="B1179" s="3" t="s">
        <v>53</v>
      </c>
      <c r="C1179" s="3" t="s">
        <v>50</v>
      </c>
      <c r="D1179" s="3" t="s">
        <v>11</v>
      </c>
      <c r="E1179" s="3" t="s">
        <v>34</v>
      </c>
      <c r="F1179" s="3">
        <v>79</v>
      </c>
      <c r="G1179" s="4">
        <v>28.2</v>
      </c>
      <c r="H1179" s="4">
        <v>87.7</v>
      </c>
      <c r="I1179" s="6">
        <v>6.5104574624925773</v>
      </c>
      <c r="J1179" s="5">
        <v>6.4000000000000001E-2</v>
      </c>
      <c r="K1179" s="4">
        <v>24.8</v>
      </c>
      <c r="L1179" s="4">
        <v>50.5</v>
      </c>
      <c r="M1179" s="6">
        <v>3.9888892996074437</v>
      </c>
      <c r="N1179" s="5">
        <v>0.06</v>
      </c>
      <c r="O1179" s="5">
        <v>2.5215681628851336</v>
      </c>
      <c r="P1179" s="5">
        <v>2.5215681628851336</v>
      </c>
      <c r="Q1179" s="8">
        <v>0.20833333333333334</v>
      </c>
      <c r="R1179" s="8">
        <v>0.88541666666666663</v>
      </c>
      <c r="S1179" s="6">
        <f t="shared" si="54"/>
        <v>16.25</v>
      </c>
      <c r="T1179" s="5">
        <f t="shared" si="55"/>
        <v>0.15517342540831591</v>
      </c>
      <c r="U1179" s="3">
        <v>2.21</v>
      </c>
      <c r="V1179" s="5">
        <f t="shared" si="56"/>
        <v>7.0214219641771908E-2</v>
      </c>
      <c r="W1179" s="3">
        <v>7.0214219641771908E-2</v>
      </c>
    </row>
    <row r="1180" spans="1:23" x14ac:dyDescent="0.55000000000000004">
      <c r="A1180" s="3">
        <v>10</v>
      </c>
      <c r="B1180" s="3" t="s">
        <v>51</v>
      </c>
      <c r="C1180" s="3" t="s">
        <v>49</v>
      </c>
      <c r="D1180" s="3" t="s">
        <v>39</v>
      </c>
      <c r="E1180" s="2" t="s">
        <v>23</v>
      </c>
      <c r="F1180" s="3">
        <v>40</v>
      </c>
      <c r="G1180" s="4">
        <v>29</v>
      </c>
      <c r="H1180" s="4">
        <v>122.4</v>
      </c>
      <c r="I1180" s="6">
        <v>8.9583234267007548</v>
      </c>
      <c r="J1180" s="5">
        <v>6.6000000000000003E-2</v>
      </c>
      <c r="K1180" s="4">
        <v>24.2</v>
      </c>
      <c r="L1180" s="4">
        <v>80.3</v>
      </c>
      <c r="M1180" s="6">
        <v>6.4144924857649253</v>
      </c>
      <c r="N1180" s="5">
        <v>0.06</v>
      </c>
      <c r="O1180" s="5">
        <v>2.5438309409358295</v>
      </c>
      <c r="P1180" s="5">
        <v>2.5438309409358295</v>
      </c>
      <c r="Q1180" s="8">
        <v>0.20833333333333334</v>
      </c>
      <c r="R1180" s="8">
        <v>0.89027777777777783</v>
      </c>
      <c r="S1180" s="6">
        <f t="shared" si="54"/>
        <v>16.366666666666667</v>
      </c>
      <c r="T1180" s="5">
        <f t="shared" si="55"/>
        <v>0.15542755239933784</v>
      </c>
      <c r="U1180" s="3">
        <v>2.21</v>
      </c>
      <c r="V1180" s="5">
        <f t="shared" si="56"/>
        <v>7.0329209230469619E-2</v>
      </c>
      <c r="W1180" s="3">
        <v>7.0329209230469619E-2</v>
      </c>
    </row>
    <row r="1181" spans="1:23" x14ac:dyDescent="0.55000000000000004">
      <c r="A1181" s="3">
        <v>35</v>
      </c>
      <c r="B1181" s="3" t="s">
        <v>51</v>
      </c>
      <c r="C1181" s="3" t="s">
        <v>50</v>
      </c>
      <c r="D1181" s="3" t="s">
        <v>9</v>
      </c>
      <c r="E1181" s="3" t="s">
        <v>27</v>
      </c>
      <c r="F1181" s="3">
        <v>54</v>
      </c>
      <c r="G1181" s="4">
        <v>27.6</v>
      </c>
      <c r="H1181" s="4">
        <v>90.5</v>
      </c>
      <c r="I1181" s="6">
        <v>6.7909075083563764</v>
      </c>
      <c r="J1181" s="5">
        <v>4.4999999999999998E-2</v>
      </c>
      <c r="K1181" s="4">
        <v>24.7</v>
      </c>
      <c r="L1181" s="4">
        <v>53.4</v>
      </c>
      <c r="M1181" s="6">
        <v>4.2258434793565387</v>
      </c>
      <c r="N1181" s="5">
        <v>4.2000000000000003E-2</v>
      </c>
      <c r="O1181" s="5">
        <v>2.5650640289998377</v>
      </c>
      <c r="P1181" s="5">
        <v>2.5650640289998377</v>
      </c>
      <c r="Q1181" s="8">
        <v>0.20833333333333334</v>
      </c>
      <c r="R1181" s="8">
        <v>0.89583333333333337</v>
      </c>
      <c r="S1181" s="6">
        <f t="shared" si="54"/>
        <v>16.5</v>
      </c>
      <c r="T1181" s="5">
        <f t="shared" si="55"/>
        <v>0.15545842599999016</v>
      </c>
      <c r="U1181" s="3">
        <v>2.21</v>
      </c>
      <c r="V1181" s="5">
        <f t="shared" si="56"/>
        <v>7.0343179185515914E-2</v>
      </c>
      <c r="W1181" s="3">
        <v>7.0343179185515914E-2</v>
      </c>
    </row>
    <row r="1182" spans="1:23" x14ac:dyDescent="0.55000000000000004">
      <c r="A1182" s="3">
        <v>26</v>
      </c>
      <c r="B1182" s="3" t="s">
        <v>52</v>
      </c>
      <c r="C1182" s="3" t="s">
        <v>50</v>
      </c>
      <c r="D1182" s="3" t="s">
        <v>12</v>
      </c>
      <c r="E1182" s="3" t="s">
        <v>35</v>
      </c>
      <c r="F1182" s="3">
        <v>82</v>
      </c>
      <c r="G1182" s="4">
        <v>32.1</v>
      </c>
      <c r="H1182" s="4">
        <v>77.2</v>
      </c>
      <c r="I1182" s="6">
        <v>5.3548987259042562</v>
      </c>
      <c r="J1182" s="5">
        <v>5.3999999999999999E-2</v>
      </c>
      <c r="K1182" s="4">
        <v>27.9</v>
      </c>
      <c r="L1182" s="4">
        <v>37.799999999999997</v>
      </c>
      <c r="M1182" s="6">
        <v>2.8211929167325178</v>
      </c>
      <c r="N1182" s="5">
        <v>4.8000000000000001E-2</v>
      </c>
      <c r="O1182" s="5">
        <v>2.5337058091717384</v>
      </c>
      <c r="P1182" s="5">
        <v>2.5337058091717384</v>
      </c>
      <c r="Q1182" s="8">
        <v>0.20833333333333334</v>
      </c>
      <c r="R1182" s="8">
        <v>0.88541666666666663</v>
      </c>
      <c r="S1182" s="6">
        <f t="shared" si="54"/>
        <v>16.25</v>
      </c>
      <c r="T1182" s="5">
        <f t="shared" si="55"/>
        <v>0.15592035748749158</v>
      </c>
      <c r="U1182" s="3">
        <v>2.21</v>
      </c>
      <c r="V1182" s="5">
        <f t="shared" si="56"/>
        <v>7.0552197958140994E-2</v>
      </c>
      <c r="W1182" s="3">
        <v>7.0552197958140994E-2</v>
      </c>
    </row>
    <row r="1183" spans="1:23" x14ac:dyDescent="0.55000000000000004">
      <c r="A1183" s="3">
        <v>52</v>
      </c>
      <c r="B1183" s="3" t="s">
        <v>48</v>
      </c>
      <c r="C1183" s="3" t="s">
        <v>49</v>
      </c>
      <c r="D1183" s="3" t="s">
        <v>38</v>
      </c>
      <c r="E1183" s="2" t="s">
        <v>23</v>
      </c>
      <c r="F1183" s="3">
        <v>40</v>
      </c>
      <c r="G1183" s="4">
        <v>28.1</v>
      </c>
      <c r="H1183" s="4">
        <v>93</v>
      </c>
      <c r="I1183" s="6">
        <v>6.9162423605479795</v>
      </c>
      <c r="J1183" s="5">
        <v>4.8000000000000001E-2</v>
      </c>
      <c r="K1183" s="4">
        <v>23.9</v>
      </c>
      <c r="L1183" s="4">
        <v>54.3</v>
      </c>
      <c r="M1183" s="6">
        <v>4.3621940085601629</v>
      </c>
      <c r="N1183" s="5">
        <v>5.1999999999999998E-2</v>
      </c>
      <c r="O1183" s="5">
        <v>2.5540483519878165</v>
      </c>
      <c r="P1183" s="5">
        <v>2.5540483519878165</v>
      </c>
      <c r="Q1183" s="8">
        <v>0.20833333333333334</v>
      </c>
      <c r="R1183" s="8">
        <v>0.89027777777777783</v>
      </c>
      <c r="S1183" s="6">
        <f t="shared" si="54"/>
        <v>16.366666666666667</v>
      </c>
      <c r="T1183" s="5">
        <f t="shared" si="55"/>
        <v>0.15605183413367515</v>
      </c>
      <c r="U1183" s="3">
        <v>2.21</v>
      </c>
      <c r="V1183" s="5">
        <f t="shared" si="56"/>
        <v>7.061168965324667E-2</v>
      </c>
      <c r="W1183" s="3">
        <v>7.061168965324667E-2</v>
      </c>
    </row>
    <row r="1184" spans="1:23" x14ac:dyDescent="0.55000000000000004">
      <c r="A1184" s="3">
        <v>39</v>
      </c>
      <c r="B1184" s="3" t="s">
        <v>51</v>
      </c>
      <c r="C1184" s="3" t="s">
        <v>50</v>
      </c>
      <c r="D1184" s="3" t="s">
        <v>9</v>
      </c>
      <c r="E1184" s="3" t="s">
        <v>28</v>
      </c>
      <c r="F1184" s="3">
        <v>58</v>
      </c>
      <c r="G1184" s="4">
        <v>28.5</v>
      </c>
      <c r="H1184" s="4">
        <v>98.8</v>
      </c>
      <c r="I1184" s="6">
        <v>7.2953962064070188</v>
      </c>
      <c r="J1184" s="5">
        <v>0.04</v>
      </c>
      <c r="K1184" s="4">
        <v>24.1</v>
      </c>
      <c r="L1184" s="4">
        <v>59.3</v>
      </c>
      <c r="M1184" s="6">
        <v>4.7459129730801379</v>
      </c>
      <c r="N1184" s="5">
        <v>3.4000000000000002E-2</v>
      </c>
      <c r="O1184" s="5">
        <v>2.5494832333268809</v>
      </c>
      <c r="P1184" s="5">
        <v>2.5494832333268809</v>
      </c>
      <c r="Q1184" s="8">
        <v>0.20833333333333334</v>
      </c>
      <c r="R1184" s="8">
        <v>0.88888888888888884</v>
      </c>
      <c r="S1184" s="6">
        <f t="shared" si="54"/>
        <v>16.333333333333332</v>
      </c>
      <c r="T1184" s="5">
        <f t="shared" si="55"/>
        <v>0.15609081020368659</v>
      </c>
      <c r="U1184" s="3">
        <v>2.21</v>
      </c>
      <c r="V1184" s="5">
        <f t="shared" si="56"/>
        <v>7.0629325884021085E-2</v>
      </c>
      <c r="W1184" s="3">
        <v>7.0629325884021085E-2</v>
      </c>
    </row>
    <row r="1185" spans="1:23" x14ac:dyDescent="0.55000000000000004">
      <c r="A1185" s="3">
        <v>43</v>
      </c>
      <c r="B1185" s="3" t="s">
        <v>51</v>
      </c>
      <c r="C1185" s="3" t="s">
        <v>50</v>
      </c>
      <c r="D1185" s="3" t="s">
        <v>9</v>
      </c>
      <c r="E1185" s="2" t="s">
        <v>22</v>
      </c>
      <c r="F1185" s="3">
        <v>37</v>
      </c>
      <c r="G1185" s="4">
        <v>30.6</v>
      </c>
      <c r="H1185" s="4">
        <v>104.4</v>
      </c>
      <c r="I1185" s="6">
        <v>7.4302057793215468</v>
      </c>
      <c r="J1185" s="5">
        <v>4.1000000000000002E-2</v>
      </c>
      <c r="K1185" s="4">
        <v>25.4</v>
      </c>
      <c r="L1185" s="4">
        <v>62.2</v>
      </c>
      <c r="M1185" s="6">
        <v>4.8585321238789048</v>
      </c>
      <c r="N1185" s="5">
        <v>3.7999999999999999E-2</v>
      </c>
      <c r="O1185" s="5">
        <v>2.571673655442642</v>
      </c>
      <c r="P1185" s="5">
        <v>2.571673655442642</v>
      </c>
      <c r="Q1185" s="8">
        <v>0.20138888888888887</v>
      </c>
      <c r="R1185" s="8">
        <v>0.88541666666666663</v>
      </c>
      <c r="S1185" s="6">
        <f t="shared" si="54"/>
        <v>16.416666666666668</v>
      </c>
      <c r="T1185" s="5">
        <f t="shared" si="55"/>
        <v>0.15665017190513555</v>
      </c>
      <c r="U1185" s="3">
        <v>2.21</v>
      </c>
      <c r="V1185" s="5">
        <f t="shared" si="56"/>
        <v>7.0882430726305679E-2</v>
      </c>
      <c r="W1185" s="3">
        <v>7.0882430726305679E-2</v>
      </c>
    </row>
    <row r="1186" spans="1:23" x14ac:dyDescent="0.55000000000000004">
      <c r="A1186" s="3">
        <v>57</v>
      </c>
      <c r="B1186" s="3" t="s">
        <v>52</v>
      </c>
      <c r="C1186" s="3" t="s">
        <v>50</v>
      </c>
      <c r="D1186" s="3" t="s">
        <v>12</v>
      </c>
      <c r="E1186" s="2" t="s">
        <v>19</v>
      </c>
      <c r="F1186" s="3">
        <v>26</v>
      </c>
      <c r="G1186" s="4">
        <v>20.9</v>
      </c>
      <c r="H1186" s="4">
        <v>110.4</v>
      </c>
      <c r="I1186" s="6">
        <v>9.3981525366948038</v>
      </c>
      <c r="J1186" s="5">
        <v>4.3999999999999997E-2</v>
      </c>
      <c r="K1186" s="4">
        <v>22.1</v>
      </c>
      <c r="L1186" s="4">
        <v>82.4</v>
      </c>
      <c r="M1186" s="6">
        <v>6.851774829240143</v>
      </c>
      <c r="N1186" s="5">
        <v>3.9E-2</v>
      </c>
      <c r="O1186" s="5">
        <v>2.5463777074546607</v>
      </c>
      <c r="P1186" s="5">
        <v>2.5463777074546607</v>
      </c>
      <c r="Q1186" s="8">
        <v>0.20833333333333334</v>
      </c>
      <c r="R1186" s="8">
        <v>0.88541666666666663</v>
      </c>
      <c r="S1186" s="6">
        <f t="shared" si="54"/>
        <v>16.25</v>
      </c>
      <c r="T1186" s="5">
        <f t="shared" si="55"/>
        <v>0.1567001666125945</v>
      </c>
      <c r="U1186" s="3">
        <v>2.21</v>
      </c>
      <c r="V1186" s="5">
        <f t="shared" si="56"/>
        <v>7.090505276587987E-2</v>
      </c>
      <c r="W1186" s="3">
        <v>7.090505276587987E-2</v>
      </c>
    </row>
    <row r="1187" spans="1:23" x14ac:dyDescent="0.55000000000000004">
      <c r="A1187" s="3">
        <v>40</v>
      </c>
      <c r="B1187" s="3" t="s">
        <v>48</v>
      </c>
      <c r="C1187" s="3" t="s">
        <v>50</v>
      </c>
      <c r="D1187" s="3" t="s">
        <v>10</v>
      </c>
      <c r="E1187" s="2" t="s">
        <v>21</v>
      </c>
      <c r="F1187" s="3">
        <v>33</v>
      </c>
      <c r="G1187" s="4">
        <v>30.4</v>
      </c>
      <c r="H1187" s="4">
        <v>95.1</v>
      </c>
      <c r="I1187" s="6">
        <v>6.7918102984468396</v>
      </c>
      <c r="J1187" s="5">
        <v>5.8999999999999997E-2</v>
      </c>
      <c r="K1187" s="4">
        <v>26.5</v>
      </c>
      <c r="L1187" s="4">
        <v>55.6</v>
      </c>
      <c r="M1187" s="6">
        <v>4.2560572463417561</v>
      </c>
      <c r="N1187" s="5">
        <v>5.6000000000000001E-2</v>
      </c>
      <c r="O1187" s="5">
        <v>2.5357530521050835</v>
      </c>
      <c r="P1187" s="5">
        <v>2.5357530521050835</v>
      </c>
      <c r="Q1187" s="8">
        <v>0.20833333333333334</v>
      </c>
      <c r="R1187" s="8">
        <v>0.88194444444444453</v>
      </c>
      <c r="S1187" s="6">
        <f t="shared" si="54"/>
        <v>16.166666666666668</v>
      </c>
      <c r="T1187" s="5">
        <f t="shared" si="55"/>
        <v>0.15685070425392267</v>
      </c>
      <c r="U1187" s="3">
        <v>2.21</v>
      </c>
      <c r="V1187" s="5">
        <f t="shared" si="56"/>
        <v>7.0973169345666373E-2</v>
      </c>
      <c r="W1187" s="3">
        <v>7.0973169345666373E-2</v>
      </c>
    </row>
    <row r="1188" spans="1:23" x14ac:dyDescent="0.55000000000000004">
      <c r="A1188" s="3">
        <v>9</v>
      </c>
      <c r="B1188" s="3" t="s">
        <v>48</v>
      </c>
      <c r="C1188" s="3" t="s">
        <v>50</v>
      </c>
      <c r="D1188" s="3" t="s">
        <v>10</v>
      </c>
      <c r="E1188" s="3" t="s">
        <v>31</v>
      </c>
      <c r="F1188" s="3">
        <v>68</v>
      </c>
      <c r="G1188" s="4">
        <v>25.5</v>
      </c>
      <c r="H1188" s="4">
        <v>90.7</v>
      </c>
      <c r="I1188" s="6">
        <v>7.0716081972392173</v>
      </c>
      <c r="J1188" s="5">
        <v>6.5000000000000002E-2</v>
      </c>
      <c r="K1188" s="4">
        <v>24.2</v>
      </c>
      <c r="L1188" s="4">
        <v>56.6</v>
      </c>
      <c r="M1188" s="6">
        <v>4.5212985640634473</v>
      </c>
      <c r="N1188" s="5">
        <v>6.4000000000000001E-2</v>
      </c>
      <c r="O1188" s="5">
        <v>2.55030963317577</v>
      </c>
      <c r="P1188" s="5">
        <v>2.55030963317577</v>
      </c>
      <c r="Q1188" s="8">
        <v>0.20833333333333334</v>
      </c>
      <c r="R1188" s="8">
        <v>0.88541666666666663</v>
      </c>
      <c r="S1188" s="6">
        <f t="shared" si="54"/>
        <v>16.25</v>
      </c>
      <c r="T1188" s="5">
        <f t="shared" si="55"/>
        <v>0.15694213127235507</v>
      </c>
      <c r="U1188" s="3">
        <v>2.21</v>
      </c>
      <c r="V1188" s="5">
        <f t="shared" si="56"/>
        <v>7.1014539037264748E-2</v>
      </c>
      <c r="W1188" s="3">
        <v>7.1014539037264748E-2</v>
      </c>
    </row>
    <row r="1189" spans="1:23" x14ac:dyDescent="0.55000000000000004">
      <c r="A1189" s="3">
        <v>36</v>
      </c>
      <c r="B1189" s="3" t="s">
        <v>52</v>
      </c>
      <c r="C1189" s="3" t="s">
        <v>50</v>
      </c>
      <c r="D1189" s="3" t="s">
        <v>12</v>
      </c>
      <c r="E1189" s="2" t="s">
        <v>21</v>
      </c>
      <c r="F1189" s="3">
        <v>33</v>
      </c>
      <c r="G1189" s="4">
        <v>29.9</v>
      </c>
      <c r="H1189" s="4">
        <v>90.8</v>
      </c>
      <c r="I1189" s="6">
        <v>6.5413779853466538</v>
      </c>
      <c r="J1189" s="5">
        <v>6.5000000000000002E-2</v>
      </c>
      <c r="K1189" s="4">
        <v>26.2</v>
      </c>
      <c r="L1189" s="4">
        <v>52</v>
      </c>
      <c r="M1189" s="6">
        <v>4.0023787266217576</v>
      </c>
      <c r="N1189" s="5">
        <v>6.5000000000000002E-2</v>
      </c>
      <c r="O1189" s="5">
        <v>2.5389992587248962</v>
      </c>
      <c r="P1189" s="5">
        <v>2.5389992587248962</v>
      </c>
      <c r="Q1189" s="8">
        <v>0.20833333333333334</v>
      </c>
      <c r="R1189" s="8">
        <v>0.88194444444444453</v>
      </c>
      <c r="S1189" s="6">
        <f t="shared" si="54"/>
        <v>16.166666666666668</v>
      </c>
      <c r="T1189" s="5">
        <f t="shared" si="55"/>
        <v>0.15705150053968428</v>
      </c>
      <c r="U1189" s="3">
        <v>2.21</v>
      </c>
      <c r="V1189" s="5">
        <f t="shared" si="56"/>
        <v>7.10640273935223E-2</v>
      </c>
      <c r="W1189" s="3">
        <v>7.10640273935223E-2</v>
      </c>
    </row>
    <row r="1190" spans="1:23" x14ac:dyDescent="0.55000000000000004">
      <c r="A1190" s="3">
        <v>63</v>
      </c>
      <c r="B1190" s="3" t="s">
        <v>51</v>
      </c>
      <c r="C1190" s="3" t="s">
        <v>49</v>
      </c>
      <c r="D1190" s="3" t="s">
        <v>39</v>
      </c>
      <c r="E1190" s="2" t="s">
        <v>23</v>
      </c>
      <c r="F1190" s="3">
        <v>40</v>
      </c>
      <c r="G1190" s="4">
        <v>29.3</v>
      </c>
      <c r="H1190" s="4">
        <v>106.8</v>
      </c>
      <c r="I1190" s="6">
        <v>7.7753594914591462</v>
      </c>
      <c r="J1190" s="5">
        <v>4.9000000000000002E-2</v>
      </c>
      <c r="K1190" s="4">
        <v>24.5</v>
      </c>
      <c r="L1190" s="4">
        <v>65.5</v>
      </c>
      <c r="M1190" s="6">
        <v>5.2028332320444042</v>
      </c>
      <c r="N1190" s="5">
        <v>4.4999999999999998E-2</v>
      </c>
      <c r="O1190" s="5">
        <v>2.572526259414742</v>
      </c>
      <c r="P1190" s="5">
        <v>2.572526259414742</v>
      </c>
      <c r="Q1190" s="8">
        <v>0.20833333333333334</v>
      </c>
      <c r="R1190" s="8">
        <v>0.89027777777777783</v>
      </c>
      <c r="S1190" s="6">
        <f t="shared" si="54"/>
        <v>16.366666666666667</v>
      </c>
      <c r="T1190" s="5">
        <f t="shared" si="55"/>
        <v>0.15718083051413903</v>
      </c>
      <c r="U1190" s="3">
        <v>2.21</v>
      </c>
      <c r="V1190" s="5">
        <f t="shared" si="56"/>
        <v>7.1122547743954309E-2</v>
      </c>
      <c r="W1190" s="3">
        <v>7.1122547743954309E-2</v>
      </c>
    </row>
    <row r="1191" spans="1:23" x14ac:dyDescent="0.55000000000000004">
      <c r="A1191" s="3">
        <v>47</v>
      </c>
      <c r="B1191" s="3" t="s">
        <v>52</v>
      </c>
      <c r="C1191" s="3" t="s">
        <v>50</v>
      </c>
      <c r="D1191" s="3" t="s">
        <v>12</v>
      </c>
      <c r="E1191" s="2" t="s">
        <v>21</v>
      </c>
      <c r="F1191" s="3">
        <v>33</v>
      </c>
      <c r="G1191" s="4">
        <v>30</v>
      </c>
      <c r="H1191" s="4">
        <v>98.3</v>
      </c>
      <c r="I1191" s="6">
        <v>7.0693474530577554</v>
      </c>
      <c r="J1191" s="5">
        <v>7.0000000000000007E-2</v>
      </c>
      <c r="K1191" s="4">
        <v>26.2</v>
      </c>
      <c r="L1191" s="4">
        <v>58.8</v>
      </c>
      <c r="M1191" s="6">
        <v>4.5257667139492179</v>
      </c>
      <c r="N1191" s="5">
        <v>6.7000000000000004E-2</v>
      </c>
      <c r="O1191" s="5">
        <v>2.5435807391085374</v>
      </c>
      <c r="P1191" s="5">
        <v>2.5435807391085374</v>
      </c>
      <c r="Q1191" s="8">
        <v>0.20833333333333334</v>
      </c>
      <c r="R1191" s="8">
        <v>0.88194444444444453</v>
      </c>
      <c r="S1191" s="6">
        <f t="shared" si="54"/>
        <v>16.166666666666668</v>
      </c>
      <c r="T1191" s="5">
        <f t="shared" si="55"/>
        <v>0.1573348910788786</v>
      </c>
      <c r="U1191" s="3">
        <v>2.21</v>
      </c>
      <c r="V1191" s="5">
        <f t="shared" si="56"/>
        <v>7.1192258406732406E-2</v>
      </c>
      <c r="W1191" s="3">
        <v>7.1192258406732406E-2</v>
      </c>
    </row>
    <row r="1192" spans="1:23" x14ac:dyDescent="0.55000000000000004">
      <c r="A1192" s="3">
        <v>33</v>
      </c>
      <c r="B1192" s="3" t="s">
        <v>51</v>
      </c>
      <c r="C1192" s="3" t="s">
        <v>50</v>
      </c>
      <c r="D1192" s="3" t="s">
        <v>9</v>
      </c>
      <c r="E1192" s="2" t="s">
        <v>17</v>
      </c>
      <c r="F1192" s="3">
        <v>19</v>
      </c>
      <c r="G1192" s="4">
        <v>22</v>
      </c>
      <c r="H1192" s="4">
        <v>106.3</v>
      </c>
      <c r="I1192" s="6">
        <v>8.8562969264669036</v>
      </c>
      <c r="J1192" s="5">
        <v>4.4999999999999998E-2</v>
      </c>
      <c r="K1192" s="4">
        <v>17</v>
      </c>
      <c r="L1192" s="4">
        <v>68.400000000000006</v>
      </c>
      <c r="M1192" s="6">
        <v>6.3031899873158306</v>
      </c>
      <c r="N1192" s="5">
        <v>0.04</v>
      </c>
      <c r="O1192" s="5">
        <v>2.553106939151073</v>
      </c>
      <c r="P1192" s="5">
        <v>2.553106939151073</v>
      </c>
      <c r="Q1192" s="8">
        <v>0.19930555555555554</v>
      </c>
      <c r="R1192" s="8">
        <v>0.875</v>
      </c>
      <c r="S1192" s="6">
        <f t="shared" si="54"/>
        <v>16.216666666666669</v>
      </c>
      <c r="T1192" s="5">
        <f t="shared" si="55"/>
        <v>0.1574372213248349</v>
      </c>
      <c r="U1192" s="3">
        <v>2.21</v>
      </c>
      <c r="V1192" s="5">
        <f t="shared" si="56"/>
        <v>7.1238561685445664E-2</v>
      </c>
      <c r="W1192" s="3">
        <v>7.1238561685445664E-2</v>
      </c>
    </row>
    <row r="1193" spans="1:23" x14ac:dyDescent="0.55000000000000004">
      <c r="A1193" s="3">
        <v>8</v>
      </c>
      <c r="B1193" s="3" t="s">
        <v>51</v>
      </c>
      <c r="C1193" s="3" t="s">
        <v>50</v>
      </c>
      <c r="D1193" s="3" t="s">
        <v>9</v>
      </c>
      <c r="E1193" s="2" t="s">
        <v>25</v>
      </c>
      <c r="F1193" s="3">
        <v>47</v>
      </c>
      <c r="G1193" s="4">
        <v>28.4</v>
      </c>
      <c r="H1193" s="4">
        <v>84.7</v>
      </c>
      <c r="I1193" s="6">
        <v>6.265383619709568</v>
      </c>
      <c r="J1193" s="5">
        <v>4.5999999999999999E-2</v>
      </c>
      <c r="K1193" s="4">
        <v>24.9</v>
      </c>
      <c r="L1193" s="4">
        <v>46.5</v>
      </c>
      <c r="M1193" s="6">
        <v>3.6660900798997953</v>
      </c>
      <c r="N1193" s="5">
        <v>4.2000000000000003E-2</v>
      </c>
      <c r="O1193" s="5">
        <v>2.5992935398097727</v>
      </c>
      <c r="P1193" s="5">
        <v>2.5992935398097727</v>
      </c>
      <c r="Q1193" s="8">
        <v>0.20833333333333334</v>
      </c>
      <c r="R1193" s="8">
        <v>0.89583333333333337</v>
      </c>
      <c r="S1193" s="6">
        <f t="shared" si="54"/>
        <v>16.5</v>
      </c>
      <c r="T1193" s="5">
        <f t="shared" si="55"/>
        <v>0.15753294180665289</v>
      </c>
      <c r="U1193" s="3">
        <v>2.21</v>
      </c>
      <c r="V1193" s="5">
        <f t="shared" si="56"/>
        <v>7.128187412065741E-2</v>
      </c>
      <c r="W1193" s="3">
        <v>7.128187412065741E-2</v>
      </c>
    </row>
    <row r="1194" spans="1:23" x14ac:dyDescent="0.55000000000000004">
      <c r="A1194" s="3">
        <v>13</v>
      </c>
      <c r="B1194" s="3" t="s">
        <v>53</v>
      </c>
      <c r="C1194" s="3" t="s">
        <v>50</v>
      </c>
      <c r="D1194" s="3" t="s">
        <v>11</v>
      </c>
      <c r="E1194" s="3" t="s">
        <v>27</v>
      </c>
      <c r="F1194" s="3">
        <v>54</v>
      </c>
      <c r="G1194" s="4">
        <v>27.8</v>
      </c>
      <c r="H1194" s="4">
        <v>94.5</v>
      </c>
      <c r="I1194" s="6">
        <v>7.0656348053811477</v>
      </c>
      <c r="J1194" s="5">
        <v>4.2000000000000003E-2</v>
      </c>
      <c r="K1194" s="4">
        <v>24.6</v>
      </c>
      <c r="L1194" s="4">
        <v>56.3</v>
      </c>
      <c r="M1194" s="6">
        <v>4.4636816232479672</v>
      </c>
      <c r="N1194" s="5">
        <v>4.2000000000000003E-2</v>
      </c>
      <c r="O1194" s="5">
        <v>2.6019531821331805</v>
      </c>
      <c r="P1194" s="5">
        <v>2.6019531821331805</v>
      </c>
      <c r="Q1194" s="8">
        <v>0.20833333333333334</v>
      </c>
      <c r="R1194" s="8">
        <v>0.89583333333333337</v>
      </c>
      <c r="S1194" s="6">
        <f t="shared" si="54"/>
        <v>16.5</v>
      </c>
      <c r="T1194" s="5">
        <f t="shared" si="55"/>
        <v>0.15769413225049578</v>
      </c>
      <c r="U1194" s="3">
        <v>2.21</v>
      </c>
      <c r="V1194" s="5">
        <f t="shared" si="56"/>
        <v>7.1354810973075028E-2</v>
      </c>
      <c r="W1194" s="3">
        <v>7.1354810973075028E-2</v>
      </c>
    </row>
    <row r="1195" spans="1:23" x14ac:dyDescent="0.55000000000000004">
      <c r="A1195" s="3">
        <v>16</v>
      </c>
      <c r="B1195" s="3" t="s">
        <v>52</v>
      </c>
      <c r="C1195" s="3" t="s">
        <v>50</v>
      </c>
      <c r="D1195" s="3" t="s">
        <v>12</v>
      </c>
      <c r="E1195" s="3" t="s">
        <v>30</v>
      </c>
      <c r="F1195" s="3">
        <v>65</v>
      </c>
      <c r="G1195" s="4">
        <v>27.5</v>
      </c>
      <c r="H1195" s="4">
        <v>99.9</v>
      </c>
      <c r="I1195" s="6">
        <v>7.5097623752814435</v>
      </c>
      <c r="J1195" s="5">
        <v>6.6000000000000003E-2</v>
      </c>
      <c r="K1195" s="4">
        <v>22.6</v>
      </c>
      <c r="L1195" s="4">
        <v>60</v>
      </c>
      <c r="M1195" s="6">
        <v>4.9411731630968321</v>
      </c>
      <c r="N1195" s="5">
        <v>6.2E-2</v>
      </c>
      <c r="O1195" s="5">
        <v>2.5685892121846114</v>
      </c>
      <c r="P1195" s="5">
        <v>2.5685892121846114</v>
      </c>
      <c r="Q1195" s="8">
        <v>0.20833333333333334</v>
      </c>
      <c r="R1195" s="8">
        <v>0.88541666666666663</v>
      </c>
      <c r="S1195" s="6">
        <f t="shared" si="54"/>
        <v>16.25</v>
      </c>
      <c r="T1195" s="5">
        <f t="shared" si="55"/>
        <v>0.15806702844212994</v>
      </c>
      <c r="U1195" s="3">
        <v>2.21</v>
      </c>
      <c r="V1195" s="5">
        <f t="shared" si="56"/>
        <v>7.1523542281506758E-2</v>
      </c>
      <c r="W1195" s="3">
        <v>7.1523542281506758E-2</v>
      </c>
    </row>
    <row r="1196" spans="1:23" x14ac:dyDescent="0.55000000000000004">
      <c r="A1196" s="3">
        <v>61</v>
      </c>
      <c r="B1196" s="3" t="s">
        <v>53</v>
      </c>
      <c r="C1196" s="3" t="s">
        <v>50</v>
      </c>
      <c r="D1196" s="3" t="s">
        <v>11</v>
      </c>
      <c r="E1196" s="3" t="s">
        <v>29</v>
      </c>
      <c r="F1196" s="3">
        <v>61</v>
      </c>
      <c r="G1196" s="4">
        <v>30.7</v>
      </c>
      <c r="H1196" s="4">
        <v>93.1</v>
      </c>
      <c r="I1196" s="6">
        <v>6.6145316140708221</v>
      </c>
      <c r="J1196" s="5">
        <v>0.05</v>
      </c>
      <c r="K1196" s="4">
        <v>25.9</v>
      </c>
      <c r="L1196" s="4">
        <v>51.7</v>
      </c>
      <c r="M1196" s="6">
        <v>4.0012639238642258</v>
      </c>
      <c r="N1196" s="5">
        <v>4.5999999999999999E-2</v>
      </c>
      <c r="O1196" s="5">
        <v>2.6132676902065963</v>
      </c>
      <c r="P1196" s="5">
        <v>2.6132676902065963</v>
      </c>
      <c r="Q1196" s="8">
        <v>0.19791666666666666</v>
      </c>
      <c r="R1196" s="8">
        <v>0.88541666666666663</v>
      </c>
      <c r="S1196" s="6">
        <f t="shared" si="54"/>
        <v>16.5</v>
      </c>
      <c r="T1196" s="5">
        <f t="shared" si="55"/>
        <v>0.158379860012521</v>
      </c>
      <c r="U1196" s="3">
        <v>2.21</v>
      </c>
      <c r="V1196" s="5">
        <f t="shared" si="56"/>
        <v>7.1665095028290049E-2</v>
      </c>
      <c r="W1196" s="3">
        <v>7.1665095028290049E-2</v>
      </c>
    </row>
    <row r="1197" spans="1:23" x14ac:dyDescent="0.55000000000000004">
      <c r="A1197" s="3">
        <v>35</v>
      </c>
      <c r="B1197" s="3" t="s">
        <v>51</v>
      </c>
      <c r="C1197" s="3" t="s">
        <v>50</v>
      </c>
      <c r="D1197" s="3" t="s">
        <v>9</v>
      </c>
      <c r="E1197" s="2" t="s">
        <v>20</v>
      </c>
      <c r="F1197" s="3">
        <v>30</v>
      </c>
      <c r="G1197" s="4">
        <v>27.4</v>
      </c>
      <c r="H1197" s="4">
        <v>109.1</v>
      </c>
      <c r="I1197" s="6">
        <v>8.2161424466055024</v>
      </c>
      <c r="J1197" s="5">
        <v>4.5999999999999999E-2</v>
      </c>
      <c r="K1197" s="4">
        <v>24.1</v>
      </c>
      <c r="L1197" s="4">
        <v>70.5</v>
      </c>
      <c r="M1197" s="6">
        <v>5.6422742765961171</v>
      </c>
      <c r="N1197" s="5">
        <v>4.5999999999999999E-2</v>
      </c>
      <c r="O1197" s="5">
        <v>2.5738681700093853</v>
      </c>
      <c r="P1197" s="5">
        <v>2.5738681700093853</v>
      </c>
      <c r="Q1197" s="8">
        <v>0.20833333333333334</v>
      </c>
      <c r="R1197" s="8">
        <v>0.88541666666666663</v>
      </c>
      <c r="S1197" s="6">
        <f t="shared" si="54"/>
        <v>16.25</v>
      </c>
      <c r="T1197" s="5">
        <f t="shared" si="55"/>
        <v>0.15839188738519294</v>
      </c>
      <c r="U1197" s="3">
        <v>2.21</v>
      </c>
      <c r="V1197" s="5">
        <f t="shared" si="56"/>
        <v>7.1670537278367849E-2</v>
      </c>
      <c r="W1197" s="3">
        <v>7.1670537278367849E-2</v>
      </c>
    </row>
    <row r="1198" spans="1:23" x14ac:dyDescent="0.55000000000000004">
      <c r="A1198" s="3">
        <v>64</v>
      </c>
      <c r="B1198" s="3" t="s">
        <v>53</v>
      </c>
      <c r="C1198" s="3" t="s">
        <v>50</v>
      </c>
      <c r="D1198" s="3" t="s">
        <v>11</v>
      </c>
      <c r="E1198" s="2" t="s">
        <v>24</v>
      </c>
      <c r="F1198" s="3">
        <v>44</v>
      </c>
      <c r="G1198" s="4">
        <v>25.3</v>
      </c>
      <c r="H1198" s="4">
        <v>90.7</v>
      </c>
      <c r="I1198" s="6">
        <v>7.0978508505895368</v>
      </c>
      <c r="J1198" s="5">
        <v>6.0999999999999999E-2</v>
      </c>
      <c r="K1198" s="4">
        <v>20.9</v>
      </c>
      <c r="L1198" s="4">
        <v>52</v>
      </c>
      <c r="M1198" s="6">
        <v>4.4266660498924804</v>
      </c>
      <c r="N1198" s="5">
        <v>5.5E-2</v>
      </c>
      <c r="O1198" s="5">
        <v>2.6711848006970564</v>
      </c>
      <c r="P1198" s="5">
        <v>2.6711848006970564</v>
      </c>
      <c r="Q1198" s="8">
        <v>0.20277777777777781</v>
      </c>
      <c r="R1198" s="8">
        <v>0.90277777777777779</v>
      </c>
      <c r="S1198" s="6">
        <f t="shared" si="54"/>
        <v>16.799999999999997</v>
      </c>
      <c r="T1198" s="5">
        <f t="shared" si="55"/>
        <v>0.15899909527958672</v>
      </c>
      <c r="U1198" s="3">
        <v>2.21</v>
      </c>
      <c r="V1198" s="5">
        <f t="shared" si="56"/>
        <v>7.1945291981713455E-2</v>
      </c>
      <c r="W1198" s="3">
        <v>7.1945291981713455E-2</v>
      </c>
    </row>
    <row r="1199" spans="1:23" x14ac:dyDescent="0.55000000000000004">
      <c r="A1199" s="3">
        <v>62</v>
      </c>
      <c r="B1199" s="3" t="s">
        <v>52</v>
      </c>
      <c r="C1199" s="3" t="s">
        <v>49</v>
      </c>
      <c r="D1199" s="3" t="s">
        <v>40</v>
      </c>
      <c r="E1199" s="2" t="s">
        <v>23</v>
      </c>
      <c r="F1199" s="3">
        <v>40</v>
      </c>
      <c r="G1199" s="4">
        <v>28.7</v>
      </c>
      <c r="H1199" s="4">
        <v>97.5</v>
      </c>
      <c r="I1199" s="6">
        <v>7.1738934260809488</v>
      </c>
      <c r="J1199" s="5">
        <v>5.5E-2</v>
      </c>
      <c r="K1199" s="4">
        <v>24.2</v>
      </c>
      <c r="L1199" s="4">
        <v>57.2</v>
      </c>
      <c r="M1199" s="6">
        <v>4.5692275241065232</v>
      </c>
      <c r="N1199" s="5">
        <v>5.6000000000000001E-2</v>
      </c>
      <c r="O1199" s="5">
        <v>2.6046659019744256</v>
      </c>
      <c r="P1199" s="5">
        <v>2.6046659019744256</v>
      </c>
      <c r="Q1199" s="8">
        <v>0.20833333333333334</v>
      </c>
      <c r="R1199" s="8">
        <v>0.89027777777777783</v>
      </c>
      <c r="S1199" s="6">
        <f t="shared" si="54"/>
        <v>16.366666666666667</v>
      </c>
      <c r="T1199" s="5">
        <f t="shared" si="55"/>
        <v>0.15914455612878364</v>
      </c>
      <c r="U1199" s="3">
        <v>2.21</v>
      </c>
      <c r="V1199" s="5">
        <f t="shared" si="56"/>
        <v>7.2011111370490336E-2</v>
      </c>
      <c r="W1199" s="3">
        <v>7.2011111370490336E-2</v>
      </c>
    </row>
    <row r="1200" spans="1:23" x14ac:dyDescent="0.55000000000000004">
      <c r="A1200" s="3">
        <v>48</v>
      </c>
      <c r="B1200" s="3" t="s">
        <v>52</v>
      </c>
      <c r="C1200" s="3" t="s">
        <v>49</v>
      </c>
      <c r="D1200" s="3" t="s">
        <v>40</v>
      </c>
      <c r="E1200" s="2" t="s">
        <v>23</v>
      </c>
      <c r="F1200" s="3">
        <v>40</v>
      </c>
      <c r="G1200" s="4">
        <v>28.5</v>
      </c>
      <c r="H1200" s="4">
        <v>88.2</v>
      </c>
      <c r="I1200" s="6">
        <v>6.5126917551123391</v>
      </c>
      <c r="J1200" s="5">
        <v>7.0999999999999994E-2</v>
      </c>
      <c r="K1200" s="4">
        <v>24</v>
      </c>
      <c r="L1200" s="4">
        <v>48.7</v>
      </c>
      <c r="M1200" s="6">
        <v>3.9049322277537271</v>
      </c>
      <c r="N1200" s="5">
        <v>6.5000000000000002E-2</v>
      </c>
      <c r="O1200" s="5">
        <v>2.6077595273586121</v>
      </c>
      <c r="P1200" s="5">
        <v>2.6077595273586121</v>
      </c>
      <c r="Q1200" s="8">
        <v>0.20833333333333334</v>
      </c>
      <c r="R1200" s="8">
        <v>0.89027777777777783</v>
      </c>
      <c r="S1200" s="6">
        <f t="shared" si="54"/>
        <v>16.366666666666667</v>
      </c>
      <c r="T1200" s="5">
        <f t="shared" si="55"/>
        <v>0.15933357600969117</v>
      </c>
      <c r="U1200" s="3">
        <v>2.21</v>
      </c>
      <c r="V1200" s="5">
        <f t="shared" si="56"/>
        <v>7.2096640728367051E-2</v>
      </c>
      <c r="W1200" s="3">
        <v>7.2096640728367051E-2</v>
      </c>
    </row>
    <row r="1201" spans="1:23" x14ac:dyDescent="0.55000000000000004">
      <c r="A1201" s="3">
        <v>37</v>
      </c>
      <c r="B1201" s="3" t="s">
        <v>53</v>
      </c>
      <c r="C1201" s="3" t="s">
        <v>50</v>
      </c>
      <c r="D1201" s="3" t="s">
        <v>11</v>
      </c>
      <c r="E1201" s="3" t="s">
        <v>28</v>
      </c>
      <c r="F1201" s="3">
        <v>58</v>
      </c>
      <c r="G1201" s="4">
        <v>28.5</v>
      </c>
      <c r="H1201" s="4">
        <v>97.9</v>
      </c>
      <c r="I1201" s="6">
        <v>7.2289401680895473</v>
      </c>
      <c r="J1201" s="5">
        <v>4.8000000000000001E-2</v>
      </c>
      <c r="K1201" s="4">
        <v>24.4</v>
      </c>
      <c r="L1201" s="4">
        <v>58.1</v>
      </c>
      <c r="M1201" s="6">
        <v>4.6237000814731255</v>
      </c>
      <c r="N1201" s="5">
        <v>4.2000000000000003E-2</v>
      </c>
      <c r="O1201" s="5">
        <v>2.6052400866164218</v>
      </c>
      <c r="P1201" s="5">
        <v>2.6052400866164218</v>
      </c>
      <c r="Q1201" s="8">
        <v>0.20833333333333334</v>
      </c>
      <c r="R1201" s="8">
        <v>0.88888888888888884</v>
      </c>
      <c r="S1201" s="6">
        <f t="shared" si="54"/>
        <v>16.333333333333332</v>
      </c>
      <c r="T1201" s="5">
        <f t="shared" si="55"/>
        <v>0.15950449509896461</v>
      </c>
      <c r="U1201" s="3">
        <v>2.21</v>
      </c>
      <c r="V1201" s="5">
        <f t="shared" si="56"/>
        <v>7.2173979682789421E-2</v>
      </c>
      <c r="W1201" s="3">
        <v>7.2173979682789421E-2</v>
      </c>
    </row>
    <row r="1202" spans="1:23" x14ac:dyDescent="0.55000000000000004">
      <c r="A1202" s="3">
        <v>34</v>
      </c>
      <c r="B1202" s="3" t="s">
        <v>48</v>
      </c>
      <c r="C1202" s="3" t="s">
        <v>50</v>
      </c>
      <c r="D1202" s="3" t="s">
        <v>10</v>
      </c>
      <c r="E1202" s="3" t="s">
        <v>34</v>
      </c>
      <c r="F1202" s="3">
        <v>79</v>
      </c>
      <c r="G1202" s="4">
        <v>28.6</v>
      </c>
      <c r="H1202" s="4">
        <v>83.6</v>
      </c>
      <c r="I1202" s="6">
        <v>6.1620738586735762</v>
      </c>
      <c r="J1202" s="5">
        <v>7.0000000000000007E-2</v>
      </c>
      <c r="K1202" s="4">
        <v>25.1</v>
      </c>
      <c r="L1202" s="4">
        <v>45.4</v>
      </c>
      <c r="M1202" s="6">
        <v>3.5660589484642959</v>
      </c>
      <c r="N1202" s="5">
        <v>6.7000000000000004E-2</v>
      </c>
      <c r="O1202" s="5">
        <v>2.5960149102092802</v>
      </c>
      <c r="P1202" s="5">
        <v>2.5960149102092802</v>
      </c>
      <c r="Q1202" s="8">
        <v>0.20833333333333334</v>
      </c>
      <c r="R1202" s="8">
        <v>0.88541666666666663</v>
      </c>
      <c r="S1202" s="6">
        <f t="shared" si="54"/>
        <v>16.25</v>
      </c>
      <c r="T1202" s="5">
        <f t="shared" si="55"/>
        <v>0.15975476370518649</v>
      </c>
      <c r="U1202" s="3">
        <v>2.21</v>
      </c>
      <c r="V1202" s="5">
        <f t="shared" si="56"/>
        <v>7.2287223396011985E-2</v>
      </c>
      <c r="W1202" s="3">
        <v>7.2287223396011985E-2</v>
      </c>
    </row>
    <row r="1203" spans="1:23" x14ac:dyDescent="0.55000000000000004">
      <c r="A1203" s="3">
        <v>55</v>
      </c>
      <c r="B1203" s="3" t="s">
        <v>52</v>
      </c>
      <c r="C1203" s="3" t="s">
        <v>49</v>
      </c>
      <c r="D1203" s="3" t="s">
        <v>40</v>
      </c>
      <c r="E1203" s="3" t="s">
        <v>29</v>
      </c>
      <c r="F1203" s="3">
        <v>61</v>
      </c>
      <c r="G1203" s="4">
        <v>30.6</v>
      </c>
      <c r="H1203" s="4">
        <v>131.9</v>
      </c>
      <c r="I1203" s="6">
        <v>9.3873959989704208</v>
      </c>
      <c r="J1203" s="5">
        <v>7.3999999999999996E-2</v>
      </c>
      <c r="K1203" s="4">
        <v>26</v>
      </c>
      <c r="L1203" s="4">
        <v>87.3</v>
      </c>
      <c r="M1203" s="6">
        <v>6.7440774505380965</v>
      </c>
      <c r="N1203" s="5">
        <v>6.9000000000000006E-2</v>
      </c>
      <c r="O1203" s="5">
        <v>2.6433185484323243</v>
      </c>
      <c r="P1203" s="5">
        <v>2.6433185484323243</v>
      </c>
      <c r="Q1203" s="8">
        <v>0.19791666666666666</v>
      </c>
      <c r="R1203" s="8">
        <v>0.88541666666666663</v>
      </c>
      <c r="S1203" s="6">
        <f t="shared" si="54"/>
        <v>16.5</v>
      </c>
      <c r="T1203" s="5">
        <f t="shared" si="55"/>
        <v>0.16020112414741358</v>
      </c>
      <c r="U1203" s="3">
        <v>2.21</v>
      </c>
      <c r="V1203" s="5">
        <f t="shared" si="56"/>
        <v>7.2489196446793483E-2</v>
      </c>
      <c r="W1203" s="3">
        <v>7.2489196446793483E-2</v>
      </c>
    </row>
    <row r="1204" spans="1:23" x14ac:dyDescent="0.55000000000000004">
      <c r="A1204" s="3">
        <v>26</v>
      </c>
      <c r="B1204" s="3" t="s">
        <v>52</v>
      </c>
      <c r="C1204" s="3" t="s">
        <v>50</v>
      </c>
      <c r="D1204" s="3" t="s">
        <v>12</v>
      </c>
      <c r="E1204" s="2" t="s">
        <v>21</v>
      </c>
      <c r="F1204" s="3">
        <v>33</v>
      </c>
      <c r="G1204" s="4">
        <v>30.78</v>
      </c>
      <c r="H1204" s="4">
        <v>99.6</v>
      </c>
      <c r="I1204" s="6">
        <v>7.0665703877989143</v>
      </c>
      <c r="J1204" s="5">
        <v>5.2999999999999999E-2</v>
      </c>
      <c r="K1204" s="4">
        <v>27</v>
      </c>
      <c r="L1204" s="4">
        <v>59</v>
      </c>
      <c r="M1204" s="6">
        <v>4.4754386778097519</v>
      </c>
      <c r="N1204" s="5">
        <v>5.0999999999999997E-2</v>
      </c>
      <c r="O1204" s="5">
        <v>2.5911317099891624</v>
      </c>
      <c r="P1204" s="5">
        <v>2.5911317099891624</v>
      </c>
      <c r="Q1204" s="8">
        <v>0.20833333333333334</v>
      </c>
      <c r="R1204" s="8">
        <v>0.88194444444444453</v>
      </c>
      <c r="S1204" s="6">
        <f t="shared" si="54"/>
        <v>16.166666666666668</v>
      </c>
      <c r="T1204" s="5">
        <f t="shared" si="55"/>
        <v>0.1602761882467523</v>
      </c>
      <c r="U1204" s="3">
        <v>2.21</v>
      </c>
      <c r="V1204" s="5">
        <f t="shared" si="56"/>
        <v>7.2523162102602859E-2</v>
      </c>
      <c r="W1204" s="3">
        <v>7.2523162102602859E-2</v>
      </c>
    </row>
    <row r="1205" spans="1:23" x14ac:dyDescent="0.55000000000000004">
      <c r="A1205" s="3">
        <v>9</v>
      </c>
      <c r="B1205" s="3" t="s">
        <v>48</v>
      </c>
      <c r="C1205" s="3" t="s">
        <v>50</v>
      </c>
      <c r="D1205" s="3" t="s">
        <v>10</v>
      </c>
      <c r="E1205" s="3" t="s">
        <v>26</v>
      </c>
      <c r="F1205" s="3">
        <v>51</v>
      </c>
      <c r="G1205" s="4">
        <v>28.2</v>
      </c>
      <c r="H1205" s="4">
        <v>105.1</v>
      </c>
      <c r="I1205" s="6">
        <v>7.8021559784261107</v>
      </c>
      <c r="J1205" s="5">
        <v>7.3999999999999996E-2</v>
      </c>
      <c r="K1205" s="4">
        <v>25</v>
      </c>
      <c r="L1205" s="4">
        <v>66.5</v>
      </c>
      <c r="M1205" s="6">
        <v>5.2331419091820308</v>
      </c>
      <c r="N1205" s="5">
        <v>7.0000000000000007E-2</v>
      </c>
      <c r="O1205" s="5">
        <v>2.5690140692440799</v>
      </c>
      <c r="P1205" s="5">
        <v>2.5690140692440799</v>
      </c>
      <c r="Q1205" s="8">
        <v>0.20833333333333334</v>
      </c>
      <c r="R1205" s="8">
        <v>0.875</v>
      </c>
      <c r="S1205" s="6">
        <f t="shared" si="54"/>
        <v>16</v>
      </c>
      <c r="T1205" s="5">
        <f t="shared" si="55"/>
        <v>0.160563379327755</v>
      </c>
      <c r="U1205" s="3">
        <v>2.21</v>
      </c>
      <c r="V1205" s="5">
        <f t="shared" si="56"/>
        <v>7.2653112817988683E-2</v>
      </c>
      <c r="W1205" s="3">
        <v>7.2653112817988683E-2</v>
      </c>
    </row>
    <row r="1206" spans="1:23" x14ac:dyDescent="0.55000000000000004">
      <c r="A1206" s="3">
        <v>64</v>
      </c>
      <c r="B1206" s="3" t="s">
        <v>53</v>
      </c>
      <c r="C1206" s="3" t="s">
        <v>50</v>
      </c>
      <c r="D1206" s="3" t="s">
        <v>11</v>
      </c>
      <c r="E1206" s="2" t="s">
        <v>20</v>
      </c>
      <c r="F1206" s="3">
        <v>30</v>
      </c>
      <c r="G1206" s="4">
        <v>27.9</v>
      </c>
      <c r="H1206" s="4">
        <v>118.8</v>
      </c>
      <c r="I1206" s="6">
        <v>8.8666063097307699</v>
      </c>
      <c r="J1206" s="5">
        <v>5.8000000000000003E-2</v>
      </c>
      <c r="K1206" s="4">
        <v>24.2</v>
      </c>
      <c r="L1206" s="4">
        <v>78.3</v>
      </c>
      <c r="M1206" s="6">
        <v>6.254729285621341</v>
      </c>
      <c r="N1206" s="5">
        <v>5.8000000000000003E-2</v>
      </c>
      <c r="O1206" s="5">
        <v>2.6118770241094289</v>
      </c>
      <c r="P1206" s="5">
        <v>2.6118770241094289</v>
      </c>
      <c r="Q1206" s="8">
        <v>0.20833333333333334</v>
      </c>
      <c r="R1206" s="8">
        <v>0.88541666666666663</v>
      </c>
      <c r="S1206" s="6">
        <f t="shared" si="54"/>
        <v>16.25</v>
      </c>
      <c r="T1206" s="5">
        <f t="shared" si="55"/>
        <v>0.16073089379134947</v>
      </c>
      <c r="U1206" s="3">
        <v>2.21</v>
      </c>
      <c r="V1206" s="5">
        <f t="shared" si="56"/>
        <v>7.2728911217805198E-2</v>
      </c>
      <c r="W1206" s="3">
        <v>7.2728911217805198E-2</v>
      </c>
    </row>
    <row r="1207" spans="1:23" x14ac:dyDescent="0.55000000000000004">
      <c r="A1207" s="3">
        <v>26</v>
      </c>
      <c r="B1207" s="3" t="s">
        <v>52</v>
      </c>
      <c r="C1207" s="3" t="s">
        <v>50</v>
      </c>
      <c r="D1207" s="3" t="s">
        <v>12</v>
      </c>
      <c r="E1207" s="2" t="s">
        <v>23</v>
      </c>
      <c r="F1207" s="3">
        <v>40</v>
      </c>
      <c r="G1207" s="4">
        <v>29.7</v>
      </c>
      <c r="H1207" s="4">
        <v>100.5</v>
      </c>
      <c r="I1207" s="6">
        <v>7.2655337062990517</v>
      </c>
      <c r="J1207" s="5">
        <v>4.9000000000000002E-2</v>
      </c>
      <c r="K1207" s="4">
        <v>25.3</v>
      </c>
      <c r="L1207" s="4">
        <v>59.1</v>
      </c>
      <c r="M1207" s="6">
        <v>4.6249502234822675</v>
      </c>
      <c r="N1207" s="5">
        <v>4.7E-2</v>
      </c>
      <c r="O1207" s="5">
        <v>2.6405834828167842</v>
      </c>
      <c r="P1207" s="5">
        <v>2.6405834828167842</v>
      </c>
      <c r="Q1207" s="8">
        <v>0.20833333333333334</v>
      </c>
      <c r="R1207" s="8">
        <v>0.89027777777777783</v>
      </c>
      <c r="S1207" s="6">
        <f t="shared" si="54"/>
        <v>16.366666666666667</v>
      </c>
      <c r="T1207" s="5">
        <f t="shared" si="55"/>
        <v>0.16133911300306217</v>
      </c>
      <c r="U1207" s="3">
        <v>2.21</v>
      </c>
      <c r="V1207" s="5">
        <f t="shared" si="56"/>
        <v>7.3004123530797368E-2</v>
      </c>
      <c r="W1207" s="3">
        <v>7.3004123530797368E-2</v>
      </c>
    </row>
    <row r="1208" spans="1:23" x14ac:dyDescent="0.55000000000000004">
      <c r="A1208" s="3">
        <v>3</v>
      </c>
      <c r="B1208" s="3" t="s">
        <v>51</v>
      </c>
      <c r="C1208" s="3" t="s">
        <v>50</v>
      </c>
      <c r="D1208" s="3" t="s">
        <v>9</v>
      </c>
      <c r="E1208" s="2" t="s">
        <v>23</v>
      </c>
      <c r="F1208" s="3">
        <v>40</v>
      </c>
      <c r="G1208" s="4">
        <v>28.6</v>
      </c>
      <c r="H1208" s="4">
        <v>107.2</v>
      </c>
      <c r="I1208" s="6">
        <v>7.9016066704522414</v>
      </c>
      <c r="J1208" s="5">
        <v>4.7E-2</v>
      </c>
      <c r="K1208" s="4">
        <v>23.8</v>
      </c>
      <c r="L1208" s="4">
        <v>65.3</v>
      </c>
      <c r="M1208" s="6">
        <v>5.2558151763842522</v>
      </c>
      <c r="N1208" s="5">
        <v>4.2999999999999997E-2</v>
      </c>
      <c r="O1208" s="5">
        <v>2.6457914940679892</v>
      </c>
      <c r="P1208" s="5">
        <v>2.6457914940679892</v>
      </c>
      <c r="Q1208" s="8">
        <v>0.20833333333333334</v>
      </c>
      <c r="R1208" s="8">
        <v>0.89027777777777783</v>
      </c>
      <c r="S1208" s="6">
        <f t="shared" si="54"/>
        <v>16.366666666666667</v>
      </c>
      <c r="T1208" s="5">
        <f t="shared" si="55"/>
        <v>0.16165732142981604</v>
      </c>
      <c r="U1208" s="3">
        <v>2.21</v>
      </c>
      <c r="V1208" s="5">
        <f t="shared" si="56"/>
        <v>7.3148109244260642E-2</v>
      </c>
      <c r="W1208" s="3">
        <v>7.3148109244260642E-2</v>
      </c>
    </row>
    <row r="1209" spans="1:23" x14ac:dyDescent="0.55000000000000004">
      <c r="A1209" s="3">
        <v>57</v>
      </c>
      <c r="B1209" s="3" t="s">
        <v>52</v>
      </c>
      <c r="C1209" s="3" t="s">
        <v>50</v>
      </c>
      <c r="D1209" s="3" t="s">
        <v>12</v>
      </c>
      <c r="E1209" s="3" t="s">
        <v>28</v>
      </c>
      <c r="F1209" s="3">
        <v>58</v>
      </c>
      <c r="G1209" s="4">
        <v>27.8</v>
      </c>
      <c r="H1209" s="4">
        <v>95.3</v>
      </c>
      <c r="I1209" s="6">
        <v>7.1254497032044801</v>
      </c>
      <c r="J1209" s="5">
        <v>5.2999999999999999E-2</v>
      </c>
      <c r="K1209" s="4">
        <v>23.8</v>
      </c>
      <c r="L1209" s="4">
        <v>55.7</v>
      </c>
      <c r="M1209" s="6">
        <v>4.4831379069617592</v>
      </c>
      <c r="N1209" s="5">
        <v>5.1999999999999998E-2</v>
      </c>
      <c r="O1209" s="5">
        <v>2.6423117962427209</v>
      </c>
      <c r="P1209" s="5">
        <v>2.6423117962427209</v>
      </c>
      <c r="Q1209" s="8">
        <v>0.20833333333333334</v>
      </c>
      <c r="R1209" s="8">
        <v>0.88888888888888884</v>
      </c>
      <c r="S1209" s="6">
        <f t="shared" si="54"/>
        <v>16.333333333333332</v>
      </c>
      <c r="T1209" s="5">
        <f t="shared" si="55"/>
        <v>0.1617741916066972</v>
      </c>
      <c r="U1209" s="3">
        <v>2.21</v>
      </c>
      <c r="V1209" s="5">
        <f t="shared" si="56"/>
        <v>7.3200991677238564E-2</v>
      </c>
      <c r="W1209" s="3">
        <v>7.3200991677238564E-2</v>
      </c>
    </row>
    <row r="1210" spans="1:23" x14ac:dyDescent="0.55000000000000004">
      <c r="A1210" s="3">
        <v>50</v>
      </c>
      <c r="B1210" s="3" t="s">
        <v>53</v>
      </c>
      <c r="C1210" s="3" t="s">
        <v>50</v>
      </c>
      <c r="D1210" s="3" t="s">
        <v>11</v>
      </c>
      <c r="E1210" s="3" t="s">
        <v>30</v>
      </c>
      <c r="F1210" s="3">
        <v>65</v>
      </c>
      <c r="G1210" s="4">
        <v>27.8</v>
      </c>
      <c r="H1210" s="4">
        <v>102.9</v>
      </c>
      <c r="I1210" s="6">
        <v>7.6936912325261391</v>
      </c>
      <c r="J1210" s="5">
        <v>4.8000000000000001E-2</v>
      </c>
      <c r="K1210" s="4">
        <v>23.3</v>
      </c>
      <c r="L1210" s="4">
        <v>62.3</v>
      </c>
      <c r="M1210" s="6">
        <v>5.0622207197321174</v>
      </c>
      <c r="N1210" s="5">
        <v>3.7999999999999999E-2</v>
      </c>
      <c r="O1210" s="5">
        <v>2.6314705127940217</v>
      </c>
      <c r="P1210" s="5">
        <v>2.6314705127940217</v>
      </c>
      <c r="Q1210" s="8">
        <v>0.20833333333333334</v>
      </c>
      <c r="R1210" s="8">
        <v>0.88541666666666663</v>
      </c>
      <c r="S1210" s="6">
        <f t="shared" si="54"/>
        <v>16.25</v>
      </c>
      <c r="T1210" s="5">
        <f t="shared" si="55"/>
        <v>0.16193664694117058</v>
      </c>
      <c r="U1210" s="3">
        <v>2.21</v>
      </c>
      <c r="V1210" s="5">
        <f t="shared" si="56"/>
        <v>7.3274500878357712E-2</v>
      </c>
      <c r="W1210" s="3">
        <v>7.3274500878357712E-2</v>
      </c>
    </row>
    <row r="1211" spans="1:23" x14ac:dyDescent="0.55000000000000004">
      <c r="A1211" s="3">
        <v>27</v>
      </c>
      <c r="B1211" s="3" t="s">
        <v>48</v>
      </c>
      <c r="C1211" s="3" t="s">
        <v>50</v>
      </c>
      <c r="D1211" s="3" t="s">
        <v>10</v>
      </c>
      <c r="E1211" s="2" t="s">
        <v>22</v>
      </c>
      <c r="F1211" s="3">
        <v>37</v>
      </c>
      <c r="G1211" s="4">
        <v>30.3</v>
      </c>
      <c r="H1211" s="4">
        <v>104.9</v>
      </c>
      <c r="I1211" s="6">
        <v>7.504716373057934</v>
      </c>
      <c r="J1211" s="5">
        <v>8.1000000000000003E-2</v>
      </c>
      <c r="K1211" s="4">
        <v>25.3</v>
      </c>
      <c r="L1211" s="4">
        <v>61.9</v>
      </c>
      <c r="M1211" s="6">
        <v>4.844068000567721</v>
      </c>
      <c r="N1211" s="5">
        <v>7.4999999999999997E-2</v>
      </c>
      <c r="O1211" s="5">
        <v>2.660648372490213</v>
      </c>
      <c r="P1211" s="5">
        <v>2.660648372490213</v>
      </c>
      <c r="Q1211" s="8">
        <v>0.20138888888888887</v>
      </c>
      <c r="R1211" s="8">
        <v>0.88541666666666663</v>
      </c>
      <c r="S1211" s="6">
        <f t="shared" si="54"/>
        <v>16.416666666666668</v>
      </c>
      <c r="T1211" s="5">
        <f t="shared" si="55"/>
        <v>0.1620699516237693</v>
      </c>
      <c r="U1211" s="3">
        <v>2.21</v>
      </c>
      <c r="V1211" s="5">
        <f t="shared" si="56"/>
        <v>7.3334819739262133E-2</v>
      </c>
      <c r="W1211" s="3">
        <v>7.3334819739262133E-2</v>
      </c>
    </row>
    <row r="1212" spans="1:23" x14ac:dyDescent="0.55000000000000004">
      <c r="A1212" s="3">
        <v>8</v>
      </c>
      <c r="B1212" s="3" t="s">
        <v>51</v>
      </c>
      <c r="C1212" s="3" t="s">
        <v>50</v>
      </c>
      <c r="D1212" s="3" t="s">
        <v>9</v>
      </c>
      <c r="E1212" s="3" t="s">
        <v>27</v>
      </c>
      <c r="F1212" s="3">
        <v>54</v>
      </c>
      <c r="G1212" s="4">
        <v>27.8</v>
      </c>
      <c r="H1212" s="4">
        <v>99.5</v>
      </c>
      <c r="I1212" s="6">
        <v>7.4394779167769753</v>
      </c>
      <c r="J1212" s="5">
        <v>3.9E-2</v>
      </c>
      <c r="K1212" s="4">
        <v>24.6</v>
      </c>
      <c r="L1212" s="4">
        <v>60.1</v>
      </c>
      <c r="M1212" s="6">
        <v>4.7649603118508503</v>
      </c>
      <c r="N1212" s="5">
        <v>3.7999999999999999E-2</v>
      </c>
      <c r="O1212" s="5">
        <v>2.674517604926125</v>
      </c>
      <c r="P1212" s="5">
        <v>2.674517604926125</v>
      </c>
      <c r="Q1212" s="8">
        <v>0.20833333333333334</v>
      </c>
      <c r="R1212" s="8">
        <v>0.89583333333333337</v>
      </c>
      <c r="S1212" s="6">
        <f t="shared" si="54"/>
        <v>16.5</v>
      </c>
      <c r="T1212" s="5">
        <f t="shared" si="55"/>
        <v>0.16209197605612879</v>
      </c>
      <c r="U1212" s="3">
        <v>2.21</v>
      </c>
      <c r="V1212" s="5">
        <f t="shared" si="56"/>
        <v>7.3344785545759628E-2</v>
      </c>
      <c r="W1212" s="3">
        <v>7.3344785545759628E-2</v>
      </c>
    </row>
    <row r="1213" spans="1:23" x14ac:dyDescent="0.55000000000000004">
      <c r="A1213" s="3">
        <v>64</v>
      </c>
      <c r="B1213" s="3" t="s">
        <v>53</v>
      </c>
      <c r="C1213" s="3" t="s">
        <v>50</v>
      </c>
      <c r="D1213" s="3" t="s">
        <v>11</v>
      </c>
      <c r="E1213" s="2" t="s">
        <v>25</v>
      </c>
      <c r="F1213" s="3">
        <v>47</v>
      </c>
      <c r="G1213" s="4">
        <v>28.6</v>
      </c>
      <c r="H1213" s="4">
        <v>81</v>
      </c>
      <c r="I1213" s="6">
        <v>5.9704304133081303</v>
      </c>
      <c r="J1213" s="5">
        <v>6.7000000000000004E-2</v>
      </c>
      <c r="K1213" s="4">
        <v>25.6</v>
      </c>
      <c r="L1213" s="4">
        <v>42.3</v>
      </c>
      <c r="M1213" s="6">
        <v>3.2919147138691458</v>
      </c>
      <c r="N1213" s="5">
        <v>6.5000000000000002E-2</v>
      </c>
      <c r="O1213" s="5">
        <v>2.6785156994389845</v>
      </c>
      <c r="P1213" s="5">
        <v>2.6785156994389845</v>
      </c>
      <c r="Q1213" s="8">
        <v>0.20833333333333334</v>
      </c>
      <c r="R1213" s="8">
        <v>0.89583333333333337</v>
      </c>
      <c r="S1213" s="6">
        <f t="shared" si="54"/>
        <v>16.5</v>
      </c>
      <c r="T1213" s="5">
        <f t="shared" si="55"/>
        <v>0.16233428481448392</v>
      </c>
      <c r="U1213" s="3">
        <v>2.21</v>
      </c>
      <c r="V1213" s="5">
        <f t="shared" si="56"/>
        <v>7.3454427517866031E-2</v>
      </c>
      <c r="W1213" s="3">
        <v>7.3454427517866031E-2</v>
      </c>
    </row>
    <row r="1214" spans="1:23" x14ac:dyDescent="0.55000000000000004">
      <c r="A1214" s="3">
        <v>18</v>
      </c>
      <c r="B1214" s="3" t="s">
        <v>51</v>
      </c>
      <c r="C1214" s="3" t="s">
        <v>50</v>
      </c>
      <c r="D1214" s="3" t="s">
        <v>9</v>
      </c>
      <c r="E1214" s="2" t="s">
        <v>19</v>
      </c>
      <c r="F1214" s="3">
        <v>26</v>
      </c>
      <c r="G1214" s="4">
        <v>19.600000000000001</v>
      </c>
      <c r="H1214" s="4">
        <v>114.4</v>
      </c>
      <c r="I1214" s="6">
        <v>9.9942821884886328</v>
      </c>
      <c r="J1214" s="5">
        <v>4.5999999999999999E-2</v>
      </c>
      <c r="K1214" s="4">
        <v>22.5</v>
      </c>
      <c r="L1214" s="4">
        <v>89.1</v>
      </c>
      <c r="M1214" s="6">
        <v>7.3517974481719621</v>
      </c>
      <c r="N1214" s="5">
        <v>0.04</v>
      </c>
      <c r="O1214" s="5">
        <v>2.6424847403166707</v>
      </c>
      <c r="P1214" s="5">
        <v>2.6424847403166707</v>
      </c>
      <c r="Q1214" s="8">
        <v>0.20833333333333334</v>
      </c>
      <c r="R1214" s="8">
        <v>0.88541666666666663</v>
      </c>
      <c r="S1214" s="6">
        <f t="shared" si="54"/>
        <v>16.25</v>
      </c>
      <c r="T1214" s="5">
        <f t="shared" si="55"/>
        <v>0.16261444555794896</v>
      </c>
      <c r="U1214" s="3">
        <v>2.21</v>
      </c>
      <c r="V1214" s="5">
        <f t="shared" si="56"/>
        <v>7.3581197085044778E-2</v>
      </c>
      <c r="W1214" s="3">
        <v>7.3581197085044778E-2</v>
      </c>
    </row>
    <row r="1215" spans="1:23" x14ac:dyDescent="0.55000000000000004">
      <c r="A1215" s="3">
        <v>47</v>
      </c>
      <c r="B1215" s="3" t="s">
        <v>52</v>
      </c>
      <c r="C1215" s="3" t="s">
        <v>50</v>
      </c>
      <c r="D1215" s="3" t="s">
        <v>12</v>
      </c>
      <c r="E1215" s="3" t="s">
        <v>31</v>
      </c>
      <c r="F1215" s="3">
        <v>68</v>
      </c>
      <c r="G1215" s="4">
        <v>25.7</v>
      </c>
      <c r="H1215" s="4">
        <v>78.900000000000006</v>
      </c>
      <c r="I1215" s="6">
        <v>6.1289151151063139</v>
      </c>
      <c r="J1215" s="5">
        <v>5.8000000000000003E-2</v>
      </c>
      <c r="K1215" s="4">
        <v>24.1</v>
      </c>
      <c r="L1215" s="4">
        <v>43.4</v>
      </c>
      <c r="M1215" s="6">
        <v>3.4734000511244183</v>
      </c>
      <c r="N1215" s="5">
        <v>5.8999999999999997E-2</v>
      </c>
      <c r="O1215" s="5">
        <v>2.6555150639818956</v>
      </c>
      <c r="P1215" s="5">
        <v>2.6555150639818956</v>
      </c>
      <c r="Q1215" s="8">
        <v>0.20833333333333334</v>
      </c>
      <c r="R1215" s="8">
        <v>0.88541666666666663</v>
      </c>
      <c r="S1215" s="6">
        <f t="shared" si="54"/>
        <v>16.25</v>
      </c>
      <c r="T1215" s="5">
        <f t="shared" si="55"/>
        <v>0.16341631162965511</v>
      </c>
      <c r="U1215" s="3">
        <v>2.21</v>
      </c>
      <c r="V1215" s="5">
        <f t="shared" si="56"/>
        <v>7.3944032411608657E-2</v>
      </c>
      <c r="W1215" s="3">
        <v>7.3944032411608657E-2</v>
      </c>
    </row>
    <row r="1216" spans="1:23" x14ac:dyDescent="0.55000000000000004">
      <c r="A1216" s="3">
        <v>51</v>
      </c>
      <c r="B1216" s="3" t="s">
        <v>48</v>
      </c>
      <c r="C1216" s="3" t="s">
        <v>50</v>
      </c>
      <c r="D1216" s="3" t="s">
        <v>10</v>
      </c>
      <c r="E1216" s="2" t="s">
        <v>19</v>
      </c>
      <c r="F1216" s="3">
        <v>26</v>
      </c>
      <c r="G1216" s="4">
        <v>25.2</v>
      </c>
      <c r="H1216" s="4">
        <v>93</v>
      </c>
      <c r="I1216" s="6">
        <v>7.2913596397770357</v>
      </c>
      <c r="J1216" s="5">
        <v>5.1999999999999998E-2</v>
      </c>
      <c r="K1216" s="4">
        <v>22.7</v>
      </c>
      <c r="L1216" s="4">
        <v>56.4</v>
      </c>
      <c r="M1216" s="6">
        <v>4.6357725190902057</v>
      </c>
      <c r="N1216" s="5">
        <v>4.8000000000000001E-2</v>
      </c>
      <c r="O1216" s="5">
        <v>2.65558712068683</v>
      </c>
      <c r="P1216" s="5">
        <v>2.65558712068683</v>
      </c>
      <c r="Q1216" s="8">
        <v>0.20833333333333334</v>
      </c>
      <c r="R1216" s="8">
        <v>0.88541666666666663</v>
      </c>
      <c r="S1216" s="6">
        <f t="shared" si="54"/>
        <v>16.25</v>
      </c>
      <c r="T1216" s="5">
        <f t="shared" si="55"/>
        <v>0.16342074588842032</v>
      </c>
      <c r="U1216" s="3">
        <v>2.21</v>
      </c>
      <c r="V1216" s="5">
        <f t="shared" si="56"/>
        <v>7.3946038863538607E-2</v>
      </c>
      <c r="W1216" s="3">
        <v>7.3946038863538607E-2</v>
      </c>
    </row>
    <row r="1217" spans="1:23" x14ac:dyDescent="0.55000000000000004">
      <c r="A1217" s="3">
        <v>6</v>
      </c>
      <c r="B1217" s="3" t="s">
        <v>51</v>
      </c>
      <c r="C1217" s="3" t="s">
        <v>49</v>
      </c>
      <c r="D1217" s="3" t="s">
        <v>39</v>
      </c>
      <c r="E1217" s="2" t="s">
        <v>25</v>
      </c>
      <c r="F1217" s="3">
        <v>47</v>
      </c>
      <c r="G1217" s="4">
        <v>28.6</v>
      </c>
      <c r="H1217" s="4">
        <v>94.4</v>
      </c>
      <c r="I1217" s="6">
        <v>6.958131247114661</v>
      </c>
      <c r="J1217" s="5">
        <v>6.0999999999999999E-2</v>
      </c>
      <c r="K1217" s="4">
        <v>25</v>
      </c>
      <c r="L1217" s="4">
        <v>54.1</v>
      </c>
      <c r="M1217" s="6">
        <v>4.2573380043119977</v>
      </c>
      <c r="N1217" s="5">
        <v>5.6000000000000001E-2</v>
      </c>
      <c r="O1217" s="5">
        <v>2.7007932428026633</v>
      </c>
      <c r="P1217" s="5">
        <v>2.7007932428026633</v>
      </c>
      <c r="Q1217" s="8">
        <v>0.20833333333333334</v>
      </c>
      <c r="R1217" s="8">
        <v>0.89583333333333337</v>
      </c>
      <c r="S1217" s="6">
        <f t="shared" si="54"/>
        <v>16.5</v>
      </c>
      <c r="T1217" s="5">
        <f t="shared" si="55"/>
        <v>0.16368443895773718</v>
      </c>
      <c r="U1217" s="3">
        <v>2.21</v>
      </c>
      <c r="V1217" s="5">
        <f t="shared" si="56"/>
        <v>7.4065356994451201E-2</v>
      </c>
      <c r="W1217" s="3">
        <v>7.4065356994451201E-2</v>
      </c>
    </row>
    <row r="1218" spans="1:23" x14ac:dyDescent="0.55000000000000004">
      <c r="A1218" s="3">
        <v>11</v>
      </c>
      <c r="B1218" s="3" t="s">
        <v>53</v>
      </c>
      <c r="C1218" s="3" t="s">
        <v>49</v>
      </c>
      <c r="D1218" s="3" t="s">
        <v>41</v>
      </c>
      <c r="E1218" s="2" t="s">
        <v>25</v>
      </c>
      <c r="F1218" s="3">
        <v>47</v>
      </c>
      <c r="G1218" s="4">
        <v>28.5</v>
      </c>
      <c r="H1218" s="4">
        <v>94.8</v>
      </c>
      <c r="I1218" s="6">
        <v>7.0000360361071401</v>
      </c>
      <c r="J1218" s="5">
        <v>6.5000000000000002E-2</v>
      </c>
      <c r="K1218" s="4">
        <v>25</v>
      </c>
      <c r="L1218" s="4">
        <v>54.6</v>
      </c>
      <c r="M1218" s="6">
        <v>4.2966849359599832</v>
      </c>
      <c r="N1218" s="5">
        <v>6.0999999999999999E-2</v>
      </c>
      <c r="O1218" s="5">
        <v>2.7033511001471568</v>
      </c>
      <c r="P1218" s="5">
        <v>2.7033511001471568</v>
      </c>
      <c r="Q1218" s="8">
        <v>0.20833333333333334</v>
      </c>
      <c r="R1218" s="8">
        <v>0.89583333333333337</v>
      </c>
      <c r="S1218" s="6">
        <f t="shared" ref="S1218:S1281" si="57">(R1218-Q1218)*24</f>
        <v>16.5</v>
      </c>
      <c r="T1218" s="5">
        <f t="shared" ref="T1218:T1281" si="58">P1218/S1218</f>
        <v>0.1638394606149792</v>
      </c>
      <c r="U1218" s="3">
        <v>2.21</v>
      </c>
      <c r="V1218" s="5">
        <f t="shared" ref="V1218:V1281" si="59">(I1218-M1218)/U1218/S1218</f>
        <v>7.4135502540714576E-2</v>
      </c>
      <c r="W1218" s="3">
        <v>7.4135502540714576E-2</v>
      </c>
    </row>
    <row r="1219" spans="1:23" x14ac:dyDescent="0.55000000000000004">
      <c r="A1219" s="3">
        <v>47</v>
      </c>
      <c r="B1219" s="3" t="s">
        <v>52</v>
      </c>
      <c r="C1219" s="3" t="s">
        <v>50</v>
      </c>
      <c r="D1219" s="3" t="s">
        <v>12</v>
      </c>
      <c r="E1219" s="2" t="s">
        <v>24</v>
      </c>
      <c r="F1219" s="3">
        <v>44</v>
      </c>
      <c r="G1219" s="4">
        <v>25.4</v>
      </c>
      <c r="H1219" s="4">
        <v>106.5</v>
      </c>
      <c r="I1219" s="6">
        <v>8.3188693117862265</v>
      </c>
      <c r="J1219" s="5">
        <v>6.0999999999999999E-2</v>
      </c>
      <c r="K1219" s="4">
        <v>21</v>
      </c>
      <c r="L1219" s="4">
        <v>65.5</v>
      </c>
      <c r="M1219" s="6">
        <v>5.5649092801945184</v>
      </c>
      <c r="N1219" s="5">
        <v>5.7000000000000002E-2</v>
      </c>
      <c r="O1219" s="5">
        <v>2.7539600315917081</v>
      </c>
      <c r="P1219" s="5">
        <v>2.7539600315917081</v>
      </c>
      <c r="Q1219" s="8">
        <v>0.20277777777777781</v>
      </c>
      <c r="R1219" s="8">
        <v>0.90277777777777779</v>
      </c>
      <c r="S1219" s="6">
        <f t="shared" si="57"/>
        <v>16.799999999999997</v>
      </c>
      <c r="T1219" s="5">
        <f t="shared" si="58"/>
        <v>0.16392619235664932</v>
      </c>
      <c r="U1219" s="3">
        <v>2.21</v>
      </c>
      <c r="V1219" s="5">
        <f t="shared" si="59"/>
        <v>7.4174747672691999E-2</v>
      </c>
      <c r="W1219" s="3">
        <v>7.4174747672691999E-2</v>
      </c>
    </row>
    <row r="1220" spans="1:23" x14ac:dyDescent="0.55000000000000004">
      <c r="A1220" s="3">
        <v>19</v>
      </c>
      <c r="B1220" s="3" t="s">
        <v>53</v>
      </c>
      <c r="C1220" s="3" t="s">
        <v>49</v>
      </c>
      <c r="D1220" s="3" t="s">
        <v>41</v>
      </c>
      <c r="E1220" s="3" t="s">
        <v>31</v>
      </c>
      <c r="F1220" s="3">
        <v>68</v>
      </c>
      <c r="G1220" s="4">
        <v>25.3</v>
      </c>
      <c r="H1220" s="4">
        <v>91.2</v>
      </c>
      <c r="I1220" s="6">
        <v>7.1369790250690821</v>
      </c>
      <c r="J1220" s="5">
        <v>5.3999999999999999E-2</v>
      </c>
      <c r="K1220" s="4">
        <v>24.3</v>
      </c>
      <c r="L1220" s="4">
        <v>56.1</v>
      </c>
      <c r="M1220" s="6">
        <v>4.4729334157514042</v>
      </c>
      <c r="N1220" s="5">
        <v>5.3999999999999999E-2</v>
      </c>
      <c r="O1220" s="5">
        <v>2.6640456093176779</v>
      </c>
      <c r="P1220" s="5">
        <v>2.6640456093176779</v>
      </c>
      <c r="Q1220" s="8">
        <v>0.20833333333333334</v>
      </c>
      <c r="R1220" s="8">
        <v>0.88541666666666663</v>
      </c>
      <c r="S1220" s="6">
        <f t="shared" si="57"/>
        <v>16.25</v>
      </c>
      <c r="T1220" s="5">
        <f t="shared" si="58"/>
        <v>0.16394126826570327</v>
      </c>
      <c r="U1220" s="3">
        <v>2.21</v>
      </c>
      <c r="V1220" s="5">
        <f t="shared" si="59"/>
        <v>7.4181569350996956E-2</v>
      </c>
      <c r="W1220" s="3">
        <v>7.4181569350996956E-2</v>
      </c>
    </row>
    <row r="1221" spans="1:23" x14ac:dyDescent="0.55000000000000004">
      <c r="A1221" s="3">
        <v>41</v>
      </c>
      <c r="B1221" s="3" t="s">
        <v>51</v>
      </c>
      <c r="C1221" s="3" t="s">
        <v>50</v>
      </c>
      <c r="D1221" s="3" t="s">
        <v>9</v>
      </c>
      <c r="E1221" s="2" t="s">
        <v>21</v>
      </c>
      <c r="F1221" s="3">
        <v>33</v>
      </c>
      <c r="G1221" s="4">
        <v>30.8</v>
      </c>
      <c r="H1221" s="4">
        <v>104.6</v>
      </c>
      <c r="I1221" s="6">
        <v>7.4187564345862054</v>
      </c>
      <c r="J1221" s="5">
        <v>5.5E-2</v>
      </c>
      <c r="K1221" s="4">
        <v>26.8</v>
      </c>
      <c r="L1221" s="4">
        <v>62.6</v>
      </c>
      <c r="M1221" s="6">
        <v>4.7657844674679986</v>
      </c>
      <c r="N1221" s="5">
        <v>5.1999999999999998E-2</v>
      </c>
      <c r="O1221" s="5">
        <v>2.6529719671182068</v>
      </c>
      <c r="P1221" s="5">
        <v>2.6529719671182068</v>
      </c>
      <c r="Q1221" s="8">
        <v>0.20833333333333334</v>
      </c>
      <c r="R1221" s="8">
        <v>0.88194444444444453</v>
      </c>
      <c r="S1221" s="6">
        <f t="shared" si="57"/>
        <v>16.166666666666668</v>
      </c>
      <c r="T1221" s="5">
        <f t="shared" si="58"/>
        <v>0.16410135879081691</v>
      </c>
      <c r="U1221" s="3">
        <v>2.21</v>
      </c>
      <c r="V1221" s="5">
        <f t="shared" si="59"/>
        <v>7.4254008502632085E-2</v>
      </c>
      <c r="W1221" s="3">
        <v>7.4254008502632085E-2</v>
      </c>
    </row>
    <row r="1222" spans="1:23" x14ac:dyDescent="0.55000000000000004">
      <c r="A1222" s="3">
        <v>8</v>
      </c>
      <c r="B1222" s="3" t="s">
        <v>51</v>
      </c>
      <c r="C1222" s="3" t="s">
        <v>50</v>
      </c>
      <c r="D1222" s="3" t="s">
        <v>9</v>
      </c>
      <c r="E1222" s="3" t="s">
        <v>30</v>
      </c>
      <c r="F1222" s="3">
        <v>65</v>
      </c>
      <c r="G1222" s="4">
        <v>27.9</v>
      </c>
      <c r="H1222" s="4">
        <v>104.6</v>
      </c>
      <c r="I1222" s="6">
        <v>7.8067930976249036</v>
      </c>
      <c r="J1222" s="5">
        <v>4.4999999999999998E-2</v>
      </c>
      <c r="K1222" s="4">
        <v>22.8</v>
      </c>
      <c r="L1222" s="4">
        <v>62.6</v>
      </c>
      <c r="M1222" s="6">
        <v>5.1354999094518607</v>
      </c>
      <c r="N1222" s="5">
        <v>3.7999999999999999E-2</v>
      </c>
      <c r="O1222" s="5">
        <v>2.6712931881730428</v>
      </c>
      <c r="P1222" s="5">
        <v>2.6712931881730428</v>
      </c>
      <c r="Q1222" s="8">
        <v>0.20833333333333334</v>
      </c>
      <c r="R1222" s="8">
        <v>0.88541666666666663</v>
      </c>
      <c r="S1222" s="6">
        <f t="shared" si="57"/>
        <v>16.25</v>
      </c>
      <c r="T1222" s="5">
        <f t="shared" si="58"/>
        <v>0.16438727311834109</v>
      </c>
      <c r="U1222" s="3">
        <v>2.21</v>
      </c>
      <c r="V1222" s="5">
        <f t="shared" si="59"/>
        <v>7.4383381501511803E-2</v>
      </c>
      <c r="W1222" s="3">
        <v>7.4383381501511803E-2</v>
      </c>
    </row>
    <row r="1223" spans="1:23" x14ac:dyDescent="0.55000000000000004">
      <c r="A1223" s="3">
        <v>57</v>
      </c>
      <c r="B1223" s="3" t="s">
        <v>52</v>
      </c>
      <c r="C1223" s="3" t="s">
        <v>50</v>
      </c>
      <c r="D1223" s="3" t="s">
        <v>12</v>
      </c>
      <c r="E1223" s="3" t="s">
        <v>31</v>
      </c>
      <c r="F1223" s="3">
        <v>68</v>
      </c>
      <c r="G1223" s="4">
        <v>25.3</v>
      </c>
      <c r="H1223" s="4">
        <v>73.900000000000006</v>
      </c>
      <c r="I1223" s="6">
        <v>5.7831441880768111</v>
      </c>
      <c r="J1223" s="5">
        <v>0.05</v>
      </c>
      <c r="K1223" s="4">
        <v>24.3</v>
      </c>
      <c r="L1223" s="4">
        <v>39</v>
      </c>
      <c r="M1223" s="6">
        <v>3.1095259039983021</v>
      </c>
      <c r="N1223" s="5">
        <v>5.3999999999999999E-2</v>
      </c>
      <c r="O1223" s="5">
        <v>2.673618284078509</v>
      </c>
      <c r="P1223" s="5">
        <v>2.673618284078509</v>
      </c>
      <c r="Q1223" s="8">
        <v>0.20833333333333334</v>
      </c>
      <c r="R1223" s="8">
        <v>0.88541666666666663</v>
      </c>
      <c r="S1223" s="6">
        <f t="shared" si="57"/>
        <v>16.25</v>
      </c>
      <c r="T1223" s="5">
        <f t="shared" si="58"/>
        <v>0.16453035594329285</v>
      </c>
      <c r="U1223" s="3">
        <v>2.21</v>
      </c>
      <c r="V1223" s="5">
        <f t="shared" si="59"/>
        <v>7.444812486121849E-2</v>
      </c>
      <c r="W1223" s="3">
        <v>7.444812486121849E-2</v>
      </c>
    </row>
    <row r="1224" spans="1:23" x14ac:dyDescent="0.55000000000000004">
      <c r="A1224" s="3">
        <v>32</v>
      </c>
      <c r="B1224" s="3" t="s">
        <v>53</v>
      </c>
      <c r="C1224" s="3" t="s">
        <v>50</v>
      </c>
      <c r="D1224" s="3" t="s">
        <v>11</v>
      </c>
      <c r="E1224" s="3" t="s">
        <v>34</v>
      </c>
      <c r="F1224" s="3">
        <v>79</v>
      </c>
      <c r="G1224" s="4">
        <v>28.4</v>
      </c>
      <c r="H1224" s="4">
        <v>82.9</v>
      </c>
      <c r="I1224" s="6">
        <v>6.1322349713568265</v>
      </c>
      <c r="J1224" s="5">
        <v>6.2E-2</v>
      </c>
      <c r="K1224" s="4">
        <v>25.1</v>
      </c>
      <c r="L1224" s="4">
        <v>44</v>
      </c>
      <c r="M1224" s="6">
        <v>3.4560923729609914</v>
      </c>
      <c r="N1224" s="5">
        <v>0.06</v>
      </c>
      <c r="O1224" s="5">
        <v>2.6761425983958351</v>
      </c>
      <c r="P1224" s="5">
        <v>2.6761425983958351</v>
      </c>
      <c r="Q1224" s="8">
        <v>0.20833333333333334</v>
      </c>
      <c r="R1224" s="8">
        <v>0.88541666666666663</v>
      </c>
      <c r="S1224" s="6">
        <f t="shared" si="57"/>
        <v>16.25</v>
      </c>
      <c r="T1224" s="5">
        <f t="shared" si="58"/>
        <v>0.16468569836282063</v>
      </c>
      <c r="U1224" s="3">
        <v>2.21</v>
      </c>
      <c r="V1224" s="5">
        <f t="shared" si="59"/>
        <v>7.4518415548787617E-2</v>
      </c>
      <c r="W1224" s="3">
        <v>7.4518415548787617E-2</v>
      </c>
    </row>
    <row r="1225" spans="1:23" x14ac:dyDescent="0.55000000000000004">
      <c r="A1225" s="3">
        <v>46</v>
      </c>
      <c r="B1225" s="3" t="s">
        <v>51</v>
      </c>
      <c r="C1225" s="3" t="s">
        <v>49</v>
      </c>
      <c r="D1225" s="3" t="s">
        <v>39</v>
      </c>
      <c r="E1225" s="3" t="s">
        <v>34</v>
      </c>
      <c r="F1225" s="3">
        <v>79</v>
      </c>
      <c r="G1225" s="4">
        <v>28.6</v>
      </c>
      <c r="H1225" s="4">
        <v>95.3</v>
      </c>
      <c r="I1225" s="6">
        <v>7.0244693628180848</v>
      </c>
      <c r="J1225" s="5">
        <v>0.05</v>
      </c>
      <c r="K1225" s="4">
        <v>25.3</v>
      </c>
      <c r="L1225" s="4">
        <v>55.5</v>
      </c>
      <c r="M1225" s="6">
        <v>4.3432273672295398</v>
      </c>
      <c r="N1225" s="5">
        <v>4.5999999999999999E-2</v>
      </c>
      <c r="O1225" s="5">
        <v>2.6812419955885449</v>
      </c>
      <c r="P1225" s="5">
        <v>2.6812419955885449</v>
      </c>
      <c r="Q1225" s="8">
        <v>0.20833333333333334</v>
      </c>
      <c r="R1225" s="8">
        <v>0.88541666666666663</v>
      </c>
      <c r="S1225" s="6">
        <f t="shared" si="57"/>
        <v>16.25</v>
      </c>
      <c r="T1225" s="5">
        <f t="shared" si="58"/>
        <v>0.16499950742083352</v>
      </c>
      <c r="U1225" s="3">
        <v>2.21</v>
      </c>
      <c r="V1225" s="5">
        <f t="shared" si="59"/>
        <v>7.4660410597662236E-2</v>
      </c>
      <c r="W1225" s="3">
        <v>7.4660410597662236E-2</v>
      </c>
    </row>
    <row r="1226" spans="1:23" x14ac:dyDescent="0.55000000000000004">
      <c r="A1226" s="3">
        <v>59</v>
      </c>
      <c r="B1226" s="3" t="s">
        <v>52</v>
      </c>
      <c r="C1226" s="3" t="s">
        <v>49</v>
      </c>
      <c r="D1226" s="3" t="s">
        <v>40</v>
      </c>
      <c r="E1226" s="2" t="s">
        <v>25</v>
      </c>
      <c r="F1226" s="3">
        <v>47</v>
      </c>
      <c r="G1226" s="4">
        <v>28.8</v>
      </c>
      <c r="H1226" s="4">
        <v>113.7</v>
      </c>
      <c r="I1226" s="6">
        <v>8.3510570163517883</v>
      </c>
      <c r="J1226" s="5">
        <v>6.5000000000000002E-2</v>
      </c>
      <c r="K1226" s="4">
        <v>25.6</v>
      </c>
      <c r="L1226" s="4">
        <v>72.3</v>
      </c>
      <c r="M1226" s="6">
        <v>5.6266060003011651</v>
      </c>
      <c r="N1226" s="5">
        <v>6.2E-2</v>
      </c>
      <c r="O1226" s="5">
        <v>2.7244510160506232</v>
      </c>
      <c r="P1226" s="5">
        <v>2.7244510160506232</v>
      </c>
      <c r="Q1226" s="8">
        <v>0.20833333333333334</v>
      </c>
      <c r="R1226" s="8">
        <v>0.89583333333333337</v>
      </c>
      <c r="S1226" s="6">
        <f t="shared" si="57"/>
        <v>16.5</v>
      </c>
      <c r="T1226" s="5">
        <f t="shared" si="58"/>
        <v>0.16511824339700748</v>
      </c>
      <c r="U1226" s="3">
        <v>2.21</v>
      </c>
      <c r="V1226" s="5">
        <f t="shared" si="59"/>
        <v>7.4714137283713788E-2</v>
      </c>
      <c r="W1226" s="3">
        <v>7.4714137283713788E-2</v>
      </c>
    </row>
    <row r="1227" spans="1:23" x14ac:dyDescent="0.55000000000000004">
      <c r="A1227" s="3">
        <v>54</v>
      </c>
      <c r="B1227" s="3" t="s">
        <v>48</v>
      </c>
      <c r="C1227" s="3" t="s">
        <v>50</v>
      </c>
      <c r="D1227" s="3" t="s">
        <v>10</v>
      </c>
      <c r="E1227" s="2" t="s">
        <v>21</v>
      </c>
      <c r="F1227" s="3">
        <v>33</v>
      </c>
      <c r="G1227" s="4">
        <v>30.4</v>
      </c>
      <c r="H1227" s="4">
        <v>101.3</v>
      </c>
      <c r="I1227" s="6">
        <v>7.2345991927725013</v>
      </c>
      <c r="J1227" s="5">
        <v>5.6000000000000001E-2</v>
      </c>
      <c r="K1227" s="4">
        <v>26.4</v>
      </c>
      <c r="L1227" s="4">
        <v>59.5</v>
      </c>
      <c r="M1227" s="6">
        <v>4.5629175820452152</v>
      </c>
      <c r="N1227" s="5">
        <v>5.6000000000000001E-2</v>
      </c>
      <c r="O1227" s="5">
        <v>2.671681610727286</v>
      </c>
      <c r="P1227" s="5">
        <v>2.671681610727286</v>
      </c>
      <c r="Q1227" s="8">
        <v>0.20833333333333334</v>
      </c>
      <c r="R1227" s="8">
        <v>0.88194444444444453</v>
      </c>
      <c r="S1227" s="6">
        <f t="shared" si="57"/>
        <v>16.166666666666668</v>
      </c>
      <c r="T1227" s="5">
        <f t="shared" si="58"/>
        <v>0.16525865633364656</v>
      </c>
      <c r="U1227" s="3">
        <v>2.21</v>
      </c>
      <c r="V1227" s="5">
        <f t="shared" si="59"/>
        <v>7.4777672549161331E-2</v>
      </c>
      <c r="W1227" s="3">
        <v>7.4777672549161331E-2</v>
      </c>
    </row>
    <row r="1228" spans="1:23" x14ac:dyDescent="0.55000000000000004">
      <c r="A1228" s="3">
        <v>27</v>
      </c>
      <c r="B1228" s="3" t="s">
        <v>48</v>
      </c>
      <c r="C1228" s="3" t="s">
        <v>50</v>
      </c>
      <c r="D1228" s="3" t="s">
        <v>10</v>
      </c>
      <c r="E1228" s="2" t="s">
        <v>25</v>
      </c>
      <c r="F1228" s="3">
        <v>47</v>
      </c>
      <c r="G1228" s="4">
        <v>29.2</v>
      </c>
      <c r="H1228" s="4">
        <v>104</v>
      </c>
      <c r="I1228" s="6">
        <v>7.5848491242005904</v>
      </c>
      <c r="J1228" s="5">
        <v>8.5000000000000006E-2</v>
      </c>
      <c r="K1228" s="4">
        <v>25.6</v>
      </c>
      <c r="L1228" s="4">
        <v>62.4</v>
      </c>
      <c r="M1228" s="6">
        <v>4.8561578757785986</v>
      </c>
      <c r="N1228" s="5">
        <v>8.2000000000000003E-2</v>
      </c>
      <c r="O1228" s="5">
        <v>2.7286912484219918</v>
      </c>
      <c r="P1228" s="5">
        <v>2.7286912484219918</v>
      </c>
      <c r="Q1228" s="8">
        <v>0.20833333333333334</v>
      </c>
      <c r="R1228" s="8">
        <v>0.89583333333333337</v>
      </c>
      <c r="S1228" s="6">
        <f t="shared" si="57"/>
        <v>16.5</v>
      </c>
      <c r="T1228" s="5">
        <f t="shared" si="58"/>
        <v>0.16537522717709041</v>
      </c>
      <c r="U1228" s="3">
        <v>2.21</v>
      </c>
      <c r="V1228" s="5">
        <f t="shared" si="59"/>
        <v>7.483041953714499E-2</v>
      </c>
      <c r="W1228" s="3">
        <v>7.483041953714499E-2</v>
      </c>
    </row>
    <row r="1229" spans="1:23" x14ac:dyDescent="0.55000000000000004">
      <c r="A1229" s="3">
        <v>14</v>
      </c>
      <c r="B1229" s="3" t="s">
        <v>48</v>
      </c>
      <c r="C1229" s="3" t="s">
        <v>50</v>
      </c>
      <c r="D1229" s="3" t="s">
        <v>10</v>
      </c>
      <c r="E1229" s="2" t="s">
        <v>19</v>
      </c>
      <c r="F1229" s="3">
        <v>26</v>
      </c>
      <c r="G1229" s="4">
        <v>24.7</v>
      </c>
      <c r="H1229" s="4">
        <v>97.2</v>
      </c>
      <c r="I1229" s="6">
        <v>7.6919847601770712</v>
      </c>
      <c r="J1229" s="5">
        <v>4.4999999999999998E-2</v>
      </c>
      <c r="K1229" s="4">
        <v>23</v>
      </c>
      <c r="L1229" s="4">
        <v>61.2</v>
      </c>
      <c r="M1229" s="6">
        <v>5.0014292906261764</v>
      </c>
      <c r="N1229" s="5">
        <v>4.2000000000000003E-2</v>
      </c>
      <c r="O1229" s="5">
        <v>2.6905554695508949</v>
      </c>
      <c r="P1229" s="5">
        <v>2.6905554695508949</v>
      </c>
      <c r="Q1229" s="8">
        <v>0.20833333333333334</v>
      </c>
      <c r="R1229" s="8">
        <v>0.88541666666666663</v>
      </c>
      <c r="S1229" s="6">
        <f t="shared" si="57"/>
        <v>16.25</v>
      </c>
      <c r="T1229" s="5">
        <f t="shared" si="58"/>
        <v>0.16557264428005508</v>
      </c>
      <c r="U1229" s="3">
        <v>2.21</v>
      </c>
      <c r="V1229" s="5">
        <f t="shared" si="59"/>
        <v>7.4919748543011352E-2</v>
      </c>
      <c r="W1229" s="3">
        <v>7.4919748543011352E-2</v>
      </c>
    </row>
    <row r="1230" spans="1:23" x14ac:dyDescent="0.55000000000000004">
      <c r="A1230" s="3">
        <v>28</v>
      </c>
      <c r="B1230" s="3" t="s">
        <v>53</v>
      </c>
      <c r="C1230" s="3" t="s">
        <v>50</v>
      </c>
      <c r="D1230" s="3" t="s">
        <v>11</v>
      </c>
      <c r="E1230" s="3" t="s">
        <v>31</v>
      </c>
      <c r="F1230" s="3">
        <v>68</v>
      </c>
      <c r="G1230" s="4">
        <v>25.5</v>
      </c>
      <c r="H1230" s="4">
        <v>60.9</v>
      </c>
      <c r="I1230" s="6">
        <v>4.7481911710239055</v>
      </c>
      <c r="J1230" s="5">
        <v>6.8000000000000005E-2</v>
      </c>
      <c r="K1230" s="4">
        <v>24.3</v>
      </c>
      <c r="L1230" s="4">
        <v>25.8</v>
      </c>
      <c r="M1230" s="6">
        <v>2.0570709826450306</v>
      </c>
      <c r="N1230" s="5">
        <v>6.7000000000000004E-2</v>
      </c>
      <c r="O1230" s="5">
        <v>2.6911201883788749</v>
      </c>
      <c r="P1230" s="5">
        <v>2.6911201883788749</v>
      </c>
      <c r="Q1230" s="8">
        <v>0.20833333333333334</v>
      </c>
      <c r="R1230" s="8">
        <v>0.88541666666666663</v>
      </c>
      <c r="S1230" s="6">
        <f t="shared" si="57"/>
        <v>16.25</v>
      </c>
      <c r="T1230" s="5">
        <f t="shared" si="58"/>
        <v>0.16560739620793077</v>
      </c>
      <c r="U1230" s="3">
        <v>2.21</v>
      </c>
      <c r="V1230" s="5">
        <f t="shared" si="59"/>
        <v>7.4935473397253732E-2</v>
      </c>
      <c r="W1230" s="3">
        <v>7.4935473397253732E-2</v>
      </c>
    </row>
    <row r="1231" spans="1:23" x14ac:dyDescent="0.55000000000000004">
      <c r="A1231" s="3">
        <v>54</v>
      </c>
      <c r="B1231" s="3" t="s">
        <v>48</v>
      </c>
      <c r="C1231" s="3" t="s">
        <v>50</v>
      </c>
      <c r="D1231" s="3" t="s">
        <v>10</v>
      </c>
      <c r="E1231" s="2" t="s">
        <v>22</v>
      </c>
      <c r="F1231" s="3">
        <v>37</v>
      </c>
      <c r="G1231" s="4">
        <v>30.8</v>
      </c>
      <c r="H1231" s="4">
        <v>92.2</v>
      </c>
      <c r="I1231" s="6">
        <v>6.5392862645205367</v>
      </c>
      <c r="J1231" s="5">
        <v>6.7000000000000004E-2</v>
      </c>
      <c r="K1231" s="4">
        <v>25.5</v>
      </c>
      <c r="L1231" s="4">
        <v>49</v>
      </c>
      <c r="M1231" s="6">
        <v>3.8203837008238328</v>
      </c>
      <c r="N1231" s="5">
        <v>6.2E-2</v>
      </c>
      <c r="O1231" s="5">
        <v>2.7189025636967039</v>
      </c>
      <c r="P1231" s="5">
        <v>2.7189025636967039</v>
      </c>
      <c r="Q1231" s="8">
        <v>0.20138888888888887</v>
      </c>
      <c r="R1231" s="8">
        <v>0.88541666666666663</v>
      </c>
      <c r="S1231" s="6">
        <f t="shared" si="57"/>
        <v>16.416666666666668</v>
      </c>
      <c r="T1231" s="5">
        <f t="shared" si="58"/>
        <v>0.16561843027594134</v>
      </c>
      <c r="U1231" s="3">
        <v>2.21</v>
      </c>
      <c r="V1231" s="5">
        <f t="shared" si="59"/>
        <v>7.4940466188208765E-2</v>
      </c>
      <c r="W1231" s="3">
        <v>7.4940466188208765E-2</v>
      </c>
    </row>
    <row r="1232" spans="1:23" x14ac:dyDescent="0.55000000000000004">
      <c r="A1232" s="3">
        <v>18</v>
      </c>
      <c r="B1232" s="3" t="s">
        <v>51</v>
      </c>
      <c r="C1232" s="3" t="s">
        <v>50</v>
      </c>
      <c r="D1232" s="3" t="s">
        <v>9</v>
      </c>
      <c r="E1232" s="3" t="s">
        <v>31</v>
      </c>
      <c r="F1232" s="3">
        <v>68</v>
      </c>
      <c r="G1232" s="4">
        <v>25.5</v>
      </c>
      <c r="H1232" s="4">
        <v>96.4</v>
      </c>
      <c r="I1232" s="6">
        <v>7.5160201787636218</v>
      </c>
      <c r="J1232" s="5">
        <v>5.8999999999999997E-2</v>
      </c>
      <c r="K1232" s="4">
        <v>24.3</v>
      </c>
      <c r="L1232" s="4">
        <v>60.4</v>
      </c>
      <c r="M1232" s="6">
        <v>4.815778579525575</v>
      </c>
      <c r="N1232" s="5">
        <v>5.8999999999999997E-2</v>
      </c>
      <c r="O1232" s="5">
        <v>2.7002415992380469</v>
      </c>
      <c r="P1232" s="5">
        <v>2.7002415992380469</v>
      </c>
      <c r="Q1232" s="8">
        <v>0.20833333333333334</v>
      </c>
      <c r="R1232" s="8">
        <v>0.88541666666666663</v>
      </c>
      <c r="S1232" s="6">
        <f t="shared" si="57"/>
        <v>16.25</v>
      </c>
      <c r="T1232" s="5">
        <f t="shared" si="58"/>
        <v>0.16616871379926443</v>
      </c>
      <c r="U1232" s="3">
        <v>2.21</v>
      </c>
      <c r="V1232" s="5">
        <f t="shared" si="59"/>
        <v>7.5189463257585701E-2</v>
      </c>
      <c r="W1232" s="3">
        <v>7.5189463257585701E-2</v>
      </c>
    </row>
    <row r="1233" spans="1:23" x14ac:dyDescent="0.55000000000000004">
      <c r="A1233" s="3">
        <v>32</v>
      </c>
      <c r="B1233" s="3" t="s">
        <v>53</v>
      </c>
      <c r="C1233" s="3" t="s">
        <v>50</v>
      </c>
      <c r="D1233" s="3" t="s">
        <v>11</v>
      </c>
      <c r="E1233" s="2" t="s">
        <v>23</v>
      </c>
      <c r="F1233" s="3">
        <v>40</v>
      </c>
      <c r="G1233" s="4">
        <v>29.2</v>
      </c>
      <c r="H1233" s="4">
        <v>100.9</v>
      </c>
      <c r="I1233" s="6">
        <v>7.3587622753061499</v>
      </c>
      <c r="J1233" s="5">
        <v>6.2E-2</v>
      </c>
      <c r="K1233" s="4">
        <v>24.5</v>
      </c>
      <c r="L1233" s="4">
        <v>58.3</v>
      </c>
      <c r="M1233" s="6">
        <v>4.6309187393616602</v>
      </c>
      <c r="N1233" s="5">
        <v>5.8000000000000003E-2</v>
      </c>
      <c r="O1233" s="5">
        <v>2.7278435359444897</v>
      </c>
      <c r="P1233" s="5">
        <v>2.7278435359444897</v>
      </c>
      <c r="Q1233" s="8">
        <v>0.20833333333333334</v>
      </c>
      <c r="R1233" s="8">
        <v>0.89027777777777783</v>
      </c>
      <c r="S1233" s="6">
        <f t="shared" si="57"/>
        <v>16.366666666666667</v>
      </c>
      <c r="T1233" s="5">
        <f t="shared" si="58"/>
        <v>0.16667068447726005</v>
      </c>
      <c r="U1233" s="3">
        <v>2.21</v>
      </c>
      <c r="V1233" s="5">
        <f t="shared" si="59"/>
        <v>7.5416599310977397E-2</v>
      </c>
      <c r="W1233" s="3">
        <v>7.5416599310977397E-2</v>
      </c>
    </row>
    <row r="1234" spans="1:23" x14ac:dyDescent="0.55000000000000004">
      <c r="A1234" s="3">
        <v>3</v>
      </c>
      <c r="B1234" s="3" t="s">
        <v>51</v>
      </c>
      <c r="C1234" s="3" t="s">
        <v>50</v>
      </c>
      <c r="D1234" s="3" t="s">
        <v>9</v>
      </c>
      <c r="E1234" s="3" t="s">
        <v>29</v>
      </c>
      <c r="F1234" s="3">
        <v>61</v>
      </c>
      <c r="G1234" s="4">
        <v>28.9</v>
      </c>
      <c r="H1234" s="4">
        <v>83.7</v>
      </c>
      <c r="I1234" s="6">
        <v>6.1367455283488788</v>
      </c>
      <c r="J1234" s="5">
        <v>0.06</v>
      </c>
      <c r="K1234" s="4">
        <v>25.1</v>
      </c>
      <c r="L1234" s="4">
        <v>43.1</v>
      </c>
      <c r="M1234" s="6">
        <v>3.3853995744231531</v>
      </c>
      <c r="N1234" s="5">
        <v>5.7000000000000002E-2</v>
      </c>
      <c r="O1234" s="5">
        <v>2.7513459539257257</v>
      </c>
      <c r="P1234" s="5">
        <v>2.7513459539257257</v>
      </c>
      <c r="Q1234" s="8">
        <v>0.19791666666666666</v>
      </c>
      <c r="R1234" s="8">
        <v>0.88541666666666663</v>
      </c>
      <c r="S1234" s="6">
        <f t="shared" si="57"/>
        <v>16.5</v>
      </c>
      <c r="T1234" s="5">
        <f t="shared" si="58"/>
        <v>0.16674823963186217</v>
      </c>
      <c r="U1234" s="3">
        <v>2.21</v>
      </c>
      <c r="V1234" s="5">
        <f t="shared" si="59"/>
        <v>7.5451692141114107E-2</v>
      </c>
      <c r="W1234" s="3">
        <v>7.5451692141114107E-2</v>
      </c>
    </row>
    <row r="1235" spans="1:23" x14ac:dyDescent="0.55000000000000004">
      <c r="A1235" s="3">
        <v>51</v>
      </c>
      <c r="B1235" s="3" t="s">
        <v>48</v>
      </c>
      <c r="C1235" s="3" t="s">
        <v>50</v>
      </c>
      <c r="D1235" s="3" t="s">
        <v>10</v>
      </c>
      <c r="E1235" s="3" t="s">
        <v>26</v>
      </c>
      <c r="F1235" s="3">
        <v>51</v>
      </c>
      <c r="G1235" s="4">
        <v>27.1</v>
      </c>
      <c r="H1235" s="4">
        <v>93.7</v>
      </c>
      <c r="I1235" s="6">
        <v>7.0947407376362879</v>
      </c>
      <c r="J1235" s="5">
        <v>7.3999999999999996E-2</v>
      </c>
      <c r="K1235" s="4">
        <v>24.3</v>
      </c>
      <c r="L1235" s="4">
        <v>55.5</v>
      </c>
      <c r="M1235" s="6">
        <v>4.425094555689892</v>
      </c>
      <c r="N1235" s="5">
        <v>7.0999999999999994E-2</v>
      </c>
      <c r="O1235" s="5">
        <v>2.6696461819463959</v>
      </c>
      <c r="P1235" s="5">
        <v>2.6696461819463959</v>
      </c>
      <c r="Q1235" s="8">
        <v>0.20833333333333334</v>
      </c>
      <c r="R1235" s="8">
        <v>0.875</v>
      </c>
      <c r="S1235" s="6">
        <f t="shared" si="57"/>
        <v>16</v>
      </c>
      <c r="T1235" s="5">
        <f t="shared" si="58"/>
        <v>0.16685288637164974</v>
      </c>
      <c r="U1235" s="3">
        <v>2.21</v>
      </c>
      <c r="V1235" s="5">
        <f t="shared" si="59"/>
        <v>7.5499043607081331E-2</v>
      </c>
      <c r="W1235" s="3">
        <v>7.5499043607081331E-2</v>
      </c>
    </row>
    <row r="1236" spans="1:23" x14ac:dyDescent="0.55000000000000004">
      <c r="A1236" s="3">
        <v>34</v>
      </c>
      <c r="B1236" s="3" t="s">
        <v>48</v>
      </c>
      <c r="C1236" s="3" t="s">
        <v>50</v>
      </c>
      <c r="D1236" s="3" t="s">
        <v>10</v>
      </c>
      <c r="E1236" s="2" t="s">
        <v>25</v>
      </c>
      <c r="F1236" s="3">
        <v>47</v>
      </c>
      <c r="G1236" s="4">
        <v>28.7</v>
      </c>
      <c r="H1236" s="4">
        <v>92.9</v>
      </c>
      <c r="I1236" s="6">
        <v>6.8354328131581568</v>
      </c>
      <c r="J1236" s="5">
        <v>8.5000000000000006E-2</v>
      </c>
      <c r="K1236" s="4">
        <v>25.3</v>
      </c>
      <c r="L1236" s="4">
        <v>52.1</v>
      </c>
      <c r="M1236" s="6">
        <v>4.0771557807686314</v>
      </c>
      <c r="N1236" s="5">
        <v>7.9000000000000001E-2</v>
      </c>
      <c r="O1236" s="5">
        <v>2.7582770323895254</v>
      </c>
      <c r="P1236" s="5">
        <v>2.7582770323895254</v>
      </c>
      <c r="Q1236" s="8">
        <v>0.20833333333333334</v>
      </c>
      <c r="R1236" s="8">
        <v>0.89583333333333337</v>
      </c>
      <c r="S1236" s="6">
        <f t="shared" si="57"/>
        <v>16.5</v>
      </c>
      <c r="T1236" s="5">
        <f t="shared" si="58"/>
        <v>0.16716830499330457</v>
      </c>
      <c r="U1236" s="3">
        <v>2.21</v>
      </c>
      <c r="V1236" s="5">
        <f t="shared" si="59"/>
        <v>7.5641766965296189E-2</v>
      </c>
      <c r="W1236" s="3">
        <v>7.5641766965296189E-2</v>
      </c>
    </row>
    <row r="1237" spans="1:23" x14ac:dyDescent="0.55000000000000004">
      <c r="A1237" s="3">
        <v>43</v>
      </c>
      <c r="B1237" s="3" t="s">
        <v>51</v>
      </c>
      <c r="C1237" s="3" t="s">
        <v>50</v>
      </c>
      <c r="D1237" s="3" t="s">
        <v>9</v>
      </c>
      <c r="E1237" s="2" t="s">
        <v>25</v>
      </c>
      <c r="F1237" s="3">
        <v>47</v>
      </c>
      <c r="G1237" s="4">
        <v>28.8</v>
      </c>
      <c r="H1237" s="4">
        <v>91.5</v>
      </c>
      <c r="I1237" s="6">
        <v>6.7205076252962943</v>
      </c>
      <c r="J1237" s="5">
        <v>4.1000000000000002E-2</v>
      </c>
      <c r="K1237" s="4">
        <v>25.6</v>
      </c>
      <c r="L1237" s="4">
        <v>50.9</v>
      </c>
      <c r="M1237" s="6">
        <v>3.9611928826463245</v>
      </c>
      <c r="N1237" s="5">
        <v>3.7999999999999999E-2</v>
      </c>
      <c r="O1237" s="5">
        <v>2.7593147426499698</v>
      </c>
      <c r="P1237" s="5">
        <v>2.7593147426499698</v>
      </c>
      <c r="Q1237" s="8">
        <v>0.20833333333333334</v>
      </c>
      <c r="R1237" s="8">
        <v>0.89583333333333337</v>
      </c>
      <c r="S1237" s="6">
        <f t="shared" si="57"/>
        <v>16.5</v>
      </c>
      <c r="T1237" s="5">
        <f t="shared" si="58"/>
        <v>0.16723119652424059</v>
      </c>
      <c r="U1237" s="3">
        <v>2.21</v>
      </c>
      <c r="V1237" s="5">
        <f t="shared" si="59"/>
        <v>7.5670224671602088E-2</v>
      </c>
      <c r="W1237" s="3">
        <v>7.5670224671602088E-2</v>
      </c>
    </row>
    <row r="1238" spans="1:23" x14ac:dyDescent="0.55000000000000004">
      <c r="A1238" s="3">
        <v>46</v>
      </c>
      <c r="B1238" s="3" t="s">
        <v>51</v>
      </c>
      <c r="C1238" s="3" t="s">
        <v>49</v>
      </c>
      <c r="D1238" s="3" t="s">
        <v>39</v>
      </c>
      <c r="E1238" s="2" t="s">
        <v>25</v>
      </c>
      <c r="F1238" s="3">
        <v>47</v>
      </c>
      <c r="G1238" s="4">
        <v>28.8</v>
      </c>
      <c r="H1238" s="4">
        <v>101.3</v>
      </c>
      <c r="I1238" s="6">
        <v>7.4402996988252958</v>
      </c>
      <c r="J1238" s="5">
        <v>6.0999999999999999E-2</v>
      </c>
      <c r="K1238" s="4">
        <v>25.4</v>
      </c>
      <c r="L1238" s="4">
        <v>59.8</v>
      </c>
      <c r="M1238" s="6">
        <v>4.6710646464301995</v>
      </c>
      <c r="N1238" s="5">
        <v>5.8999999999999997E-2</v>
      </c>
      <c r="O1238" s="5">
        <v>2.7692350523950964</v>
      </c>
      <c r="P1238" s="5">
        <v>2.7692350523950964</v>
      </c>
      <c r="Q1238" s="8">
        <v>0.20833333333333334</v>
      </c>
      <c r="R1238" s="8">
        <v>0.89583333333333337</v>
      </c>
      <c r="S1238" s="6">
        <f t="shared" si="57"/>
        <v>16.5</v>
      </c>
      <c r="T1238" s="5">
        <f t="shared" si="58"/>
        <v>0.16783242741788462</v>
      </c>
      <c r="U1238" s="3">
        <v>2.21</v>
      </c>
      <c r="V1238" s="5">
        <f t="shared" si="59"/>
        <v>7.5942274849721547E-2</v>
      </c>
      <c r="W1238" s="3">
        <v>7.5942274849721547E-2</v>
      </c>
    </row>
    <row r="1239" spans="1:23" x14ac:dyDescent="0.55000000000000004">
      <c r="A1239" s="3">
        <v>6</v>
      </c>
      <c r="B1239" s="3" t="s">
        <v>51</v>
      </c>
      <c r="C1239" s="3" t="s">
        <v>49</v>
      </c>
      <c r="D1239" s="3" t="s">
        <v>39</v>
      </c>
      <c r="E1239" s="3" t="s">
        <v>30</v>
      </c>
      <c r="F1239" s="3">
        <v>65</v>
      </c>
      <c r="G1239" s="4">
        <v>27.9</v>
      </c>
      <c r="H1239" s="4">
        <v>112.3</v>
      </c>
      <c r="I1239" s="6">
        <v>8.3814805436259725</v>
      </c>
      <c r="J1239" s="5">
        <v>5.6000000000000001E-2</v>
      </c>
      <c r="K1239" s="4">
        <v>23.2</v>
      </c>
      <c r="L1239" s="4">
        <v>69.400000000000006</v>
      </c>
      <c r="M1239" s="6">
        <v>5.6499059733886714</v>
      </c>
      <c r="N1239" s="5">
        <v>4.5999999999999999E-2</v>
      </c>
      <c r="O1239" s="5">
        <v>2.7315745702373011</v>
      </c>
      <c r="P1239" s="5">
        <v>2.7315745702373011</v>
      </c>
      <c r="Q1239" s="8">
        <v>0.20833333333333334</v>
      </c>
      <c r="R1239" s="8">
        <v>0.88541666666666663</v>
      </c>
      <c r="S1239" s="6">
        <f t="shared" si="57"/>
        <v>16.25</v>
      </c>
      <c r="T1239" s="5">
        <f t="shared" si="58"/>
        <v>0.16809689662998775</v>
      </c>
      <c r="U1239" s="3">
        <v>2.21</v>
      </c>
      <c r="V1239" s="5">
        <f t="shared" si="59"/>
        <v>7.6061944176465043E-2</v>
      </c>
      <c r="W1239" s="3">
        <v>7.6061944176465043E-2</v>
      </c>
    </row>
    <row r="1240" spans="1:23" x14ac:dyDescent="0.55000000000000004">
      <c r="A1240" s="3">
        <v>58</v>
      </c>
      <c r="B1240" s="3" t="s">
        <v>53</v>
      </c>
      <c r="C1240" s="3" t="s">
        <v>49</v>
      </c>
      <c r="D1240" s="3" t="s">
        <v>41</v>
      </c>
      <c r="E1240" s="3" t="s">
        <v>26</v>
      </c>
      <c r="F1240" s="3">
        <v>51</v>
      </c>
      <c r="G1240" s="4">
        <v>26.1</v>
      </c>
      <c r="H1240" s="4">
        <v>101.8</v>
      </c>
      <c r="I1240" s="6">
        <v>7.8498039815104832</v>
      </c>
      <c r="J1240" s="5">
        <v>6.7000000000000004E-2</v>
      </c>
      <c r="K1240" s="4">
        <v>24.7</v>
      </c>
      <c r="L1240" s="4">
        <v>65.2</v>
      </c>
      <c r="M1240" s="6">
        <v>5.1596440983903813</v>
      </c>
      <c r="N1240" s="5">
        <v>6.3E-2</v>
      </c>
      <c r="O1240" s="5">
        <v>2.6901598831201019</v>
      </c>
      <c r="P1240" s="5">
        <v>2.6901598831201019</v>
      </c>
      <c r="Q1240" s="8">
        <v>0.20833333333333334</v>
      </c>
      <c r="R1240" s="8">
        <v>0.875</v>
      </c>
      <c r="S1240" s="6">
        <f t="shared" si="57"/>
        <v>16</v>
      </c>
      <c r="T1240" s="5">
        <f t="shared" si="58"/>
        <v>0.16813499269500637</v>
      </c>
      <c r="U1240" s="3">
        <v>2.21</v>
      </c>
      <c r="V1240" s="5">
        <f t="shared" si="59"/>
        <v>7.6079182214935009E-2</v>
      </c>
      <c r="W1240" s="3">
        <v>7.6079182214935009E-2</v>
      </c>
    </row>
    <row r="1241" spans="1:23" x14ac:dyDescent="0.55000000000000004">
      <c r="A1241" s="3">
        <v>9</v>
      </c>
      <c r="B1241" s="3" t="s">
        <v>48</v>
      </c>
      <c r="C1241" s="3" t="s">
        <v>50</v>
      </c>
      <c r="D1241" s="3" t="s">
        <v>10</v>
      </c>
      <c r="E1241" s="3" t="s">
        <v>30</v>
      </c>
      <c r="F1241" s="3">
        <v>65</v>
      </c>
      <c r="G1241" s="4">
        <v>27.9</v>
      </c>
      <c r="H1241" s="4">
        <v>114.1</v>
      </c>
      <c r="I1241" s="6">
        <v>8.5158230634703767</v>
      </c>
      <c r="J1241" s="5">
        <v>7.0999999999999994E-2</v>
      </c>
      <c r="K1241" s="4">
        <v>23.7</v>
      </c>
      <c r="L1241" s="4">
        <v>71.7</v>
      </c>
      <c r="M1241" s="6">
        <v>5.7818785749583617</v>
      </c>
      <c r="N1241" s="5">
        <v>5.8999999999999997E-2</v>
      </c>
      <c r="O1241" s="5">
        <v>2.733944488512015</v>
      </c>
      <c r="P1241" s="5">
        <v>2.733944488512015</v>
      </c>
      <c r="Q1241" s="8">
        <v>0.20833333333333334</v>
      </c>
      <c r="R1241" s="8">
        <v>0.88541666666666663</v>
      </c>
      <c r="S1241" s="6">
        <f t="shared" si="57"/>
        <v>16.25</v>
      </c>
      <c r="T1241" s="5">
        <f t="shared" si="58"/>
        <v>0.16824273775458554</v>
      </c>
      <c r="U1241" s="3">
        <v>2.21</v>
      </c>
      <c r="V1241" s="5">
        <f t="shared" si="59"/>
        <v>7.6127935635559071E-2</v>
      </c>
      <c r="W1241" s="3">
        <v>7.6127935635559071E-2</v>
      </c>
    </row>
    <row r="1242" spans="1:23" x14ac:dyDescent="0.55000000000000004">
      <c r="A1242" s="3">
        <v>18</v>
      </c>
      <c r="B1242" s="3" t="s">
        <v>51</v>
      </c>
      <c r="C1242" s="3" t="s">
        <v>50</v>
      </c>
      <c r="D1242" s="3" t="s">
        <v>9</v>
      </c>
      <c r="E1242" s="2" t="s">
        <v>25</v>
      </c>
      <c r="F1242" s="3">
        <v>47</v>
      </c>
      <c r="G1242" s="4">
        <v>30.1</v>
      </c>
      <c r="H1242" s="4">
        <v>115.6</v>
      </c>
      <c r="I1242" s="6">
        <v>8.2990239203594793</v>
      </c>
      <c r="J1242" s="5">
        <v>8.3000000000000004E-2</v>
      </c>
      <c r="K1242" s="4">
        <v>26.7</v>
      </c>
      <c r="L1242" s="4">
        <v>72.400000000000006</v>
      </c>
      <c r="M1242" s="6">
        <v>5.521898778858036</v>
      </c>
      <c r="N1242" s="5">
        <v>0.06</v>
      </c>
      <c r="O1242" s="5">
        <v>2.7771251415014433</v>
      </c>
      <c r="P1242" s="5">
        <v>2.7771251415014433</v>
      </c>
      <c r="Q1242" s="8">
        <v>0.20833333333333334</v>
      </c>
      <c r="R1242" s="8">
        <v>0.89583333333333337</v>
      </c>
      <c r="S1242" s="6">
        <f t="shared" si="57"/>
        <v>16.5</v>
      </c>
      <c r="T1242" s="5">
        <f t="shared" si="58"/>
        <v>0.16831061463645111</v>
      </c>
      <c r="U1242" s="3">
        <v>2.21</v>
      </c>
      <c r="V1242" s="5">
        <f t="shared" si="59"/>
        <v>7.6158649156765207E-2</v>
      </c>
      <c r="W1242" s="3">
        <v>7.6158649156765207E-2</v>
      </c>
    </row>
    <row r="1243" spans="1:23" x14ac:dyDescent="0.55000000000000004">
      <c r="A1243" s="3">
        <v>57</v>
      </c>
      <c r="B1243" s="3" t="s">
        <v>52</v>
      </c>
      <c r="C1243" s="3" t="s">
        <v>50</v>
      </c>
      <c r="D1243" s="3" t="s">
        <v>12</v>
      </c>
      <c r="E1243" s="3" t="s">
        <v>34</v>
      </c>
      <c r="F1243" s="3">
        <v>79</v>
      </c>
      <c r="G1243" s="4">
        <v>29.1</v>
      </c>
      <c r="H1243" s="4">
        <v>75.5</v>
      </c>
      <c r="I1243" s="6">
        <v>5.5160211507973997</v>
      </c>
      <c r="J1243" s="5">
        <v>5.8000000000000003E-2</v>
      </c>
      <c r="K1243" s="4">
        <v>25.4</v>
      </c>
      <c r="L1243" s="4">
        <v>35.6</v>
      </c>
      <c r="M1243" s="6">
        <v>2.7807675821557716</v>
      </c>
      <c r="N1243" s="5">
        <v>5.5E-2</v>
      </c>
      <c r="O1243" s="5">
        <v>2.7352535686416282</v>
      </c>
      <c r="P1243" s="5">
        <v>2.7352535686416282</v>
      </c>
      <c r="Q1243" s="8">
        <v>0.20833333333333334</v>
      </c>
      <c r="R1243" s="8">
        <v>0.88541666666666663</v>
      </c>
      <c r="S1243" s="6">
        <f t="shared" si="57"/>
        <v>16.25</v>
      </c>
      <c r="T1243" s="5">
        <f t="shared" si="58"/>
        <v>0.16832329653179251</v>
      </c>
      <c r="U1243" s="3">
        <v>2.21</v>
      </c>
      <c r="V1243" s="5">
        <f t="shared" si="59"/>
        <v>7.6164387570946832E-2</v>
      </c>
      <c r="W1243" s="3">
        <v>7.6164387570946832E-2</v>
      </c>
    </row>
    <row r="1244" spans="1:23" x14ac:dyDescent="0.55000000000000004">
      <c r="A1244" s="3">
        <v>16</v>
      </c>
      <c r="B1244" s="3" t="s">
        <v>52</v>
      </c>
      <c r="C1244" s="3" t="s">
        <v>50</v>
      </c>
      <c r="D1244" s="3" t="s">
        <v>12</v>
      </c>
      <c r="E1244" s="3" t="s">
        <v>35</v>
      </c>
      <c r="F1244" s="3">
        <v>82</v>
      </c>
      <c r="G1244" s="4">
        <v>31.3</v>
      </c>
      <c r="H1244" s="4">
        <v>72.400000000000006</v>
      </c>
      <c r="I1244" s="6">
        <v>5.0909879818565988</v>
      </c>
      <c r="J1244" s="5">
        <v>8.4000000000000005E-2</v>
      </c>
      <c r="K1244" s="4">
        <v>27.3</v>
      </c>
      <c r="L1244" s="4">
        <v>31.2</v>
      </c>
      <c r="M1244" s="6">
        <v>2.3538638604306099</v>
      </c>
      <c r="N1244" s="5">
        <v>8.3000000000000004E-2</v>
      </c>
      <c r="O1244" s="5">
        <v>2.7371241214259889</v>
      </c>
      <c r="P1244" s="5">
        <v>2.7371241214259889</v>
      </c>
      <c r="Q1244" s="8">
        <v>0.20833333333333334</v>
      </c>
      <c r="R1244" s="8">
        <v>0.88541666666666663</v>
      </c>
      <c r="S1244" s="6">
        <f t="shared" si="57"/>
        <v>16.25</v>
      </c>
      <c r="T1244" s="5">
        <f t="shared" si="58"/>
        <v>0.16843840747236855</v>
      </c>
      <c r="U1244" s="3">
        <v>2.21</v>
      </c>
      <c r="V1244" s="5">
        <f t="shared" si="59"/>
        <v>7.6216473969397541E-2</v>
      </c>
      <c r="W1244" s="3">
        <v>7.6216473969397541E-2</v>
      </c>
    </row>
    <row r="1245" spans="1:23" x14ac:dyDescent="0.55000000000000004">
      <c r="A1245" s="3">
        <v>51</v>
      </c>
      <c r="B1245" s="3" t="s">
        <v>48</v>
      </c>
      <c r="C1245" s="3" t="s">
        <v>50</v>
      </c>
      <c r="D1245" s="3" t="s">
        <v>10</v>
      </c>
      <c r="E1245" s="3" t="s">
        <v>29</v>
      </c>
      <c r="F1245" s="3">
        <v>61</v>
      </c>
      <c r="G1245" s="4">
        <v>29.8</v>
      </c>
      <c r="H1245" s="4">
        <v>100.7</v>
      </c>
      <c r="I1245" s="6">
        <v>7.2672720167756335</v>
      </c>
      <c r="J1245" s="5">
        <v>7.4999999999999997E-2</v>
      </c>
      <c r="K1245" s="4">
        <v>25.2</v>
      </c>
      <c r="L1245" s="4">
        <v>57.2</v>
      </c>
      <c r="M1245" s="6">
        <v>4.4845781870456607</v>
      </c>
      <c r="N1245" s="5">
        <v>6.8000000000000005E-2</v>
      </c>
      <c r="O1245" s="5">
        <v>2.7826938297299728</v>
      </c>
      <c r="P1245" s="5">
        <v>2.7826938297299728</v>
      </c>
      <c r="Q1245" s="8">
        <v>0.19791666666666666</v>
      </c>
      <c r="R1245" s="8">
        <v>0.88541666666666663</v>
      </c>
      <c r="S1245" s="6">
        <f t="shared" si="57"/>
        <v>16.5</v>
      </c>
      <c r="T1245" s="5">
        <f t="shared" si="58"/>
        <v>0.16864811089272563</v>
      </c>
      <c r="U1245" s="3">
        <v>2.21</v>
      </c>
      <c r="V1245" s="5">
        <f t="shared" si="59"/>
        <v>7.6311362394898469E-2</v>
      </c>
      <c r="W1245" s="3">
        <v>7.6311362394898469E-2</v>
      </c>
    </row>
    <row r="1246" spans="1:23" x14ac:dyDescent="0.55000000000000004">
      <c r="A1246" s="3">
        <v>61</v>
      </c>
      <c r="B1246" s="3" t="s">
        <v>53</v>
      </c>
      <c r="C1246" s="3" t="s">
        <v>50</v>
      </c>
      <c r="D1246" s="3" t="s">
        <v>11</v>
      </c>
      <c r="E1246" s="3" t="s">
        <v>31</v>
      </c>
      <c r="F1246" s="3">
        <v>68</v>
      </c>
      <c r="G1246" s="4">
        <v>25.7</v>
      </c>
      <c r="H1246" s="4">
        <v>79</v>
      </c>
      <c r="I1246" s="6">
        <v>6.1366830683573985</v>
      </c>
      <c r="J1246" s="5">
        <v>4.1000000000000002E-2</v>
      </c>
      <c r="K1246" s="4">
        <v>24.4</v>
      </c>
      <c r="L1246" s="4">
        <v>42.6</v>
      </c>
      <c r="M1246" s="6">
        <v>3.3901828480336516</v>
      </c>
      <c r="N1246" s="5">
        <v>4.4999999999999998E-2</v>
      </c>
      <c r="O1246" s="5">
        <v>2.746500220323747</v>
      </c>
      <c r="P1246" s="5">
        <v>2.746500220323747</v>
      </c>
      <c r="Q1246" s="8">
        <v>0.20833333333333334</v>
      </c>
      <c r="R1246" s="8">
        <v>0.88541666666666663</v>
      </c>
      <c r="S1246" s="6">
        <f t="shared" si="57"/>
        <v>16.25</v>
      </c>
      <c r="T1246" s="5">
        <f t="shared" si="58"/>
        <v>0.16901539817376904</v>
      </c>
      <c r="U1246" s="3">
        <v>2.21</v>
      </c>
      <c r="V1246" s="5">
        <f t="shared" si="59"/>
        <v>7.6477555734737121E-2</v>
      </c>
      <c r="W1246" s="3">
        <v>7.6477555734737121E-2</v>
      </c>
    </row>
    <row r="1247" spans="1:23" x14ac:dyDescent="0.55000000000000004">
      <c r="A1247" s="3">
        <v>19</v>
      </c>
      <c r="B1247" s="3" t="s">
        <v>53</v>
      </c>
      <c r="C1247" s="3" t="s">
        <v>49</v>
      </c>
      <c r="D1247" s="3" t="s">
        <v>41</v>
      </c>
      <c r="E1247" s="2" t="s">
        <v>21</v>
      </c>
      <c r="F1247" s="3">
        <v>33</v>
      </c>
      <c r="G1247" s="4">
        <v>30.3</v>
      </c>
      <c r="H1247" s="4">
        <v>94.4</v>
      </c>
      <c r="I1247" s="6">
        <v>6.7535293195106672</v>
      </c>
      <c r="J1247" s="5">
        <v>5.7000000000000002E-2</v>
      </c>
      <c r="K1247" s="4">
        <v>26.4</v>
      </c>
      <c r="L1247" s="4">
        <v>52.4</v>
      </c>
      <c r="M1247" s="6">
        <v>4.0184349798179708</v>
      </c>
      <c r="N1247" s="5">
        <v>5.7000000000000002E-2</v>
      </c>
      <c r="O1247" s="5">
        <v>2.7350943396926963</v>
      </c>
      <c r="P1247" s="5">
        <v>2.7350943396926963</v>
      </c>
      <c r="Q1247" s="8">
        <v>0.20833333333333334</v>
      </c>
      <c r="R1247" s="8">
        <v>0.88194444444444453</v>
      </c>
      <c r="S1247" s="6">
        <f t="shared" si="57"/>
        <v>16.166666666666668</v>
      </c>
      <c r="T1247" s="5">
        <f t="shared" si="58"/>
        <v>0.1691810931768678</v>
      </c>
      <c r="U1247" s="3">
        <v>2.21</v>
      </c>
      <c r="V1247" s="5">
        <f t="shared" si="59"/>
        <v>7.655253084926146E-2</v>
      </c>
      <c r="W1247" s="3">
        <v>7.655253084926146E-2</v>
      </c>
    </row>
    <row r="1248" spans="1:23" x14ac:dyDescent="0.55000000000000004">
      <c r="A1248" s="3">
        <v>51</v>
      </c>
      <c r="B1248" s="3" t="s">
        <v>48</v>
      </c>
      <c r="C1248" s="3" t="s">
        <v>50</v>
      </c>
      <c r="D1248" s="3" t="s">
        <v>10</v>
      </c>
      <c r="E1248" s="3" t="s">
        <v>28</v>
      </c>
      <c r="F1248" s="3">
        <v>58</v>
      </c>
      <c r="G1248" s="4">
        <v>27.9</v>
      </c>
      <c r="H1248" s="4">
        <v>102.1</v>
      </c>
      <c r="I1248" s="6">
        <v>7.6202062645076731</v>
      </c>
      <c r="J1248" s="5">
        <v>6.5000000000000002E-2</v>
      </c>
      <c r="K1248" s="4">
        <v>23.7</v>
      </c>
      <c r="L1248" s="4">
        <v>60.2</v>
      </c>
      <c r="M1248" s="6">
        <v>4.8545200866456542</v>
      </c>
      <c r="N1248" s="5">
        <v>6.3E-2</v>
      </c>
      <c r="O1248" s="5">
        <v>2.765686177862019</v>
      </c>
      <c r="P1248" s="5">
        <v>2.765686177862019</v>
      </c>
      <c r="Q1248" s="8">
        <v>0.20833333333333334</v>
      </c>
      <c r="R1248" s="8">
        <v>0.88888888888888884</v>
      </c>
      <c r="S1248" s="6">
        <f t="shared" si="57"/>
        <v>16.333333333333332</v>
      </c>
      <c r="T1248" s="5">
        <f t="shared" si="58"/>
        <v>0.16932772517522565</v>
      </c>
      <c r="U1248" s="3">
        <v>2.21</v>
      </c>
      <c r="V1248" s="5">
        <f t="shared" si="59"/>
        <v>7.6618880169785367E-2</v>
      </c>
      <c r="W1248" s="3">
        <v>7.6618880169785367E-2</v>
      </c>
    </row>
    <row r="1249" spans="1:23" x14ac:dyDescent="0.55000000000000004">
      <c r="A1249" s="3">
        <v>54</v>
      </c>
      <c r="B1249" s="3" t="s">
        <v>48</v>
      </c>
      <c r="C1249" s="3" t="s">
        <v>50</v>
      </c>
      <c r="D1249" s="3" t="s">
        <v>10</v>
      </c>
      <c r="E1249" s="3" t="s">
        <v>32</v>
      </c>
      <c r="F1249" s="3">
        <v>72</v>
      </c>
      <c r="G1249" s="4">
        <v>28.7</v>
      </c>
      <c r="H1249" s="4">
        <v>93</v>
      </c>
      <c r="I1249" s="6">
        <v>6.842790652569521</v>
      </c>
      <c r="J1249" s="5">
        <v>5.7000000000000002E-2</v>
      </c>
      <c r="K1249" s="4">
        <v>24.1</v>
      </c>
      <c r="L1249" s="4">
        <v>51</v>
      </c>
      <c r="M1249" s="6">
        <v>4.0816452213674044</v>
      </c>
      <c r="N1249" s="5">
        <v>5.3999999999999999E-2</v>
      </c>
      <c r="O1249" s="5">
        <v>2.7611454312021166</v>
      </c>
      <c r="P1249" s="5">
        <v>2.7611454312021166</v>
      </c>
      <c r="Q1249" s="8">
        <v>0.20833333333333334</v>
      </c>
      <c r="R1249" s="8">
        <v>0.88541666666666663</v>
      </c>
      <c r="S1249" s="6">
        <f t="shared" si="57"/>
        <v>16.25</v>
      </c>
      <c r="T1249" s="5">
        <f t="shared" si="58"/>
        <v>0.16991664192013026</v>
      </c>
      <c r="U1249" s="3">
        <v>2.21</v>
      </c>
      <c r="V1249" s="5">
        <f t="shared" si="59"/>
        <v>7.6885358334900566E-2</v>
      </c>
      <c r="W1249" s="3">
        <v>7.6885358334900566E-2</v>
      </c>
    </row>
    <row r="1250" spans="1:23" x14ac:dyDescent="0.55000000000000004">
      <c r="A1250" s="3">
        <v>33</v>
      </c>
      <c r="B1250" s="3" t="s">
        <v>51</v>
      </c>
      <c r="C1250" s="3" t="s">
        <v>50</v>
      </c>
      <c r="D1250" s="3" t="s">
        <v>9</v>
      </c>
      <c r="E1250" s="3" t="s">
        <v>35</v>
      </c>
      <c r="F1250" s="3">
        <v>82</v>
      </c>
      <c r="G1250" s="4">
        <v>31.8</v>
      </c>
      <c r="H1250" s="4">
        <v>67.400000000000006</v>
      </c>
      <c r="I1250" s="6">
        <v>4.6990556625639099</v>
      </c>
      <c r="J1250" s="5">
        <v>7.9000000000000001E-2</v>
      </c>
      <c r="K1250" s="4">
        <v>28.2</v>
      </c>
      <c r="L1250" s="4">
        <v>26.1</v>
      </c>
      <c r="M1250" s="6">
        <v>1.9375477739002998</v>
      </c>
      <c r="N1250" s="5">
        <v>8.4000000000000005E-2</v>
      </c>
      <c r="O1250" s="5">
        <v>2.7615078886636102</v>
      </c>
      <c r="P1250" s="5">
        <v>2.7615078886636102</v>
      </c>
      <c r="Q1250" s="8">
        <v>0.20833333333333334</v>
      </c>
      <c r="R1250" s="8">
        <v>0.88541666666666663</v>
      </c>
      <c r="S1250" s="6">
        <f t="shared" si="57"/>
        <v>16.25</v>
      </c>
      <c r="T1250" s="5">
        <f t="shared" si="58"/>
        <v>0.1699389469946837</v>
      </c>
      <c r="U1250" s="3">
        <v>2.21</v>
      </c>
      <c r="V1250" s="5">
        <f t="shared" si="59"/>
        <v>7.6895451128816156E-2</v>
      </c>
      <c r="W1250" s="3">
        <v>7.6895451128816156E-2</v>
      </c>
    </row>
    <row r="1251" spans="1:23" x14ac:dyDescent="0.55000000000000004">
      <c r="A1251" s="3">
        <v>30</v>
      </c>
      <c r="B1251" s="3" t="s">
        <v>52</v>
      </c>
      <c r="C1251" s="3" t="s">
        <v>49</v>
      </c>
      <c r="D1251" s="3" t="s">
        <v>40</v>
      </c>
      <c r="E1251" s="3" t="s">
        <v>30</v>
      </c>
      <c r="F1251" s="3">
        <v>65</v>
      </c>
      <c r="G1251" s="4">
        <v>27.3</v>
      </c>
      <c r="H1251" s="4">
        <v>119.3</v>
      </c>
      <c r="I1251" s="6">
        <v>9.0005114919670444</v>
      </c>
      <c r="J1251" s="5">
        <v>7.2999999999999995E-2</v>
      </c>
      <c r="K1251" s="4">
        <v>22.8</v>
      </c>
      <c r="L1251" s="4">
        <v>76</v>
      </c>
      <c r="M1251" s="6">
        <v>6.2347922223377221</v>
      </c>
      <c r="N1251" s="5">
        <v>6.7000000000000004E-2</v>
      </c>
      <c r="O1251" s="5">
        <v>2.7657192696293222</v>
      </c>
      <c r="P1251" s="5">
        <v>2.7657192696293222</v>
      </c>
      <c r="Q1251" s="8">
        <v>0.20833333333333334</v>
      </c>
      <c r="R1251" s="8">
        <v>0.88541666666666663</v>
      </c>
      <c r="S1251" s="6">
        <f t="shared" si="57"/>
        <v>16.25</v>
      </c>
      <c r="T1251" s="5">
        <f t="shared" si="58"/>
        <v>0.17019810890026599</v>
      </c>
      <c r="U1251" s="3">
        <v>2.21</v>
      </c>
      <c r="V1251" s="5">
        <f t="shared" si="59"/>
        <v>7.7012718959396362E-2</v>
      </c>
      <c r="W1251" s="3">
        <v>7.7012718959396362E-2</v>
      </c>
    </row>
    <row r="1252" spans="1:23" x14ac:dyDescent="0.55000000000000004">
      <c r="A1252" s="3">
        <v>35</v>
      </c>
      <c r="B1252" s="3" t="s">
        <v>51</v>
      </c>
      <c r="C1252" s="3" t="s">
        <v>50</v>
      </c>
      <c r="D1252" s="3" t="s">
        <v>9</v>
      </c>
      <c r="E1252" s="3" t="s">
        <v>34</v>
      </c>
      <c r="F1252" s="3">
        <v>79</v>
      </c>
      <c r="G1252" s="4">
        <v>29</v>
      </c>
      <c r="H1252" s="4">
        <v>88.3</v>
      </c>
      <c r="I1252" s="6">
        <v>6.4625813609287306</v>
      </c>
      <c r="J1252" s="5">
        <v>5.7000000000000002E-2</v>
      </c>
      <c r="K1252" s="4">
        <v>25.6</v>
      </c>
      <c r="L1252" s="4">
        <v>47.5</v>
      </c>
      <c r="M1252" s="6">
        <v>3.6965945368506961</v>
      </c>
      <c r="N1252" s="5">
        <v>5.2999999999999999E-2</v>
      </c>
      <c r="O1252" s="5">
        <v>2.7659868240780345</v>
      </c>
      <c r="P1252" s="5">
        <v>2.7659868240780345</v>
      </c>
      <c r="Q1252" s="8">
        <v>0.20833333333333334</v>
      </c>
      <c r="R1252" s="8">
        <v>0.88541666666666663</v>
      </c>
      <c r="S1252" s="6">
        <f t="shared" si="57"/>
        <v>16.25</v>
      </c>
      <c r="T1252" s="5">
        <f t="shared" si="58"/>
        <v>0.17021457378941751</v>
      </c>
      <c r="U1252" s="3">
        <v>2.21</v>
      </c>
      <c r="V1252" s="5">
        <f t="shared" si="59"/>
        <v>7.7020169135483041E-2</v>
      </c>
      <c r="W1252" s="3">
        <v>7.7020169135483041E-2</v>
      </c>
    </row>
    <row r="1253" spans="1:23" x14ac:dyDescent="0.55000000000000004">
      <c r="A1253" s="3">
        <v>20</v>
      </c>
      <c r="B1253" s="3" t="s">
        <v>52</v>
      </c>
      <c r="C1253" s="3" t="s">
        <v>50</v>
      </c>
      <c r="D1253" s="3" t="s">
        <v>12</v>
      </c>
      <c r="E1253" s="2" t="s">
        <v>21</v>
      </c>
      <c r="F1253" s="3">
        <v>33</v>
      </c>
      <c r="G1253" s="4">
        <v>30.6</v>
      </c>
      <c r="H1253" s="4">
        <v>108.2</v>
      </c>
      <c r="I1253" s="6">
        <v>7.7006538824002995</v>
      </c>
      <c r="J1253" s="5">
        <v>0.05</v>
      </c>
      <c r="K1253" s="4">
        <v>26.4</v>
      </c>
      <c r="L1253" s="4">
        <v>64.5</v>
      </c>
      <c r="M1253" s="6">
        <v>4.9463560343179225</v>
      </c>
      <c r="N1253" s="5">
        <v>4.4999999999999998E-2</v>
      </c>
      <c r="O1253" s="5">
        <v>2.754297848082377</v>
      </c>
      <c r="P1253" s="5">
        <v>2.754297848082377</v>
      </c>
      <c r="Q1253" s="8">
        <v>0.20833333333333334</v>
      </c>
      <c r="R1253" s="8">
        <v>0.88194444444444453</v>
      </c>
      <c r="S1253" s="6">
        <f t="shared" si="57"/>
        <v>16.166666666666668</v>
      </c>
      <c r="T1253" s="5">
        <f t="shared" si="58"/>
        <v>0.17036893905664185</v>
      </c>
      <c r="U1253" s="3">
        <v>2.21</v>
      </c>
      <c r="V1253" s="5">
        <f t="shared" si="59"/>
        <v>7.7090017672688638E-2</v>
      </c>
      <c r="W1253" s="3">
        <v>7.7090017672688638E-2</v>
      </c>
    </row>
    <row r="1254" spans="1:23" x14ac:dyDescent="0.55000000000000004">
      <c r="A1254" s="3">
        <v>14</v>
      </c>
      <c r="B1254" s="3" t="s">
        <v>48</v>
      </c>
      <c r="C1254" s="3" t="s">
        <v>50</v>
      </c>
      <c r="D1254" s="3" t="s">
        <v>10</v>
      </c>
      <c r="E1254" s="3" t="s">
        <v>32</v>
      </c>
      <c r="F1254" s="3">
        <v>72</v>
      </c>
      <c r="G1254" s="4">
        <v>29.6</v>
      </c>
      <c r="H1254" s="4">
        <v>122.6</v>
      </c>
      <c r="I1254" s="6">
        <v>8.8787619587267201</v>
      </c>
      <c r="J1254" s="5">
        <v>6.9000000000000006E-2</v>
      </c>
      <c r="K1254" s="4">
        <v>24.9</v>
      </c>
      <c r="L1254" s="4">
        <v>77.5</v>
      </c>
      <c r="M1254" s="6">
        <v>6.1101501331663259</v>
      </c>
      <c r="N1254" s="5">
        <v>4.9000000000000002E-2</v>
      </c>
      <c r="O1254" s="5">
        <v>2.7686118255603942</v>
      </c>
      <c r="P1254" s="5">
        <v>2.7686118255603942</v>
      </c>
      <c r="Q1254" s="8">
        <v>0.20833333333333334</v>
      </c>
      <c r="R1254" s="8">
        <v>0.88541666666666663</v>
      </c>
      <c r="S1254" s="6">
        <f t="shared" si="57"/>
        <v>16.25</v>
      </c>
      <c r="T1254" s="5">
        <f t="shared" si="58"/>
        <v>0.17037611234217812</v>
      </c>
      <c r="U1254" s="3">
        <v>2.21</v>
      </c>
      <c r="V1254" s="5">
        <f t="shared" si="59"/>
        <v>7.7093263503248008E-2</v>
      </c>
      <c r="W1254" s="3">
        <v>7.7093263503248008E-2</v>
      </c>
    </row>
    <row r="1255" spans="1:23" x14ac:dyDescent="0.55000000000000004">
      <c r="A1255" s="3">
        <v>57</v>
      </c>
      <c r="B1255" s="3" t="s">
        <v>52</v>
      </c>
      <c r="C1255" s="3" t="s">
        <v>50</v>
      </c>
      <c r="D1255" s="3" t="s">
        <v>12</v>
      </c>
      <c r="E1255" s="3" t="s">
        <v>26</v>
      </c>
      <c r="F1255" s="3">
        <v>51</v>
      </c>
      <c r="G1255" s="4">
        <v>27.3</v>
      </c>
      <c r="H1255" s="4">
        <v>92.7</v>
      </c>
      <c r="I1255" s="6">
        <v>6.9936916622409466</v>
      </c>
      <c r="J1255" s="5">
        <v>5.7000000000000002E-2</v>
      </c>
      <c r="K1255" s="4">
        <v>24.7</v>
      </c>
      <c r="L1255" s="4">
        <v>53.9</v>
      </c>
      <c r="M1255" s="6">
        <v>4.2654113021969557</v>
      </c>
      <c r="N1255" s="5">
        <v>5.8000000000000003E-2</v>
      </c>
      <c r="O1255" s="5">
        <v>2.7282803600439909</v>
      </c>
      <c r="P1255" s="5">
        <v>2.7282803600439909</v>
      </c>
      <c r="Q1255" s="8">
        <v>0.20833333333333334</v>
      </c>
      <c r="R1255" s="8">
        <v>0.875</v>
      </c>
      <c r="S1255" s="6">
        <f t="shared" si="57"/>
        <v>16</v>
      </c>
      <c r="T1255" s="5">
        <f t="shared" si="58"/>
        <v>0.17051752250274943</v>
      </c>
      <c r="U1255" s="3">
        <v>2.21</v>
      </c>
      <c r="V1255" s="5">
        <f t="shared" si="59"/>
        <v>7.7157250001244085E-2</v>
      </c>
      <c r="W1255" s="3">
        <v>7.7157250001244085E-2</v>
      </c>
    </row>
    <row r="1256" spans="1:23" x14ac:dyDescent="0.55000000000000004">
      <c r="A1256" s="3">
        <v>36</v>
      </c>
      <c r="B1256" s="3" t="s">
        <v>52</v>
      </c>
      <c r="C1256" s="3" t="s">
        <v>50</v>
      </c>
      <c r="D1256" s="3" t="s">
        <v>12</v>
      </c>
      <c r="E1256" s="3" t="s">
        <v>33</v>
      </c>
      <c r="F1256" s="3">
        <v>75</v>
      </c>
      <c r="G1256" s="4">
        <v>28.1</v>
      </c>
      <c r="H1256" s="4">
        <v>88.4</v>
      </c>
      <c r="I1256" s="6">
        <v>6.5741486523918438</v>
      </c>
      <c r="J1256" s="5">
        <v>6.2E-2</v>
      </c>
      <c r="K1256" s="4">
        <v>24.2</v>
      </c>
      <c r="L1256" s="4">
        <v>47.6</v>
      </c>
      <c r="M1256" s="6">
        <v>3.8023641634173164</v>
      </c>
      <c r="N1256" s="5">
        <v>5.6000000000000001E-2</v>
      </c>
      <c r="O1256" s="5">
        <v>2.7717844889745273</v>
      </c>
      <c r="P1256" s="5">
        <v>2.7717844889745273</v>
      </c>
      <c r="Q1256" s="8">
        <v>0.20833333333333334</v>
      </c>
      <c r="R1256" s="8">
        <v>0.88541666666666663</v>
      </c>
      <c r="S1256" s="6">
        <f t="shared" si="57"/>
        <v>16.25</v>
      </c>
      <c r="T1256" s="5">
        <f t="shared" si="58"/>
        <v>0.17057135316766323</v>
      </c>
      <c r="U1256" s="3">
        <v>2.21</v>
      </c>
      <c r="V1256" s="5">
        <f t="shared" si="59"/>
        <v>7.7181607768173413E-2</v>
      </c>
      <c r="W1256" s="3">
        <v>7.7181607768173413E-2</v>
      </c>
    </row>
    <row r="1257" spans="1:23" x14ac:dyDescent="0.55000000000000004">
      <c r="A1257" s="3">
        <v>60</v>
      </c>
      <c r="B1257" s="3" t="s">
        <v>51</v>
      </c>
      <c r="C1257" s="3" t="s">
        <v>49</v>
      </c>
      <c r="D1257" s="3" t="s">
        <v>39</v>
      </c>
      <c r="E1257" s="3" t="s">
        <v>30</v>
      </c>
      <c r="F1257" s="3">
        <v>65</v>
      </c>
      <c r="G1257" s="4">
        <v>27.4</v>
      </c>
      <c r="H1257" s="4">
        <v>128.6</v>
      </c>
      <c r="I1257" s="6">
        <v>9.6846555328457153</v>
      </c>
      <c r="J1257" s="5">
        <v>5.8000000000000003E-2</v>
      </c>
      <c r="K1257" s="4">
        <v>23.4</v>
      </c>
      <c r="L1257" s="4">
        <v>85.2</v>
      </c>
      <c r="M1257" s="6">
        <v>6.9097936035460927</v>
      </c>
      <c r="N1257" s="5">
        <v>4.5999999999999999E-2</v>
      </c>
      <c r="O1257" s="5">
        <v>2.7748619292996226</v>
      </c>
      <c r="P1257" s="5">
        <v>2.7748619292996226</v>
      </c>
      <c r="Q1257" s="8">
        <v>0.20833333333333334</v>
      </c>
      <c r="R1257" s="8">
        <v>0.88541666666666663</v>
      </c>
      <c r="S1257" s="6">
        <f t="shared" si="57"/>
        <v>16.25</v>
      </c>
      <c r="T1257" s="5">
        <f t="shared" si="58"/>
        <v>0.17076073411074599</v>
      </c>
      <c r="U1257" s="3">
        <v>2.21</v>
      </c>
      <c r="V1257" s="5">
        <f t="shared" si="59"/>
        <v>7.7267300502600014E-2</v>
      </c>
      <c r="W1257" s="3">
        <v>7.7267300502600014E-2</v>
      </c>
    </row>
    <row r="1258" spans="1:23" x14ac:dyDescent="0.55000000000000004">
      <c r="A1258" s="3">
        <v>12</v>
      </c>
      <c r="B1258" s="3" t="s">
        <v>53</v>
      </c>
      <c r="C1258" s="3" t="s">
        <v>50</v>
      </c>
      <c r="D1258" s="3" t="s">
        <v>11</v>
      </c>
      <c r="E1258" s="3" t="s">
        <v>28</v>
      </c>
      <c r="F1258" s="3">
        <v>58</v>
      </c>
      <c r="G1258" s="4">
        <v>28.7</v>
      </c>
      <c r="H1258" s="4">
        <v>93.8</v>
      </c>
      <c r="I1258" s="6">
        <v>6.9016533678604413</v>
      </c>
      <c r="J1258" s="5">
        <v>5.5E-2</v>
      </c>
      <c r="K1258" s="4">
        <v>24.2</v>
      </c>
      <c r="L1258" s="4">
        <v>51.4</v>
      </c>
      <c r="M1258" s="6">
        <v>4.105914243690127</v>
      </c>
      <c r="N1258" s="5">
        <v>0.05</v>
      </c>
      <c r="O1258" s="5">
        <v>2.7957391241703142</v>
      </c>
      <c r="P1258" s="5">
        <v>2.7957391241703142</v>
      </c>
      <c r="Q1258" s="8">
        <v>0.20833333333333334</v>
      </c>
      <c r="R1258" s="8">
        <v>0.88888888888888884</v>
      </c>
      <c r="S1258" s="6">
        <f t="shared" si="57"/>
        <v>16.333333333333332</v>
      </c>
      <c r="T1258" s="5">
        <f t="shared" si="58"/>
        <v>0.17116770147981517</v>
      </c>
      <c r="U1258" s="3">
        <v>2.21</v>
      </c>
      <c r="V1258" s="5">
        <f t="shared" si="59"/>
        <v>7.7451448633400533E-2</v>
      </c>
      <c r="W1258" s="3">
        <v>7.7451448633400533E-2</v>
      </c>
    </row>
    <row r="1259" spans="1:23" x14ac:dyDescent="0.55000000000000004">
      <c r="A1259" s="3">
        <v>36</v>
      </c>
      <c r="B1259" s="3" t="s">
        <v>52</v>
      </c>
      <c r="C1259" s="3" t="s">
        <v>50</v>
      </c>
      <c r="D1259" s="3" t="s">
        <v>12</v>
      </c>
      <c r="E1259" s="2" t="s">
        <v>24</v>
      </c>
      <c r="F1259" s="3">
        <v>44</v>
      </c>
      <c r="G1259" s="4">
        <v>25.2</v>
      </c>
      <c r="H1259" s="4">
        <v>106.5</v>
      </c>
      <c r="I1259" s="6">
        <v>8.3497828132930572</v>
      </c>
      <c r="J1259" s="5">
        <v>5.5E-2</v>
      </c>
      <c r="K1259" s="4">
        <v>21</v>
      </c>
      <c r="L1259" s="4">
        <v>64.400000000000006</v>
      </c>
      <c r="M1259" s="6">
        <v>5.4714527884660615</v>
      </c>
      <c r="N1259" s="5">
        <v>0.05</v>
      </c>
      <c r="O1259" s="5">
        <v>2.8783300248269956</v>
      </c>
      <c r="P1259" s="5">
        <v>2.8783300248269956</v>
      </c>
      <c r="Q1259" s="8">
        <v>0.20277777777777781</v>
      </c>
      <c r="R1259" s="8">
        <v>0.90277777777777779</v>
      </c>
      <c r="S1259" s="6">
        <f t="shared" si="57"/>
        <v>16.799999999999997</v>
      </c>
      <c r="T1259" s="5">
        <f t="shared" si="58"/>
        <v>0.17132916814446406</v>
      </c>
      <c r="U1259" s="3">
        <v>2.21</v>
      </c>
      <c r="V1259" s="5">
        <f t="shared" si="59"/>
        <v>7.7524510472608166E-2</v>
      </c>
      <c r="W1259" s="3">
        <v>7.7524510472608166E-2</v>
      </c>
    </row>
    <row r="1260" spans="1:23" x14ac:dyDescent="0.55000000000000004">
      <c r="A1260" s="3">
        <v>14</v>
      </c>
      <c r="B1260" s="3" t="s">
        <v>48</v>
      </c>
      <c r="C1260" s="3" t="s">
        <v>50</v>
      </c>
      <c r="D1260" s="3" t="s">
        <v>10</v>
      </c>
      <c r="E1260" s="2" t="s">
        <v>25</v>
      </c>
      <c r="F1260" s="3">
        <v>47</v>
      </c>
      <c r="G1260" s="4">
        <v>28.6</v>
      </c>
      <c r="H1260" s="4">
        <v>94</v>
      </c>
      <c r="I1260" s="6">
        <v>6.9286476401353614</v>
      </c>
      <c r="J1260" s="5">
        <v>6.6000000000000003E-2</v>
      </c>
      <c r="K1260" s="4">
        <v>25</v>
      </c>
      <c r="L1260" s="4">
        <v>52.1</v>
      </c>
      <c r="M1260" s="6">
        <v>4.0999502777200574</v>
      </c>
      <c r="N1260" s="5">
        <v>6.0999999999999999E-2</v>
      </c>
      <c r="O1260" s="5">
        <v>2.828697362415304</v>
      </c>
      <c r="P1260" s="5">
        <v>2.828697362415304</v>
      </c>
      <c r="Q1260" s="8">
        <v>0.20833333333333334</v>
      </c>
      <c r="R1260" s="8">
        <v>0.89583333333333337</v>
      </c>
      <c r="S1260" s="6">
        <f t="shared" si="57"/>
        <v>16.5</v>
      </c>
      <c r="T1260" s="5">
        <f t="shared" si="58"/>
        <v>0.17143620378274571</v>
      </c>
      <c r="U1260" s="3">
        <v>2.21</v>
      </c>
      <c r="V1260" s="5">
        <f t="shared" si="59"/>
        <v>7.7572942888120222E-2</v>
      </c>
      <c r="W1260" s="3">
        <v>7.7572942888120222E-2</v>
      </c>
    </row>
    <row r="1261" spans="1:23" x14ac:dyDescent="0.55000000000000004">
      <c r="A1261" s="3">
        <v>18</v>
      </c>
      <c r="B1261" s="3" t="s">
        <v>51</v>
      </c>
      <c r="C1261" s="3" t="s">
        <v>50</v>
      </c>
      <c r="D1261" s="3" t="s">
        <v>9</v>
      </c>
      <c r="E1261" s="2" t="s">
        <v>23</v>
      </c>
      <c r="F1261" s="3">
        <v>40</v>
      </c>
      <c r="G1261" s="4">
        <v>29.5</v>
      </c>
      <c r="H1261" s="4">
        <v>124.6</v>
      </c>
      <c r="I1261" s="6">
        <v>9.0394381549207861</v>
      </c>
      <c r="J1261" s="5">
        <v>5.7000000000000002E-2</v>
      </c>
      <c r="K1261" s="4">
        <v>25</v>
      </c>
      <c r="L1261" s="4">
        <v>79.099999999999994</v>
      </c>
      <c r="M1261" s="6">
        <v>6.2246845867112564</v>
      </c>
      <c r="N1261" s="5">
        <v>5.6000000000000001E-2</v>
      </c>
      <c r="O1261" s="5">
        <v>2.8147535682095297</v>
      </c>
      <c r="P1261" s="5">
        <v>2.8147535682095297</v>
      </c>
      <c r="Q1261" s="8">
        <v>0.20833333333333334</v>
      </c>
      <c r="R1261" s="8">
        <v>0.89027777777777783</v>
      </c>
      <c r="S1261" s="6">
        <f t="shared" si="57"/>
        <v>16.366666666666667</v>
      </c>
      <c r="T1261" s="5">
        <f t="shared" si="58"/>
        <v>0.17198086974803645</v>
      </c>
      <c r="U1261" s="3">
        <v>2.21</v>
      </c>
      <c r="V1261" s="5">
        <f t="shared" si="59"/>
        <v>7.7819398076034579E-2</v>
      </c>
      <c r="W1261" s="3">
        <v>7.7819398076034579E-2</v>
      </c>
    </row>
    <row r="1262" spans="1:23" x14ac:dyDescent="0.55000000000000004">
      <c r="A1262" s="3">
        <v>47</v>
      </c>
      <c r="B1262" s="3" t="s">
        <v>52</v>
      </c>
      <c r="C1262" s="3" t="s">
        <v>50</v>
      </c>
      <c r="D1262" s="3" t="s">
        <v>12</v>
      </c>
      <c r="E1262" s="3" t="s">
        <v>30</v>
      </c>
      <c r="F1262" s="3">
        <v>65</v>
      </c>
      <c r="G1262" s="4">
        <v>27.1</v>
      </c>
      <c r="H1262" s="4">
        <v>108.7</v>
      </c>
      <c r="I1262" s="6">
        <v>8.2305049965962045</v>
      </c>
      <c r="J1262" s="5">
        <v>5.7000000000000002E-2</v>
      </c>
      <c r="K1262" s="4">
        <v>22.9</v>
      </c>
      <c r="L1262" s="4">
        <v>66.3</v>
      </c>
      <c r="M1262" s="6">
        <v>5.4286080757627353</v>
      </c>
      <c r="N1262" s="5">
        <v>5.2999999999999999E-2</v>
      </c>
      <c r="O1262" s="5">
        <v>2.8018969208334692</v>
      </c>
      <c r="P1262" s="5">
        <v>2.8018969208334692</v>
      </c>
      <c r="Q1262" s="8">
        <v>0.20833333333333334</v>
      </c>
      <c r="R1262" s="8">
        <v>0.88541666666666663</v>
      </c>
      <c r="S1262" s="6">
        <f t="shared" si="57"/>
        <v>16.25</v>
      </c>
      <c r="T1262" s="5">
        <f t="shared" si="58"/>
        <v>0.17242442589744425</v>
      </c>
      <c r="U1262" s="3">
        <v>2.21</v>
      </c>
      <c r="V1262" s="5">
        <f t="shared" si="59"/>
        <v>7.8020102216038126E-2</v>
      </c>
      <c r="W1262" s="3">
        <v>7.8020102216038126E-2</v>
      </c>
    </row>
    <row r="1263" spans="1:23" x14ac:dyDescent="0.55000000000000004">
      <c r="A1263" s="3">
        <v>9</v>
      </c>
      <c r="B1263" s="3" t="s">
        <v>48</v>
      </c>
      <c r="C1263" s="3" t="s">
        <v>50</v>
      </c>
      <c r="D1263" s="3" t="s">
        <v>10</v>
      </c>
      <c r="E1263" s="2" t="s">
        <v>23</v>
      </c>
      <c r="F1263" s="3">
        <v>40</v>
      </c>
      <c r="G1263" s="4">
        <v>29.1</v>
      </c>
      <c r="H1263" s="4">
        <v>114.4</v>
      </c>
      <c r="I1263" s="6">
        <v>8.3580505914069221</v>
      </c>
      <c r="J1263" s="5">
        <v>6.9000000000000006E-2</v>
      </c>
      <c r="K1263" s="4">
        <v>24.3</v>
      </c>
      <c r="L1263" s="4">
        <v>69.3</v>
      </c>
      <c r="M1263" s="6">
        <v>5.5253883371046753</v>
      </c>
      <c r="N1263" s="5">
        <v>6.6000000000000003E-2</v>
      </c>
      <c r="O1263" s="5">
        <v>2.8326622543022468</v>
      </c>
      <c r="P1263" s="5">
        <v>2.8326622543022468</v>
      </c>
      <c r="Q1263" s="8">
        <v>0.20833333333333334</v>
      </c>
      <c r="R1263" s="8">
        <v>0.89027777777777783</v>
      </c>
      <c r="S1263" s="6">
        <f t="shared" si="57"/>
        <v>16.366666666666667</v>
      </c>
      <c r="T1263" s="5">
        <f t="shared" si="58"/>
        <v>0.17307508682091122</v>
      </c>
      <c r="U1263" s="3">
        <v>2.21</v>
      </c>
      <c r="V1263" s="5">
        <f t="shared" si="59"/>
        <v>7.8314518923489229E-2</v>
      </c>
      <c r="W1263" s="3">
        <v>7.8314518923489229E-2</v>
      </c>
    </row>
    <row r="1264" spans="1:23" x14ac:dyDescent="0.55000000000000004">
      <c r="A1264" s="3">
        <v>38</v>
      </c>
      <c r="B1264" s="3" t="s">
        <v>51</v>
      </c>
      <c r="C1264" s="3" t="s">
        <v>49</v>
      </c>
      <c r="D1264" s="3" t="s">
        <v>39</v>
      </c>
      <c r="E1264" s="3" t="s">
        <v>31</v>
      </c>
      <c r="F1264" s="3">
        <v>68</v>
      </c>
      <c r="G1264" s="4">
        <v>25.5</v>
      </c>
      <c r="H1264" s="4">
        <v>94</v>
      </c>
      <c r="I1264" s="6">
        <v>7.3288993444375556</v>
      </c>
      <c r="J1264" s="5">
        <v>4.4999999999999998E-2</v>
      </c>
      <c r="K1264" s="4">
        <v>24.2</v>
      </c>
      <c r="L1264" s="4">
        <v>56.5</v>
      </c>
      <c r="M1264" s="6">
        <v>4.5133104040562682</v>
      </c>
      <c r="N1264" s="5">
        <v>4.2999999999999997E-2</v>
      </c>
      <c r="O1264" s="5">
        <v>2.8155889403812875</v>
      </c>
      <c r="P1264" s="5">
        <v>2.8155889403812875</v>
      </c>
      <c r="Q1264" s="8">
        <v>0.20833333333333334</v>
      </c>
      <c r="R1264" s="8">
        <v>0.88541666666666663</v>
      </c>
      <c r="S1264" s="6">
        <f t="shared" si="57"/>
        <v>16.25</v>
      </c>
      <c r="T1264" s="5">
        <f t="shared" si="58"/>
        <v>0.17326701171577152</v>
      </c>
      <c r="U1264" s="3">
        <v>2.21</v>
      </c>
      <c r="V1264" s="5">
        <f t="shared" si="59"/>
        <v>7.8401362767317448E-2</v>
      </c>
      <c r="W1264" s="3">
        <v>7.8401362767317448E-2</v>
      </c>
    </row>
    <row r="1265" spans="1:23" x14ac:dyDescent="0.55000000000000004">
      <c r="A1265" s="3">
        <v>18</v>
      </c>
      <c r="B1265" s="3" t="s">
        <v>51</v>
      </c>
      <c r="C1265" s="3" t="s">
        <v>50</v>
      </c>
      <c r="D1265" s="3" t="s">
        <v>9</v>
      </c>
      <c r="E1265" s="2" t="s">
        <v>21</v>
      </c>
      <c r="F1265" s="3">
        <v>33</v>
      </c>
      <c r="G1265" s="4">
        <v>30.9</v>
      </c>
      <c r="H1265" s="4">
        <v>124.5</v>
      </c>
      <c r="I1265" s="6">
        <v>8.814947509705549</v>
      </c>
      <c r="J1265" s="5">
        <v>5.8000000000000003E-2</v>
      </c>
      <c r="K1265" s="4">
        <v>26.7</v>
      </c>
      <c r="L1265" s="4">
        <v>78.8</v>
      </c>
      <c r="M1265" s="6">
        <v>6.0100224278178622</v>
      </c>
      <c r="N1265" s="5">
        <v>5.1999999999999998E-2</v>
      </c>
      <c r="O1265" s="5">
        <v>2.8049250818876867</v>
      </c>
      <c r="P1265" s="5">
        <v>2.8049250818876867</v>
      </c>
      <c r="Q1265" s="8">
        <v>0.20833333333333334</v>
      </c>
      <c r="R1265" s="8">
        <v>0.88194444444444453</v>
      </c>
      <c r="S1265" s="6">
        <f t="shared" si="57"/>
        <v>16.166666666666668</v>
      </c>
      <c r="T1265" s="5">
        <f t="shared" si="58"/>
        <v>0.17350052052913525</v>
      </c>
      <c r="U1265" s="3">
        <v>2.21</v>
      </c>
      <c r="V1265" s="5">
        <f t="shared" si="59"/>
        <v>7.8507022863862103E-2</v>
      </c>
      <c r="W1265" s="3">
        <v>7.8507022863862103E-2</v>
      </c>
    </row>
    <row r="1266" spans="1:23" x14ac:dyDescent="0.55000000000000004">
      <c r="A1266" s="3">
        <v>57</v>
      </c>
      <c r="B1266" s="3" t="s">
        <v>52</v>
      </c>
      <c r="C1266" s="3" t="s">
        <v>50</v>
      </c>
      <c r="D1266" s="3" t="s">
        <v>12</v>
      </c>
      <c r="E1266" s="3" t="s">
        <v>30</v>
      </c>
      <c r="F1266" s="3">
        <v>65</v>
      </c>
      <c r="G1266" s="4">
        <v>27.8</v>
      </c>
      <c r="H1266" s="4">
        <v>109.8</v>
      </c>
      <c r="I1266" s="6">
        <v>8.2095947262523801</v>
      </c>
      <c r="J1266" s="5">
        <v>5.3999999999999999E-2</v>
      </c>
      <c r="K1266" s="4">
        <v>23.2</v>
      </c>
      <c r="L1266" s="4">
        <v>66.2</v>
      </c>
      <c r="M1266" s="6">
        <v>5.3893915769211809</v>
      </c>
      <c r="N1266" s="5">
        <v>4.7E-2</v>
      </c>
      <c r="O1266" s="5">
        <v>2.8202031493311992</v>
      </c>
      <c r="P1266" s="5">
        <v>2.8202031493311992</v>
      </c>
      <c r="Q1266" s="8">
        <v>0.20833333333333334</v>
      </c>
      <c r="R1266" s="8">
        <v>0.88541666666666663</v>
      </c>
      <c r="S1266" s="6">
        <f t="shared" si="57"/>
        <v>16.25</v>
      </c>
      <c r="T1266" s="5">
        <f t="shared" si="58"/>
        <v>0.17355096303576611</v>
      </c>
      <c r="U1266" s="3">
        <v>2.21</v>
      </c>
      <c r="V1266" s="5">
        <f t="shared" si="59"/>
        <v>7.8529847527495977E-2</v>
      </c>
      <c r="W1266" s="3">
        <v>7.8529847527495977E-2</v>
      </c>
    </row>
    <row r="1267" spans="1:23" x14ac:dyDescent="0.55000000000000004">
      <c r="A1267" s="3">
        <v>34</v>
      </c>
      <c r="B1267" s="3" t="s">
        <v>48</v>
      </c>
      <c r="C1267" s="3" t="s">
        <v>50</v>
      </c>
      <c r="D1267" s="3" t="s">
        <v>10</v>
      </c>
      <c r="E1267" s="2" t="s">
        <v>23</v>
      </c>
      <c r="F1267" s="3">
        <v>40</v>
      </c>
      <c r="G1267" s="4">
        <v>28.7</v>
      </c>
      <c r="H1267" s="4">
        <v>109.2</v>
      </c>
      <c r="I1267" s="6">
        <v>8.0347606372106632</v>
      </c>
      <c r="J1267" s="5">
        <v>6.9000000000000006E-2</v>
      </c>
      <c r="K1267" s="4">
        <v>24.1</v>
      </c>
      <c r="L1267" s="4">
        <v>64.900000000000006</v>
      </c>
      <c r="M1267" s="6">
        <v>5.1940936248381284</v>
      </c>
      <c r="N1267" s="5">
        <v>6.8000000000000005E-2</v>
      </c>
      <c r="O1267" s="5">
        <v>2.8406670123725348</v>
      </c>
      <c r="P1267" s="5">
        <v>2.8406670123725348</v>
      </c>
      <c r="Q1267" s="8">
        <v>0.20833333333333334</v>
      </c>
      <c r="R1267" s="8">
        <v>0.89027777777777783</v>
      </c>
      <c r="S1267" s="6">
        <f t="shared" si="57"/>
        <v>16.366666666666667</v>
      </c>
      <c r="T1267" s="5">
        <f t="shared" si="58"/>
        <v>0.17356417590870885</v>
      </c>
      <c r="U1267" s="3">
        <v>2.21</v>
      </c>
      <c r="V1267" s="5">
        <f t="shared" si="59"/>
        <v>7.8535826203035675E-2</v>
      </c>
      <c r="W1267" s="3">
        <v>7.8535826203035675E-2</v>
      </c>
    </row>
    <row r="1268" spans="1:23" x14ac:dyDescent="0.55000000000000004">
      <c r="A1268" s="3">
        <v>48</v>
      </c>
      <c r="B1268" s="3" t="s">
        <v>52</v>
      </c>
      <c r="C1268" s="3" t="s">
        <v>49</v>
      </c>
      <c r="D1268" s="3" t="s">
        <v>40</v>
      </c>
      <c r="E1268" s="3" t="s">
        <v>32</v>
      </c>
      <c r="F1268" s="3">
        <v>72</v>
      </c>
      <c r="G1268" s="4">
        <v>28</v>
      </c>
      <c r="H1268" s="4">
        <v>82.7</v>
      </c>
      <c r="I1268" s="6">
        <v>6.1612541127869793</v>
      </c>
      <c r="J1268" s="5">
        <v>7.1999999999999995E-2</v>
      </c>
      <c r="K1268" s="4">
        <v>23.7</v>
      </c>
      <c r="L1268" s="4">
        <v>41.4</v>
      </c>
      <c r="M1268" s="6">
        <v>3.3384905579257484</v>
      </c>
      <c r="N1268" s="5">
        <v>7.0999999999999994E-2</v>
      </c>
      <c r="O1268" s="5">
        <v>2.8227635548612309</v>
      </c>
      <c r="P1268" s="5">
        <v>2.8227635548612309</v>
      </c>
      <c r="Q1268" s="8">
        <v>0.20833333333333334</v>
      </c>
      <c r="R1268" s="8">
        <v>0.88541666666666663</v>
      </c>
      <c r="S1268" s="6">
        <f t="shared" si="57"/>
        <v>16.25</v>
      </c>
      <c r="T1268" s="5">
        <f t="shared" si="58"/>
        <v>0.17370852645299883</v>
      </c>
      <c r="U1268" s="3">
        <v>2.21</v>
      </c>
      <c r="V1268" s="5">
        <f t="shared" si="59"/>
        <v>7.8601143191402184E-2</v>
      </c>
      <c r="W1268" s="3">
        <v>7.8601143191402184E-2</v>
      </c>
    </row>
    <row r="1269" spans="1:23" x14ac:dyDescent="0.55000000000000004">
      <c r="A1269" s="3">
        <v>16</v>
      </c>
      <c r="B1269" s="3" t="s">
        <v>52</v>
      </c>
      <c r="C1269" s="3" t="s">
        <v>50</v>
      </c>
      <c r="D1269" s="3" t="s">
        <v>12</v>
      </c>
      <c r="E1269" s="2" t="s">
        <v>22</v>
      </c>
      <c r="F1269" s="3">
        <v>37</v>
      </c>
      <c r="G1269" s="4">
        <v>29</v>
      </c>
      <c r="H1269" s="4">
        <v>103.8</v>
      </c>
      <c r="I1269" s="6">
        <v>7.5970095726432874</v>
      </c>
      <c r="J1269" s="5">
        <v>0.06</v>
      </c>
      <c r="K1269" s="4">
        <v>24.2</v>
      </c>
      <c r="L1269" s="4">
        <v>59.4</v>
      </c>
      <c r="M1269" s="6">
        <v>4.7449670442644658</v>
      </c>
      <c r="N1269" s="5">
        <v>5.5E-2</v>
      </c>
      <c r="O1269" s="5">
        <v>2.8520425283788216</v>
      </c>
      <c r="P1269" s="5">
        <v>2.8520425283788216</v>
      </c>
      <c r="Q1269" s="8">
        <v>0.20138888888888887</v>
      </c>
      <c r="R1269" s="8">
        <v>0.88541666666666663</v>
      </c>
      <c r="S1269" s="6">
        <f t="shared" si="57"/>
        <v>16.416666666666668</v>
      </c>
      <c r="T1269" s="5">
        <f t="shared" si="58"/>
        <v>0.17372847888601958</v>
      </c>
      <c r="U1269" s="3">
        <v>2.21</v>
      </c>
      <c r="V1269" s="5">
        <f t="shared" si="59"/>
        <v>7.8610171441637816E-2</v>
      </c>
      <c r="W1269" s="3">
        <v>7.8610171441637816E-2</v>
      </c>
    </row>
    <row r="1270" spans="1:23" x14ac:dyDescent="0.55000000000000004">
      <c r="A1270" s="3">
        <v>6</v>
      </c>
      <c r="B1270" s="3" t="s">
        <v>51</v>
      </c>
      <c r="C1270" s="3" t="s">
        <v>49</v>
      </c>
      <c r="D1270" s="3" t="s">
        <v>39</v>
      </c>
      <c r="E1270" s="3" t="s">
        <v>32</v>
      </c>
      <c r="F1270" s="3">
        <v>72</v>
      </c>
      <c r="G1270" s="4">
        <v>29.3</v>
      </c>
      <c r="H1270" s="4">
        <v>99.4</v>
      </c>
      <c r="I1270" s="6">
        <v>7.2366173544104804</v>
      </c>
      <c r="J1270" s="5">
        <v>4.8000000000000001E-2</v>
      </c>
      <c r="K1270" s="4">
        <v>24.8</v>
      </c>
      <c r="L1270" s="4">
        <v>55.8</v>
      </c>
      <c r="M1270" s="6">
        <v>4.4075252062989172</v>
      </c>
      <c r="N1270" s="5">
        <v>4.2000000000000003E-2</v>
      </c>
      <c r="O1270" s="5">
        <v>2.8290921481115632</v>
      </c>
      <c r="P1270" s="5">
        <v>2.8290921481115632</v>
      </c>
      <c r="Q1270" s="8">
        <v>0.20833333333333334</v>
      </c>
      <c r="R1270" s="8">
        <v>0.88541666666666663</v>
      </c>
      <c r="S1270" s="6">
        <f t="shared" si="57"/>
        <v>16.25</v>
      </c>
      <c r="T1270" s="5">
        <f t="shared" si="58"/>
        <v>0.17409797834532698</v>
      </c>
      <c r="U1270" s="3">
        <v>2.21</v>
      </c>
      <c r="V1270" s="5">
        <f t="shared" si="59"/>
        <v>7.8777365767116275E-2</v>
      </c>
      <c r="W1270" s="3">
        <v>7.8777365767116275E-2</v>
      </c>
    </row>
    <row r="1271" spans="1:23" x14ac:dyDescent="0.55000000000000004">
      <c r="A1271" s="3">
        <v>16</v>
      </c>
      <c r="B1271" s="3" t="s">
        <v>52</v>
      </c>
      <c r="C1271" s="3" t="s">
        <v>50</v>
      </c>
      <c r="D1271" s="3" t="s">
        <v>12</v>
      </c>
      <c r="E1271" s="3" t="s">
        <v>34</v>
      </c>
      <c r="F1271" s="3">
        <v>79</v>
      </c>
      <c r="G1271" s="4">
        <v>28.3</v>
      </c>
      <c r="H1271" s="4">
        <v>83.1</v>
      </c>
      <c r="I1271" s="6">
        <v>6.1579846844130284</v>
      </c>
      <c r="J1271" s="5">
        <v>7.6999999999999999E-2</v>
      </c>
      <c r="K1271" s="4">
        <v>25</v>
      </c>
      <c r="L1271" s="4">
        <v>42.3</v>
      </c>
      <c r="M1271" s="6">
        <v>3.3287504174195472</v>
      </c>
      <c r="N1271" s="5">
        <v>7.4999999999999997E-2</v>
      </c>
      <c r="O1271" s="5">
        <v>2.8292342669934811</v>
      </c>
      <c r="P1271" s="5">
        <v>2.8292342669934811</v>
      </c>
      <c r="Q1271" s="8">
        <v>0.20833333333333334</v>
      </c>
      <c r="R1271" s="8">
        <v>0.88541666666666663</v>
      </c>
      <c r="S1271" s="6">
        <f t="shared" si="57"/>
        <v>16.25</v>
      </c>
      <c r="T1271" s="5">
        <f t="shared" si="58"/>
        <v>0.17410672412267575</v>
      </c>
      <c r="U1271" s="3">
        <v>2.21</v>
      </c>
      <c r="V1271" s="5">
        <f t="shared" si="59"/>
        <v>7.8781323132432482E-2</v>
      </c>
      <c r="W1271" s="3">
        <v>7.8781323132432482E-2</v>
      </c>
    </row>
    <row r="1272" spans="1:23" x14ac:dyDescent="0.55000000000000004">
      <c r="A1272" s="3">
        <v>20</v>
      </c>
      <c r="B1272" s="3" t="s">
        <v>52</v>
      </c>
      <c r="C1272" s="3" t="s">
        <v>50</v>
      </c>
      <c r="D1272" s="3" t="s">
        <v>12</v>
      </c>
      <c r="E1272" s="3" t="s">
        <v>30</v>
      </c>
      <c r="F1272" s="3">
        <v>65</v>
      </c>
      <c r="G1272" s="4">
        <v>28.2</v>
      </c>
      <c r="H1272" s="4">
        <v>101.5</v>
      </c>
      <c r="I1272" s="6">
        <v>7.534908009612276</v>
      </c>
      <c r="J1272" s="5">
        <v>3.7999999999999999E-2</v>
      </c>
      <c r="K1272" s="4">
        <v>23.4</v>
      </c>
      <c r="L1272" s="4">
        <v>58</v>
      </c>
      <c r="M1272" s="6">
        <v>4.7038501057003916</v>
      </c>
      <c r="N1272" s="5">
        <v>3.2000000000000001E-2</v>
      </c>
      <c r="O1272" s="5">
        <v>2.8310579039118844</v>
      </c>
      <c r="P1272" s="5">
        <v>2.8310579039118844</v>
      </c>
      <c r="Q1272" s="8">
        <v>0.20833333333333334</v>
      </c>
      <c r="R1272" s="8">
        <v>0.88541666666666663</v>
      </c>
      <c r="S1272" s="6">
        <f t="shared" si="57"/>
        <v>16.25</v>
      </c>
      <c r="T1272" s="5">
        <f t="shared" si="58"/>
        <v>0.17421894793303905</v>
      </c>
      <c r="U1272" s="3">
        <v>2.21</v>
      </c>
      <c r="V1272" s="5">
        <f t="shared" si="59"/>
        <v>7.8832103137121745E-2</v>
      </c>
      <c r="W1272" s="3">
        <v>7.8832103137121745E-2</v>
      </c>
    </row>
    <row r="1273" spans="1:23" x14ac:dyDescent="0.55000000000000004">
      <c r="A1273" s="3">
        <v>27</v>
      </c>
      <c r="B1273" s="3" t="s">
        <v>48</v>
      </c>
      <c r="C1273" s="3" t="s">
        <v>50</v>
      </c>
      <c r="D1273" s="3" t="s">
        <v>10</v>
      </c>
      <c r="E1273" s="2" t="s">
        <v>21</v>
      </c>
      <c r="F1273" s="3">
        <v>33</v>
      </c>
      <c r="G1273" s="4">
        <v>30.7</v>
      </c>
      <c r="H1273" s="4">
        <v>110.8</v>
      </c>
      <c r="I1273" s="6">
        <v>7.8720741443506679</v>
      </c>
      <c r="J1273" s="5">
        <v>7.4999999999999997E-2</v>
      </c>
      <c r="K1273" s="4">
        <v>26.6</v>
      </c>
      <c r="L1273" s="4">
        <v>66.099999999999994</v>
      </c>
      <c r="M1273" s="6">
        <v>5.0505910169489088</v>
      </c>
      <c r="N1273" s="5">
        <v>7.0000000000000007E-2</v>
      </c>
      <c r="O1273" s="5">
        <v>2.8214831274017591</v>
      </c>
      <c r="P1273" s="5">
        <v>2.8214831274017591</v>
      </c>
      <c r="Q1273" s="8">
        <v>0.20833333333333334</v>
      </c>
      <c r="R1273" s="8">
        <v>0.88194444444444453</v>
      </c>
      <c r="S1273" s="6">
        <f t="shared" si="57"/>
        <v>16.166666666666668</v>
      </c>
      <c r="T1273" s="5">
        <f t="shared" si="58"/>
        <v>0.1745247295300057</v>
      </c>
      <c r="U1273" s="3">
        <v>2.21</v>
      </c>
      <c r="V1273" s="5">
        <f t="shared" si="59"/>
        <v>7.8970465850681307E-2</v>
      </c>
      <c r="W1273" s="3">
        <v>7.8970465850681307E-2</v>
      </c>
    </row>
    <row r="1274" spans="1:23" x14ac:dyDescent="0.55000000000000004">
      <c r="A1274" s="3">
        <v>43</v>
      </c>
      <c r="B1274" s="3" t="s">
        <v>51</v>
      </c>
      <c r="C1274" s="3" t="s">
        <v>50</v>
      </c>
      <c r="D1274" s="3" t="s">
        <v>9</v>
      </c>
      <c r="E1274" s="3" t="s">
        <v>31</v>
      </c>
      <c r="F1274" s="3">
        <v>68</v>
      </c>
      <c r="G1274" s="4">
        <v>25.9</v>
      </c>
      <c r="H1274" s="4">
        <v>86.3</v>
      </c>
      <c r="I1274" s="6">
        <v>6.6790923912859315</v>
      </c>
      <c r="J1274" s="5">
        <v>0.04</v>
      </c>
      <c r="K1274" s="4">
        <v>24.3</v>
      </c>
      <c r="L1274" s="4">
        <v>48.2</v>
      </c>
      <c r="M1274" s="6">
        <v>3.8430550916081581</v>
      </c>
      <c r="N1274" s="5">
        <v>3.7999999999999999E-2</v>
      </c>
      <c r="O1274" s="5">
        <v>2.8360372996777734</v>
      </c>
      <c r="P1274" s="5">
        <v>2.8360372996777734</v>
      </c>
      <c r="Q1274" s="8">
        <v>0.20833333333333334</v>
      </c>
      <c r="R1274" s="8">
        <v>0.88541666666666663</v>
      </c>
      <c r="S1274" s="6">
        <f t="shared" si="57"/>
        <v>16.25</v>
      </c>
      <c r="T1274" s="5">
        <f t="shared" si="58"/>
        <v>0.17452537228786297</v>
      </c>
      <c r="U1274" s="3">
        <v>2.21</v>
      </c>
      <c r="V1274" s="5">
        <f t="shared" si="59"/>
        <v>7.897075669134071E-2</v>
      </c>
      <c r="W1274" s="3">
        <v>7.897075669134071E-2</v>
      </c>
    </row>
    <row r="1275" spans="1:23" x14ac:dyDescent="0.55000000000000004">
      <c r="A1275" s="3">
        <v>13</v>
      </c>
      <c r="B1275" s="3" t="s">
        <v>53</v>
      </c>
      <c r="C1275" s="3" t="s">
        <v>50</v>
      </c>
      <c r="D1275" s="3" t="s">
        <v>11</v>
      </c>
      <c r="E1275" s="2" t="s">
        <v>22</v>
      </c>
      <c r="F1275" s="3">
        <v>37</v>
      </c>
      <c r="G1275" s="4">
        <v>30</v>
      </c>
      <c r="H1275" s="4">
        <v>91.2</v>
      </c>
      <c r="I1275" s="6">
        <v>6.5587435169772883</v>
      </c>
      <c r="J1275" s="5">
        <v>5.8999999999999997E-2</v>
      </c>
      <c r="K1275" s="4">
        <v>25.1</v>
      </c>
      <c r="L1275" s="4">
        <v>47</v>
      </c>
      <c r="M1275" s="6">
        <v>3.6917350347537865</v>
      </c>
      <c r="N1275" s="5">
        <v>5.6000000000000001E-2</v>
      </c>
      <c r="O1275" s="5">
        <v>2.8670084822235018</v>
      </c>
      <c r="P1275" s="5">
        <v>2.8670084822235018</v>
      </c>
      <c r="Q1275" s="8">
        <v>0.20138888888888887</v>
      </c>
      <c r="R1275" s="8">
        <v>0.88541666666666663</v>
      </c>
      <c r="S1275" s="6">
        <f t="shared" si="57"/>
        <v>16.416666666666668</v>
      </c>
      <c r="T1275" s="5">
        <f t="shared" si="58"/>
        <v>0.17464011059229451</v>
      </c>
      <c r="U1275" s="3">
        <v>2.21</v>
      </c>
      <c r="V1275" s="5">
        <f t="shared" si="59"/>
        <v>7.9022674476151356E-2</v>
      </c>
      <c r="W1275" s="3">
        <v>7.9022674476151356E-2</v>
      </c>
    </row>
    <row r="1276" spans="1:23" x14ac:dyDescent="0.55000000000000004">
      <c r="A1276" s="3">
        <v>37</v>
      </c>
      <c r="B1276" s="3" t="s">
        <v>53</v>
      </c>
      <c r="C1276" s="3" t="s">
        <v>50</v>
      </c>
      <c r="D1276" s="3" t="s">
        <v>11</v>
      </c>
      <c r="E1276" s="2" t="s">
        <v>21</v>
      </c>
      <c r="F1276" s="3">
        <v>33</v>
      </c>
      <c r="G1276" s="4">
        <v>30.4</v>
      </c>
      <c r="H1276" s="4">
        <v>100.1</v>
      </c>
      <c r="I1276" s="6">
        <v>7.1488981164514067</v>
      </c>
      <c r="J1276" s="5">
        <v>5.3999999999999999E-2</v>
      </c>
      <c r="K1276" s="4">
        <v>26.5</v>
      </c>
      <c r="L1276" s="4">
        <v>56.5</v>
      </c>
      <c r="M1276" s="6">
        <v>4.3249502593221081</v>
      </c>
      <c r="N1276" s="5">
        <v>5.1999999999999998E-2</v>
      </c>
      <c r="O1276" s="5">
        <v>2.8239478571292986</v>
      </c>
      <c r="P1276" s="5">
        <v>2.8239478571292986</v>
      </c>
      <c r="Q1276" s="8">
        <v>0.20833333333333334</v>
      </c>
      <c r="R1276" s="8">
        <v>0.88194444444444453</v>
      </c>
      <c r="S1276" s="6">
        <f t="shared" si="57"/>
        <v>16.166666666666668</v>
      </c>
      <c r="T1276" s="5">
        <f t="shared" si="58"/>
        <v>0.17467718703892568</v>
      </c>
      <c r="U1276" s="3">
        <v>2.21</v>
      </c>
      <c r="V1276" s="5">
        <f t="shared" si="59"/>
        <v>7.9039451148835149E-2</v>
      </c>
      <c r="W1276" s="3">
        <v>7.9039451148835149E-2</v>
      </c>
    </row>
    <row r="1277" spans="1:23" x14ac:dyDescent="0.55000000000000004">
      <c r="A1277" s="3">
        <v>30</v>
      </c>
      <c r="B1277" s="3" t="s">
        <v>52</v>
      </c>
      <c r="C1277" s="3" t="s">
        <v>49</v>
      </c>
      <c r="D1277" s="3" t="s">
        <v>40</v>
      </c>
      <c r="E1277" s="3" t="s">
        <v>28</v>
      </c>
      <c r="F1277" s="3">
        <v>58</v>
      </c>
      <c r="G1277" s="4">
        <v>27.7</v>
      </c>
      <c r="H1277" s="4">
        <v>110</v>
      </c>
      <c r="I1277" s="6">
        <v>8.239322069652772</v>
      </c>
      <c r="J1277" s="5">
        <v>6.9000000000000006E-2</v>
      </c>
      <c r="K1277" s="4">
        <v>23.4</v>
      </c>
      <c r="L1277" s="4">
        <v>66.3</v>
      </c>
      <c r="M1277" s="6">
        <v>5.3769872759988964</v>
      </c>
      <c r="N1277" s="5">
        <v>6.8000000000000005E-2</v>
      </c>
      <c r="O1277" s="5">
        <v>2.8623347936538757</v>
      </c>
      <c r="P1277" s="5">
        <v>2.8623347936538757</v>
      </c>
      <c r="Q1277" s="8">
        <v>0.20833333333333334</v>
      </c>
      <c r="R1277" s="8">
        <v>0.88888888888888884</v>
      </c>
      <c r="S1277" s="6">
        <f t="shared" si="57"/>
        <v>16.333333333333332</v>
      </c>
      <c r="T1277" s="5">
        <f t="shared" si="58"/>
        <v>0.17524498736656383</v>
      </c>
      <c r="U1277" s="3">
        <v>2.21</v>
      </c>
      <c r="V1277" s="5">
        <f t="shared" si="59"/>
        <v>7.9296374374010783E-2</v>
      </c>
      <c r="W1277" s="3">
        <v>7.9296374374010783E-2</v>
      </c>
    </row>
    <row r="1278" spans="1:23" x14ac:dyDescent="0.55000000000000004">
      <c r="A1278" s="3">
        <v>35</v>
      </c>
      <c r="B1278" s="3" t="s">
        <v>51</v>
      </c>
      <c r="C1278" s="3" t="s">
        <v>50</v>
      </c>
      <c r="D1278" s="3" t="s">
        <v>9</v>
      </c>
      <c r="E1278" s="3" t="s">
        <v>28</v>
      </c>
      <c r="F1278" s="3">
        <v>58</v>
      </c>
      <c r="G1278" s="4">
        <v>28.8</v>
      </c>
      <c r="H1278" s="4">
        <v>111.3</v>
      </c>
      <c r="I1278" s="6">
        <v>8.174781406507952</v>
      </c>
      <c r="J1278" s="5">
        <v>5.3999999999999999E-2</v>
      </c>
      <c r="K1278" s="4">
        <v>24.2</v>
      </c>
      <c r="L1278" s="4">
        <v>66.5</v>
      </c>
      <c r="M1278" s="6">
        <v>5.3121264047741921</v>
      </c>
      <c r="N1278" s="5">
        <v>4.8000000000000001E-2</v>
      </c>
      <c r="O1278" s="5">
        <v>2.86265500173376</v>
      </c>
      <c r="P1278" s="5">
        <v>2.86265500173376</v>
      </c>
      <c r="Q1278" s="8">
        <v>0.20833333333333334</v>
      </c>
      <c r="R1278" s="8">
        <v>0.88888888888888884</v>
      </c>
      <c r="S1278" s="6">
        <f t="shared" si="57"/>
        <v>16.333333333333332</v>
      </c>
      <c r="T1278" s="5">
        <f t="shared" si="58"/>
        <v>0.17526459194288327</v>
      </c>
      <c r="U1278" s="3">
        <v>2.21</v>
      </c>
      <c r="V1278" s="5">
        <f t="shared" si="59"/>
        <v>7.930524522302411E-2</v>
      </c>
      <c r="W1278" s="3">
        <v>7.930524522302411E-2</v>
      </c>
    </row>
    <row r="1279" spans="1:23" x14ac:dyDescent="0.55000000000000004">
      <c r="A1279" s="3">
        <v>16</v>
      </c>
      <c r="B1279" s="3" t="s">
        <v>52</v>
      </c>
      <c r="C1279" s="3" t="s">
        <v>50</v>
      </c>
      <c r="D1279" s="3" t="s">
        <v>12</v>
      </c>
      <c r="E1279" s="3" t="s">
        <v>26</v>
      </c>
      <c r="F1279" s="3">
        <v>51</v>
      </c>
      <c r="G1279" s="4">
        <v>26.4</v>
      </c>
      <c r="H1279" s="4">
        <v>80.400000000000006</v>
      </c>
      <c r="I1279" s="6">
        <v>6.1656903125451326</v>
      </c>
      <c r="J1279" s="5">
        <v>7.0000000000000007E-2</v>
      </c>
      <c r="K1279" s="4">
        <v>23.9</v>
      </c>
      <c r="L1279" s="4">
        <v>41.8</v>
      </c>
      <c r="M1279" s="6">
        <v>3.3580057008805677</v>
      </c>
      <c r="N1279" s="5">
        <v>6.8000000000000005E-2</v>
      </c>
      <c r="O1279" s="5">
        <v>2.8076846116645648</v>
      </c>
      <c r="P1279" s="5">
        <v>2.8076846116645648</v>
      </c>
      <c r="Q1279" s="8">
        <v>0.20833333333333334</v>
      </c>
      <c r="R1279" s="8">
        <v>0.875</v>
      </c>
      <c r="S1279" s="6">
        <f t="shared" si="57"/>
        <v>16</v>
      </c>
      <c r="T1279" s="5">
        <f t="shared" si="58"/>
        <v>0.1754802882290353</v>
      </c>
      <c r="U1279" s="3">
        <v>2.21</v>
      </c>
      <c r="V1279" s="5">
        <f t="shared" si="59"/>
        <v>7.9402845352504664E-2</v>
      </c>
      <c r="W1279" s="3">
        <v>7.9402845352504664E-2</v>
      </c>
    </row>
    <row r="1280" spans="1:23" x14ac:dyDescent="0.55000000000000004">
      <c r="A1280" s="3">
        <v>61</v>
      </c>
      <c r="B1280" s="3" t="s">
        <v>53</v>
      </c>
      <c r="C1280" s="3" t="s">
        <v>50</v>
      </c>
      <c r="D1280" s="3" t="s">
        <v>11</v>
      </c>
      <c r="E1280" s="3" t="s">
        <v>27</v>
      </c>
      <c r="F1280" s="3">
        <v>54</v>
      </c>
      <c r="G1280" s="4">
        <v>28.3</v>
      </c>
      <c r="H1280" s="4">
        <v>93.7</v>
      </c>
      <c r="I1280" s="6">
        <v>6.9434797223766642</v>
      </c>
      <c r="J1280" s="5">
        <v>4.7E-2</v>
      </c>
      <c r="K1280" s="4">
        <v>24.9</v>
      </c>
      <c r="L1280" s="4">
        <v>51.3</v>
      </c>
      <c r="M1280" s="6">
        <v>4.0445251849217092</v>
      </c>
      <c r="N1280" s="5">
        <v>4.4999999999999998E-2</v>
      </c>
      <c r="O1280" s="5">
        <v>2.898954537454955</v>
      </c>
      <c r="P1280" s="5">
        <v>2.898954537454955</v>
      </c>
      <c r="Q1280" s="8">
        <v>0.20833333333333334</v>
      </c>
      <c r="R1280" s="8">
        <v>0.89583333333333337</v>
      </c>
      <c r="S1280" s="6">
        <f t="shared" si="57"/>
        <v>16.5</v>
      </c>
      <c r="T1280" s="5">
        <f t="shared" si="58"/>
        <v>0.17569421439120939</v>
      </c>
      <c r="U1280" s="3">
        <v>2.21</v>
      </c>
      <c r="V1280" s="5">
        <f t="shared" si="59"/>
        <v>7.9499644520909227E-2</v>
      </c>
      <c r="W1280" s="3">
        <v>7.9499644520909227E-2</v>
      </c>
    </row>
    <row r="1281" spans="1:23" x14ac:dyDescent="0.55000000000000004">
      <c r="A1281" s="3">
        <v>12</v>
      </c>
      <c r="B1281" s="3" t="s">
        <v>53</v>
      </c>
      <c r="C1281" s="3" t="s">
        <v>50</v>
      </c>
      <c r="D1281" s="3" t="s">
        <v>11</v>
      </c>
      <c r="E1281" s="2" t="s">
        <v>22</v>
      </c>
      <c r="F1281" s="3">
        <v>37</v>
      </c>
      <c r="G1281" s="4">
        <v>30.1</v>
      </c>
      <c r="H1281" s="4">
        <v>95.8</v>
      </c>
      <c r="I1281" s="6">
        <v>6.8775648059726482</v>
      </c>
      <c r="J1281" s="5">
        <v>6.6000000000000003E-2</v>
      </c>
      <c r="K1281" s="4">
        <v>25.1</v>
      </c>
      <c r="L1281" s="4">
        <v>50.7</v>
      </c>
      <c r="M1281" s="6">
        <v>3.9823609842982335</v>
      </c>
      <c r="N1281" s="5">
        <v>6.0999999999999999E-2</v>
      </c>
      <c r="O1281" s="5">
        <v>2.8952038216744147</v>
      </c>
      <c r="P1281" s="5">
        <v>2.8952038216744147</v>
      </c>
      <c r="Q1281" s="8">
        <v>0.20138888888888887</v>
      </c>
      <c r="R1281" s="8">
        <v>0.88541666666666663</v>
      </c>
      <c r="S1281" s="6">
        <f t="shared" si="57"/>
        <v>16.416666666666668</v>
      </c>
      <c r="T1281" s="5">
        <f t="shared" si="58"/>
        <v>0.17635759319844149</v>
      </c>
      <c r="U1281" s="3">
        <v>2.21</v>
      </c>
      <c r="V1281" s="5">
        <f t="shared" si="59"/>
        <v>7.9799815926896611E-2</v>
      </c>
      <c r="W1281" s="3">
        <v>7.9799815926896611E-2</v>
      </c>
    </row>
    <row r="1282" spans="1:23" x14ac:dyDescent="0.55000000000000004">
      <c r="A1282" s="3">
        <v>44</v>
      </c>
      <c r="B1282" s="3" t="s">
        <v>53</v>
      </c>
      <c r="C1282" s="3" t="s">
        <v>49</v>
      </c>
      <c r="D1282" s="3" t="s">
        <v>41</v>
      </c>
      <c r="E1282" s="3" t="s">
        <v>32</v>
      </c>
      <c r="F1282" s="3">
        <v>72</v>
      </c>
      <c r="G1282" s="4">
        <v>28.9</v>
      </c>
      <c r="H1282" s="4">
        <v>100.9</v>
      </c>
      <c r="I1282" s="6">
        <v>7.3978210730036071</v>
      </c>
      <c r="J1282" s="5">
        <v>6.0999999999999999E-2</v>
      </c>
      <c r="K1282" s="4">
        <v>24.4</v>
      </c>
      <c r="L1282" s="4">
        <v>56.9</v>
      </c>
      <c r="M1282" s="6">
        <v>4.5282019730778114</v>
      </c>
      <c r="N1282" s="5">
        <v>5.8999999999999997E-2</v>
      </c>
      <c r="O1282" s="5">
        <v>2.8696190999257958</v>
      </c>
      <c r="P1282" s="5">
        <v>2.8696190999257958</v>
      </c>
      <c r="Q1282" s="8">
        <v>0.20833333333333334</v>
      </c>
      <c r="R1282" s="8">
        <v>0.88541666666666663</v>
      </c>
      <c r="S1282" s="6">
        <f t="shared" ref="S1282:S1345" si="60">(R1282-Q1282)*24</f>
        <v>16.25</v>
      </c>
      <c r="T1282" s="5">
        <f t="shared" ref="T1282:T1345" si="61">P1282/S1282</f>
        <v>0.1765919446108182</v>
      </c>
      <c r="U1282" s="3">
        <v>2.21</v>
      </c>
      <c r="V1282" s="5">
        <f t="shared" ref="V1282:V1345" si="62">(I1282-M1282)/U1282/S1282</f>
        <v>7.9905857289962995E-2</v>
      </c>
      <c r="W1282" s="3">
        <v>7.9905857289962995E-2</v>
      </c>
    </row>
    <row r="1283" spans="1:23" x14ac:dyDescent="0.55000000000000004">
      <c r="A1283" s="3">
        <v>9</v>
      </c>
      <c r="B1283" s="3" t="s">
        <v>48</v>
      </c>
      <c r="C1283" s="3" t="s">
        <v>50</v>
      </c>
      <c r="D1283" s="3" t="s">
        <v>10</v>
      </c>
      <c r="E1283" s="3" t="s">
        <v>27</v>
      </c>
      <c r="F1283" s="3">
        <v>54</v>
      </c>
      <c r="G1283" s="4">
        <v>28.1</v>
      </c>
      <c r="H1283" s="4">
        <v>109</v>
      </c>
      <c r="I1283" s="6">
        <v>8.1061335193519337</v>
      </c>
      <c r="J1283" s="5">
        <v>6.3E-2</v>
      </c>
      <c r="K1283" s="4">
        <v>24.7</v>
      </c>
      <c r="L1283" s="4">
        <v>65.599999999999994</v>
      </c>
      <c r="M1283" s="6">
        <v>5.1912983566627142</v>
      </c>
      <c r="N1283" s="5">
        <v>0.06</v>
      </c>
      <c r="O1283" s="5">
        <v>2.9148351626892195</v>
      </c>
      <c r="P1283" s="5">
        <v>2.9148351626892195</v>
      </c>
      <c r="Q1283" s="8">
        <v>0.20833333333333334</v>
      </c>
      <c r="R1283" s="8">
        <v>0.89583333333333337</v>
      </c>
      <c r="S1283" s="6">
        <f t="shared" si="60"/>
        <v>16.5</v>
      </c>
      <c r="T1283" s="5">
        <f t="shared" si="61"/>
        <v>0.17665667652661937</v>
      </c>
      <c r="U1283" s="3">
        <v>2.21</v>
      </c>
      <c r="V1283" s="5">
        <f t="shared" si="62"/>
        <v>7.9935147749601532E-2</v>
      </c>
      <c r="W1283" s="3">
        <v>7.9935147749601532E-2</v>
      </c>
    </row>
    <row r="1284" spans="1:23" x14ac:dyDescent="0.55000000000000004">
      <c r="A1284" s="3">
        <v>38</v>
      </c>
      <c r="B1284" s="3" t="s">
        <v>51</v>
      </c>
      <c r="C1284" s="3" t="s">
        <v>49</v>
      </c>
      <c r="D1284" s="3" t="s">
        <v>39</v>
      </c>
      <c r="E1284" s="2" t="s">
        <v>23</v>
      </c>
      <c r="F1284" s="3">
        <v>40</v>
      </c>
      <c r="G1284" s="4">
        <v>29.3</v>
      </c>
      <c r="H1284" s="4">
        <v>116.2</v>
      </c>
      <c r="I1284" s="6">
        <v>8.4597076114939416</v>
      </c>
      <c r="J1284" s="5">
        <v>5.1999999999999998E-2</v>
      </c>
      <c r="K1284" s="4">
        <v>24.4</v>
      </c>
      <c r="L1284" s="4">
        <v>69.900000000000006</v>
      </c>
      <c r="M1284" s="6">
        <v>5.562764814027048</v>
      </c>
      <c r="N1284" s="5">
        <v>4.9000000000000002E-2</v>
      </c>
      <c r="O1284" s="5">
        <v>2.8969427974668935</v>
      </c>
      <c r="P1284" s="5">
        <v>2.8969427974668935</v>
      </c>
      <c r="Q1284" s="8">
        <v>0.20833333333333334</v>
      </c>
      <c r="R1284" s="8">
        <v>0.89027777777777783</v>
      </c>
      <c r="S1284" s="6">
        <f t="shared" si="60"/>
        <v>16.366666666666667</v>
      </c>
      <c r="T1284" s="5">
        <f t="shared" si="61"/>
        <v>0.17700261491651081</v>
      </c>
      <c r="U1284" s="3">
        <v>2.21</v>
      </c>
      <c r="V1284" s="5">
        <f t="shared" si="62"/>
        <v>8.0091680957697198E-2</v>
      </c>
      <c r="W1284" s="3">
        <v>8.0091680957697198E-2</v>
      </c>
    </row>
    <row r="1285" spans="1:23" x14ac:dyDescent="0.55000000000000004">
      <c r="A1285" s="3">
        <v>19</v>
      </c>
      <c r="B1285" s="3" t="s">
        <v>53</v>
      </c>
      <c r="C1285" s="3" t="s">
        <v>49</v>
      </c>
      <c r="D1285" s="3" t="s">
        <v>41</v>
      </c>
      <c r="E1285" s="3" t="s">
        <v>30</v>
      </c>
      <c r="F1285" s="3">
        <v>65</v>
      </c>
      <c r="G1285" s="4">
        <v>28.5</v>
      </c>
      <c r="H1285" s="4">
        <v>122.3</v>
      </c>
      <c r="I1285" s="6">
        <v>9.0306372069188097</v>
      </c>
      <c r="J1285" s="5">
        <v>5.8000000000000003E-2</v>
      </c>
      <c r="K1285" s="4">
        <v>23.7</v>
      </c>
      <c r="L1285" s="4">
        <v>76.3</v>
      </c>
      <c r="M1285" s="6">
        <v>6.152821970283445</v>
      </c>
      <c r="N1285" s="5">
        <v>0.05</v>
      </c>
      <c r="O1285" s="5">
        <v>2.8778152366353646</v>
      </c>
      <c r="P1285" s="5">
        <v>2.8778152366353646</v>
      </c>
      <c r="Q1285" s="8">
        <v>0.20833333333333334</v>
      </c>
      <c r="R1285" s="8">
        <v>0.88541666666666663</v>
      </c>
      <c r="S1285" s="6">
        <f t="shared" si="60"/>
        <v>16.25</v>
      </c>
      <c r="T1285" s="5">
        <f t="shared" si="61"/>
        <v>0.17709632225448399</v>
      </c>
      <c r="U1285" s="3">
        <v>2.21</v>
      </c>
      <c r="V1285" s="5">
        <f t="shared" si="62"/>
        <v>8.0134082468092296E-2</v>
      </c>
      <c r="W1285" s="3">
        <v>8.0134082468092296E-2</v>
      </c>
    </row>
    <row r="1286" spans="1:23" x14ac:dyDescent="0.55000000000000004">
      <c r="A1286" s="3">
        <v>30</v>
      </c>
      <c r="B1286" s="3" t="s">
        <v>52</v>
      </c>
      <c r="C1286" s="3" t="s">
        <v>49</v>
      </c>
      <c r="D1286" s="3" t="s">
        <v>40</v>
      </c>
      <c r="E1286" s="2" t="s">
        <v>24</v>
      </c>
      <c r="F1286" s="3">
        <v>44</v>
      </c>
      <c r="G1286" s="4">
        <v>24.9</v>
      </c>
      <c r="H1286" s="4">
        <v>93.7</v>
      </c>
      <c r="I1286" s="6">
        <v>7.3873686126152869</v>
      </c>
      <c r="J1286" s="5">
        <v>6.0999999999999999E-2</v>
      </c>
      <c r="K1286" s="4">
        <v>20.8</v>
      </c>
      <c r="L1286" s="4">
        <v>51.7</v>
      </c>
      <c r="M1286" s="6">
        <v>4.4098299788604827</v>
      </c>
      <c r="N1286" s="5">
        <v>5.6000000000000001E-2</v>
      </c>
      <c r="O1286" s="5">
        <v>2.9775386337548042</v>
      </c>
      <c r="P1286" s="5">
        <v>2.9775386337548042</v>
      </c>
      <c r="Q1286" s="8">
        <v>0.20277777777777781</v>
      </c>
      <c r="R1286" s="8">
        <v>0.90277777777777779</v>
      </c>
      <c r="S1286" s="6">
        <f t="shared" si="60"/>
        <v>16.799999999999997</v>
      </c>
      <c r="T1286" s="5">
        <f t="shared" si="61"/>
        <v>0.17723444248540504</v>
      </c>
      <c r="U1286" s="3">
        <v>2.21</v>
      </c>
      <c r="V1286" s="5">
        <f t="shared" si="62"/>
        <v>8.019658031013803E-2</v>
      </c>
      <c r="W1286" s="3">
        <v>8.019658031013803E-2</v>
      </c>
    </row>
    <row r="1287" spans="1:23" x14ac:dyDescent="0.55000000000000004">
      <c r="A1287" s="3">
        <v>37</v>
      </c>
      <c r="B1287" s="3" t="s">
        <v>53</v>
      </c>
      <c r="C1287" s="3" t="s">
        <v>50</v>
      </c>
      <c r="D1287" s="3" t="s">
        <v>11</v>
      </c>
      <c r="E1287" s="3" t="s">
        <v>27</v>
      </c>
      <c r="F1287" s="3">
        <v>54</v>
      </c>
      <c r="G1287" s="4">
        <v>27.5</v>
      </c>
      <c r="H1287" s="4">
        <v>100.2</v>
      </c>
      <c r="I1287" s="6">
        <v>7.5323142142462522</v>
      </c>
      <c r="J1287" s="5">
        <v>4.2999999999999997E-2</v>
      </c>
      <c r="K1287" s="4">
        <v>24.8</v>
      </c>
      <c r="L1287" s="4">
        <v>58.3</v>
      </c>
      <c r="M1287" s="6">
        <v>4.6049949736062166</v>
      </c>
      <c r="N1287" s="5">
        <v>0.04</v>
      </c>
      <c r="O1287" s="5">
        <v>2.9273192406400357</v>
      </c>
      <c r="P1287" s="5">
        <v>2.9273192406400357</v>
      </c>
      <c r="Q1287" s="8">
        <v>0.20833333333333334</v>
      </c>
      <c r="R1287" s="8">
        <v>0.89583333333333337</v>
      </c>
      <c r="S1287" s="6">
        <f t="shared" si="60"/>
        <v>16.5</v>
      </c>
      <c r="T1287" s="5">
        <f t="shared" si="61"/>
        <v>0.17741328731151731</v>
      </c>
      <c r="U1287" s="3">
        <v>2.21</v>
      </c>
      <c r="V1287" s="5">
        <f t="shared" si="62"/>
        <v>8.0277505570822319E-2</v>
      </c>
      <c r="W1287" s="3">
        <v>8.0277505570822319E-2</v>
      </c>
    </row>
    <row r="1288" spans="1:23" x14ac:dyDescent="0.55000000000000004">
      <c r="A1288" s="3">
        <v>40</v>
      </c>
      <c r="B1288" s="3" t="s">
        <v>48</v>
      </c>
      <c r="C1288" s="3" t="s">
        <v>50</v>
      </c>
      <c r="D1288" s="3" t="s">
        <v>10</v>
      </c>
      <c r="E1288" s="2" t="s">
        <v>25</v>
      </c>
      <c r="F1288" s="3">
        <v>47</v>
      </c>
      <c r="G1288" s="4">
        <v>28.7</v>
      </c>
      <c r="H1288" s="4">
        <v>93.5</v>
      </c>
      <c r="I1288" s="6">
        <v>6.8795798496263467</v>
      </c>
      <c r="J1288" s="5">
        <v>6.5000000000000002E-2</v>
      </c>
      <c r="K1288" s="4">
        <v>25.3</v>
      </c>
      <c r="L1288" s="4">
        <v>50.5</v>
      </c>
      <c r="M1288" s="6">
        <v>3.9519456224340859</v>
      </c>
      <c r="N1288" s="5">
        <v>6.3E-2</v>
      </c>
      <c r="O1288" s="5">
        <v>2.9276342271922609</v>
      </c>
      <c r="P1288" s="5">
        <v>2.9276342271922609</v>
      </c>
      <c r="Q1288" s="8">
        <v>0.20833333333333334</v>
      </c>
      <c r="R1288" s="8">
        <v>0.89583333333333337</v>
      </c>
      <c r="S1288" s="6">
        <f t="shared" si="60"/>
        <v>16.5</v>
      </c>
      <c r="T1288" s="5">
        <f t="shared" si="61"/>
        <v>0.17743237740559156</v>
      </c>
      <c r="U1288" s="3">
        <v>2.21</v>
      </c>
      <c r="V1288" s="5">
        <f t="shared" si="62"/>
        <v>8.0286143622439618E-2</v>
      </c>
      <c r="W1288" s="3">
        <v>8.0286143622439618E-2</v>
      </c>
    </row>
    <row r="1289" spans="1:23" x14ac:dyDescent="0.55000000000000004">
      <c r="A1289" s="3">
        <v>31</v>
      </c>
      <c r="B1289" s="3" t="s">
        <v>52</v>
      </c>
      <c r="C1289" s="3" t="s">
        <v>49</v>
      </c>
      <c r="D1289" s="3" t="s">
        <v>40</v>
      </c>
      <c r="E1289" s="3" t="s">
        <v>30</v>
      </c>
      <c r="F1289" s="3">
        <v>65</v>
      </c>
      <c r="G1289" s="4">
        <v>27.3</v>
      </c>
      <c r="H1289" s="4">
        <v>122.7</v>
      </c>
      <c r="I1289" s="6">
        <v>9.25702229727038</v>
      </c>
      <c r="J1289" s="5">
        <v>6.7000000000000004E-2</v>
      </c>
      <c r="K1289" s="4">
        <v>22.5</v>
      </c>
      <c r="L1289" s="4">
        <v>77.2</v>
      </c>
      <c r="M1289" s="6">
        <v>6.3699075532982672</v>
      </c>
      <c r="N1289" s="5">
        <v>6.0999999999999999E-2</v>
      </c>
      <c r="O1289" s="5">
        <v>2.8871147439721128</v>
      </c>
      <c r="P1289" s="5">
        <v>2.8871147439721128</v>
      </c>
      <c r="Q1289" s="8">
        <v>0.20833333333333334</v>
      </c>
      <c r="R1289" s="8">
        <v>0.88541666666666663</v>
      </c>
      <c r="S1289" s="6">
        <f t="shared" si="60"/>
        <v>16.25</v>
      </c>
      <c r="T1289" s="5">
        <f t="shared" si="61"/>
        <v>0.1776685996290531</v>
      </c>
      <c r="U1289" s="3">
        <v>2.21</v>
      </c>
      <c r="V1289" s="5">
        <f t="shared" si="62"/>
        <v>8.0393031506358861E-2</v>
      </c>
      <c r="W1289" s="3">
        <v>8.0393031506358861E-2</v>
      </c>
    </row>
    <row r="1290" spans="1:23" x14ac:dyDescent="0.55000000000000004">
      <c r="A1290" s="3">
        <v>16</v>
      </c>
      <c r="B1290" s="3" t="s">
        <v>52</v>
      </c>
      <c r="C1290" s="3" t="s">
        <v>50</v>
      </c>
      <c r="D1290" s="3" t="s">
        <v>12</v>
      </c>
      <c r="E1290" s="3" t="s">
        <v>29</v>
      </c>
      <c r="F1290" s="3">
        <v>61</v>
      </c>
      <c r="G1290" s="4">
        <v>28.1</v>
      </c>
      <c r="H1290" s="4">
        <v>88.6</v>
      </c>
      <c r="I1290" s="6">
        <v>6.5890222918768915</v>
      </c>
      <c r="J1290" s="5">
        <v>7.1999999999999995E-2</v>
      </c>
      <c r="K1290" s="4">
        <v>24.6</v>
      </c>
      <c r="L1290" s="4">
        <v>46.1</v>
      </c>
      <c r="M1290" s="6">
        <v>3.6549861959454937</v>
      </c>
      <c r="N1290" s="5">
        <v>7.3999999999999996E-2</v>
      </c>
      <c r="O1290" s="5">
        <v>2.9340360959313978</v>
      </c>
      <c r="P1290" s="5">
        <v>2.9340360959313978</v>
      </c>
      <c r="Q1290" s="8">
        <v>0.19791666666666666</v>
      </c>
      <c r="R1290" s="8">
        <v>0.88541666666666663</v>
      </c>
      <c r="S1290" s="6">
        <f t="shared" si="60"/>
        <v>16.5</v>
      </c>
      <c r="T1290" s="5">
        <f t="shared" si="61"/>
        <v>0.17782036945038773</v>
      </c>
      <c r="U1290" s="3">
        <v>2.21</v>
      </c>
      <c r="V1290" s="5">
        <f t="shared" si="62"/>
        <v>8.0461705633659619E-2</v>
      </c>
      <c r="W1290" s="3">
        <v>8.0461705633659619E-2</v>
      </c>
    </row>
    <row r="1291" spans="1:23" x14ac:dyDescent="0.55000000000000004">
      <c r="A1291" s="3">
        <v>33</v>
      </c>
      <c r="B1291" s="3" t="s">
        <v>51</v>
      </c>
      <c r="C1291" s="3" t="s">
        <v>50</v>
      </c>
      <c r="D1291" s="3" t="s">
        <v>9</v>
      </c>
      <c r="E1291" s="3" t="s">
        <v>26</v>
      </c>
      <c r="F1291" s="3">
        <v>51</v>
      </c>
      <c r="G1291" s="4">
        <v>28.1</v>
      </c>
      <c r="H1291" s="4">
        <v>113.4</v>
      </c>
      <c r="I1291" s="6">
        <v>8.4333535880230208</v>
      </c>
      <c r="J1291" s="5">
        <v>8.4000000000000005E-2</v>
      </c>
      <c r="K1291" s="4">
        <v>25.3</v>
      </c>
      <c r="L1291" s="4">
        <v>71.400000000000006</v>
      </c>
      <c r="M1291" s="6">
        <v>5.5875033156790845</v>
      </c>
      <c r="N1291" s="5">
        <v>6.9000000000000006E-2</v>
      </c>
      <c r="O1291" s="5">
        <v>2.8458502723439363</v>
      </c>
      <c r="P1291" s="5">
        <v>2.8458502723439363</v>
      </c>
      <c r="Q1291" s="8">
        <v>0.20833333333333334</v>
      </c>
      <c r="R1291" s="8">
        <v>0.875</v>
      </c>
      <c r="S1291" s="6">
        <f t="shared" si="60"/>
        <v>16</v>
      </c>
      <c r="T1291" s="5">
        <f t="shared" si="61"/>
        <v>0.17786564202149602</v>
      </c>
      <c r="U1291" s="3">
        <v>2.21</v>
      </c>
      <c r="V1291" s="5">
        <f t="shared" si="62"/>
        <v>8.0482190959952946E-2</v>
      </c>
      <c r="W1291" s="3">
        <v>8.0482190959952946E-2</v>
      </c>
    </row>
    <row r="1292" spans="1:23" x14ac:dyDescent="0.55000000000000004">
      <c r="A1292" s="3">
        <v>43</v>
      </c>
      <c r="B1292" s="3" t="s">
        <v>51</v>
      </c>
      <c r="C1292" s="3" t="s">
        <v>50</v>
      </c>
      <c r="D1292" s="3" t="s">
        <v>9</v>
      </c>
      <c r="E1292" s="2" t="s">
        <v>23</v>
      </c>
      <c r="F1292" s="3">
        <v>40</v>
      </c>
      <c r="G1292" s="4">
        <v>29</v>
      </c>
      <c r="H1292" s="4">
        <v>102</v>
      </c>
      <c r="I1292" s="6">
        <v>7.4652695222506296</v>
      </c>
      <c r="J1292" s="5">
        <v>3.5999999999999997E-2</v>
      </c>
      <c r="K1292" s="4">
        <v>24.3</v>
      </c>
      <c r="L1292" s="4">
        <v>57.1</v>
      </c>
      <c r="M1292" s="6">
        <v>4.5526648491872574</v>
      </c>
      <c r="N1292" s="5">
        <v>3.3000000000000002E-2</v>
      </c>
      <c r="O1292" s="5">
        <v>2.9126046730633721</v>
      </c>
      <c r="P1292" s="5">
        <v>2.9126046730633721</v>
      </c>
      <c r="Q1292" s="8">
        <v>0.20833333333333334</v>
      </c>
      <c r="R1292" s="8">
        <v>0.89027777777777783</v>
      </c>
      <c r="S1292" s="6">
        <f t="shared" si="60"/>
        <v>16.366666666666667</v>
      </c>
      <c r="T1292" s="5">
        <f t="shared" si="61"/>
        <v>0.17795955232566427</v>
      </c>
      <c r="U1292" s="3">
        <v>2.21</v>
      </c>
      <c r="V1292" s="5">
        <f t="shared" si="62"/>
        <v>8.0524684310255321E-2</v>
      </c>
      <c r="W1292" s="3">
        <v>8.0524684310255321E-2</v>
      </c>
    </row>
    <row r="1293" spans="1:23" x14ac:dyDescent="0.55000000000000004">
      <c r="A1293" s="3">
        <v>30</v>
      </c>
      <c r="B1293" s="3" t="s">
        <v>52</v>
      </c>
      <c r="C1293" s="3" t="s">
        <v>49</v>
      </c>
      <c r="D1293" s="3" t="s">
        <v>40</v>
      </c>
      <c r="E1293" s="2" t="s">
        <v>23</v>
      </c>
      <c r="F1293" s="3">
        <v>40</v>
      </c>
      <c r="G1293" s="4">
        <v>28.4</v>
      </c>
      <c r="H1293" s="4">
        <v>111.5</v>
      </c>
      <c r="I1293" s="6">
        <v>8.2478190507392775</v>
      </c>
      <c r="J1293" s="5">
        <v>5.8000000000000003E-2</v>
      </c>
      <c r="K1293" s="4">
        <v>23.9</v>
      </c>
      <c r="L1293" s="4">
        <v>66.400000000000006</v>
      </c>
      <c r="M1293" s="6">
        <v>5.3342482903940125</v>
      </c>
      <c r="N1293" s="5">
        <v>5.2999999999999999E-2</v>
      </c>
      <c r="O1293" s="5">
        <v>2.913570760345265</v>
      </c>
      <c r="P1293" s="5">
        <v>2.913570760345265</v>
      </c>
      <c r="Q1293" s="8">
        <v>0.20833333333333334</v>
      </c>
      <c r="R1293" s="8">
        <v>0.89027777777777783</v>
      </c>
      <c r="S1293" s="6">
        <f t="shared" si="60"/>
        <v>16.366666666666667</v>
      </c>
      <c r="T1293" s="5">
        <f t="shared" si="61"/>
        <v>0.1780185800618288</v>
      </c>
      <c r="U1293" s="3">
        <v>2.21</v>
      </c>
      <c r="V1293" s="5">
        <f t="shared" si="62"/>
        <v>8.0551393693135215E-2</v>
      </c>
      <c r="W1293" s="3">
        <v>8.0551393693135215E-2</v>
      </c>
    </row>
    <row r="1294" spans="1:23" x14ac:dyDescent="0.55000000000000004">
      <c r="A1294" s="3">
        <v>34</v>
      </c>
      <c r="B1294" s="3" t="s">
        <v>48</v>
      </c>
      <c r="C1294" s="3" t="s">
        <v>50</v>
      </c>
      <c r="D1294" s="3" t="s">
        <v>10</v>
      </c>
      <c r="E1294" s="2" t="s">
        <v>19</v>
      </c>
      <c r="F1294" s="3">
        <v>26</v>
      </c>
      <c r="G1294" s="4">
        <v>23.1</v>
      </c>
      <c r="H1294" s="4">
        <v>103.2</v>
      </c>
      <c r="I1294" s="6">
        <v>8.417659213441798</v>
      </c>
      <c r="J1294" s="5">
        <v>5.3999999999999999E-2</v>
      </c>
      <c r="K1294" s="4">
        <v>23</v>
      </c>
      <c r="L1294" s="4">
        <v>67.599999999999994</v>
      </c>
      <c r="M1294" s="6">
        <v>5.5244545759204167</v>
      </c>
      <c r="N1294" s="5">
        <v>4.9000000000000002E-2</v>
      </c>
      <c r="O1294" s="5">
        <v>2.8932046375213814</v>
      </c>
      <c r="P1294" s="5">
        <v>2.8932046375213814</v>
      </c>
      <c r="Q1294" s="8">
        <v>0.20833333333333334</v>
      </c>
      <c r="R1294" s="8">
        <v>0.88541666666666663</v>
      </c>
      <c r="S1294" s="6">
        <f t="shared" si="60"/>
        <v>16.25</v>
      </c>
      <c r="T1294" s="5">
        <f t="shared" si="61"/>
        <v>0.17804336230900808</v>
      </c>
      <c r="U1294" s="3">
        <v>2.21</v>
      </c>
      <c r="V1294" s="5">
        <f t="shared" si="62"/>
        <v>8.0562607379641674E-2</v>
      </c>
      <c r="W1294" s="3">
        <v>8.0562607379641674E-2</v>
      </c>
    </row>
    <row r="1295" spans="1:23" x14ac:dyDescent="0.55000000000000004">
      <c r="A1295" s="3">
        <v>54</v>
      </c>
      <c r="B1295" s="3" t="s">
        <v>48</v>
      </c>
      <c r="C1295" s="3" t="s">
        <v>50</v>
      </c>
      <c r="D1295" s="3" t="s">
        <v>10</v>
      </c>
      <c r="E1295" s="2" t="s">
        <v>23</v>
      </c>
      <c r="F1295" s="3">
        <v>40</v>
      </c>
      <c r="G1295" s="4">
        <v>29.2</v>
      </c>
      <c r="H1295" s="4">
        <v>103.9</v>
      </c>
      <c r="I1295" s="6">
        <v>7.5775560000427049</v>
      </c>
      <c r="J1295" s="5">
        <v>6.0999999999999999E-2</v>
      </c>
      <c r="K1295" s="4">
        <v>24.4</v>
      </c>
      <c r="L1295" s="4">
        <v>58.6</v>
      </c>
      <c r="M1295" s="6">
        <v>4.6634909599711731</v>
      </c>
      <c r="N1295" s="5">
        <v>5.5E-2</v>
      </c>
      <c r="O1295" s="5">
        <v>2.9140650400715318</v>
      </c>
      <c r="P1295" s="5">
        <v>2.9140650400715318</v>
      </c>
      <c r="Q1295" s="8">
        <v>0.20833333333333334</v>
      </c>
      <c r="R1295" s="8">
        <v>0.89027777777777783</v>
      </c>
      <c r="S1295" s="6">
        <f t="shared" si="60"/>
        <v>16.366666666666667</v>
      </c>
      <c r="T1295" s="5">
        <f t="shared" si="61"/>
        <v>0.17804878045243575</v>
      </c>
      <c r="U1295" s="3">
        <v>2.21</v>
      </c>
      <c r="V1295" s="5">
        <f t="shared" si="62"/>
        <v>8.0565059028251479E-2</v>
      </c>
      <c r="W1295" s="3">
        <v>8.0565059028251479E-2</v>
      </c>
    </row>
    <row r="1296" spans="1:23" x14ac:dyDescent="0.55000000000000004">
      <c r="A1296" s="3">
        <v>27</v>
      </c>
      <c r="B1296" s="3" t="s">
        <v>48</v>
      </c>
      <c r="C1296" s="3" t="s">
        <v>50</v>
      </c>
      <c r="D1296" s="3" t="s">
        <v>10</v>
      </c>
      <c r="E1296" s="3" t="s">
        <v>26</v>
      </c>
      <c r="F1296" s="3">
        <v>51</v>
      </c>
      <c r="G1296" s="4">
        <v>27.6</v>
      </c>
      <c r="H1296" s="4">
        <v>106.8</v>
      </c>
      <c r="I1296" s="6">
        <v>8.014021236380783</v>
      </c>
      <c r="J1296" s="5">
        <v>8.4000000000000005E-2</v>
      </c>
      <c r="K1296" s="4">
        <v>24.7</v>
      </c>
      <c r="L1296" s="4">
        <v>65.2</v>
      </c>
      <c r="M1296" s="6">
        <v>5.1596440983903813</v>
      </c>
      <c r="N1296" s="5">
        <v>8.1000000000000003E-2</v>
      </c>
      <c r="O1296" s="5">
        <v>2.8543771379904017</v>
      </c>
      <c r="P1296" s="5">
        <v>2.8543771379904017</v>
      </c>
      <c r="Q1296" s="8">
        <v>0.20833333333333334</v>
      </c>
      <c r="R1296" s="8">
        <v>0.875</v>
      </c>
      <c r="S1296" s="6">
        <f t="shared" si="60"/>
        <v>16</v>
      </c>
      <c r="T1296" s="5">
        <f t="shared" si="61"/>
        <v>0.17839857112440011</v>
      </c>
      <c r="U1296" s="3">
        <v>2.21</v>
      </c>
      <c r="V1296" s="5">
        <f t="shared" si="62"/>
        <v>8.0723335350407294E-2</v>
      </c>
      <c r="W1296" s="3">
        <v>8.0723335350407294E-2</v>
      </c>
    </row>
    <row r="1297" spans="1:23" x14ac:dyDescent="0.55000000000000004">
      <c r="A1297" s="3">
        <v>34</v>
      </c>
      <c r="B1297" s="3" t="s">
        <v>48</v>
      </c>
      <c r="C1297" s="3" t="s">
        <v>50</v>
      </c>
      <c r="D1297" s="3" t="s">
        <v>10</v>
      </c>
      <c r="E1297" s="3" t="s">
        <v>31</v>
      </c>
      <c r="F1297" s="3">
        <v>68</v>
      </c>
      <c r="G1297" s="4">
        <v>25.7</v>
      </c>
      <c r="H1297" s="4">
        <v>82.2</v>
      </c>
      <c r="I1297" s="6">
        <v>6.3852575723921294</v>
      </c>
      <c r="J1297" s="5">
        <v>6.7000000000000004E-2</v>
      </c>
      <c r="K1297" s="4">
        <v>24</v>
      </c>
      <c r="L1297" s="4">
        <v>43.4</v>
      </c>
      <c r="M1297" s="6">
        <v>3.4799601372589679</v>
      </c>
      <c r="N1297" s="5">
        <v>6.8000000000000005E-2</v>
      </c>
      <c r="O1297" s="5">
        <v>2.9052974351331615</v>
      </c>
      <c r="P1297" s="5">
        <v>2.9052974351331615</v>
      </c>
      <c r="Q1297" s="8">
        <v>0.20833333333333334</v>
      </c>
      <c r="R1297" s="8">
        <v>0.88541666666666663</v>
      </c>
      <c r="S1297" s="6">
        <f t="shared" si="60"/>
        <v>16.25</v>
      </c>
      <c r="T1297" s="5">
        <f t="shared" si="61"/>
        <v>0.17878753446973303</v>
      </c>
      <c r="U1297" s="3">
        <v>2.21</v>
      </c>
      <c r="V1297" s="5">
        <f t="shared" si="62"/>
        <v>8.0899336864132587E-2</v>
      </c>
      <c r="W1297" s="3">
        <v>8.0899336864132587E-2</v>
      </c>
    </row>
    <row r="1298" spans="1:23" x14ac:dyDescent="0.55000000000000004">
      <c r="A1298" s="3">
        <v>38</v>
      </c>
      <c r="B1298" s="3" t="s">
        <v>51</v>
      </c>
      <c r="C1298" s="3" t="s">
        <v>49</v>
      </c>
      <c r="D1298" s="3" t="s">
        <v>39</v>
      </c>
      <c r="E1298" s="2" t="s">
        <v>25</v>
      </c>
      <c r="F1298" s="3">
        <v>47</v>
      </c>
      <c r="G1298" s="4">
        <v>29.2</v>
      </c>
      <c r="H1298" s="4">
        <v>115.8</v>
      </c>
      <c r="I1298" s="6">
        <v>8.4454377748310421</v>
      </c>
      <c r="J1298" s="5">
        <v>6.4000000000000001E-2</v>
      </c>
      <c r="K1298" s="4">
        <v>25.6</v>
      </c>
      <c r="L1298" s="4">
        <v>70.599999999999994</v>
      </c>
      <c r="M1298" s="6">
        <v>5.4943068274033502</v>
      </c>
      <c r="N1298" s="5">
        <v>5.6000000000000001E-2</v>
      </c>
      <c r="O1298" s="5">
        <v>2.9511309474276919</v>
      </c>
      <c r="P1298" s="5">
        <v>2.9511309474276919</v>
      </c>
      <c r="Q1298" s="8">
        <v>0.20833333333333334</v>
      </c>
      <c r="R1298" s="8">
        <v>0.89583333333333337</v>
      </c>
      <c r="S1298" s="6">
        <f t="shared" si="60"/>
        <v>16.5</v>
      </c>
      <c r="T1298" s="5">
        <f t="shared" si="61"/>
        <v>0.17885642105622376</v>
      </c>
      <c r="U1298" s="3">
        <v>2.21</v>
      </c>
      <c r="V1298" s="5">
        <f t="shared" si="62"/>
        <v>8.0930507265259619E-2</v>
      </c>
      <c r="W1298" s="3">
        <v>8.0930507265259619E-2</v>
      </c>
    </row>
    <row r="1299" spans="1:23" x14ac:dyDescent="0.55000000000000004">
      <c r="A1299" s="3">
        <v>12</v>
      </c>
      <c r="B1299" s="3" t="s">
        <v>53</v>
      </c>
      <c r="C1299" s="3" t="s">
        <v>50</v>
      </c>
      <c r="D1299" s="3" t="s">
        <v>11</v>
      </c>
      <c r="E1299" s="2" t="s">
        <v>24</v>
      </c>
      <c r="F1299" s="3">
        <v>44</v>
      </c>
      <c r="G1299" s="4">
        <v>26</v>
      </c>
      <c r="H1299" s="4">
        <v>115.1</v>
      </c>
      <c r="I1299" s="6">
        <v>8.8916759972157493</v>
      </c>
      <c r="J1299" s="5">
        <v>5.8000000000000003E-2</v>
      </c>
      <c r="K1299" s="4">
        <v>21.7</v>
      </c>
      <c r="L1299" s="4">
        <v>70.2</v>
      </c>
      <c r="M1299" s="6">
        <v>5.8829130999255703</v>
      </c>
      <c r="N1299" s="5">
        <v>4.5999999999999999E-2</v>
      </c>
      <c r="O1299" s="5">
        <v>3.008762897290179</v>
      </c>
      <c r="P1299" s="5">
        <v>3.008762897290179</v>
      </c>
      <c r="Q1299" s="8">
        <v>0.20277777777777781</v>
      </c>
      <c r="R1299" s="8">
        <v>0.90277777777777779</v>
      </c>
      <c r="S1299" s="6">
        <f t="shared" si="60"/>
        <v>16.799999999999997</v>
      </c>
      <c r="T1299" s="5">
        <f t="shared" si="61"/>
        <v>0.17909302960060591</v>
      </c>
      <c r="U1299" s="3">
        <v>2.21</v>
      </c>
      <c r="V1299" s="5">
        <f t="shared" si="62"/>
        <v>8.1037569955025299E-2</v>
      </c>
      <c r="W1299" s="3">
        <v>8.1037569955025299E-2</v>
      </c>
    </row>
    <row r="1300" spans="1:23" x14ac:dyDescent="0.55000000000000004">
      <c r="A1300" s="3">
        <v>21</v>
      </c>
      <c r="B1300" s="3" t="s">
        <v>48</v>
      </c>
      <c r="C1300" s="3" t="s">
        <v>49</v>
      </c>
      <c r="D1300" s="3" t="s">
        <v>38</v>
      </c>
      <c r="E1300" s="3" t="s">
        <v>32</v>
      </c>
      <c r="F1300" s="3">
        <v>72</v>
      </c>
      <c r="G1300" s="4">
        <v>28.1</v>
      </c>
      <c r="H1300" s="4">
        <v>88.1</v>
      </c>
      <c r="I1300" s="6">
        <v>6.5518381931642686</v>
      </c>
      <c r="J1300" s="5">
        <v>9.0999999999999998E-2</v>
      </c>
      <c r="K1300" s="4">
        <v>24</v>
      </c>
      <c r="L1300" s="4">
        <v>45.4</v>
      </c>
      <c r="M1300" s="6">
        <v>3.6403269638607636</v>
      </c>
      <c r="N1300" s="5">
        <v>8.4000000000000005E-2</v>
      </c>
      <c r="O1300" s="5">
        <v>2.911511229303505</v>
      </c>
      <c r="P1300" s="5">
        <v>2.911511229303505</v>
      </c>
      <c r="Q1300" s="8">
        <v>0.20833333333333334</v>
      </c>
      <c r="R1300" s="8">
        <v>0.88541666666666663</v>
      </c>
      <c r="S1300" s="6">
        <f t="shared" si="60"/>
        <v>16.25</v>
      </c>
      <c r="T1300" s="5">
        <f t="shared" si="61"/>
        <v>0.17916992180329261</v>
      </c>
      <c r="U1300" s="3">
        <v>2.21</v>
      </c>
      <c r="V1300" s="5">
        <f t="shared" si="62"/>
        <v>8.1072362806919748E-2</v>
      </c>
      <c r="W1300" s="3">
        <v>8.1072362806919748E-2</v>
      </c>
    </row>
    <row r="1301" spans="1:23" x14ac:dyDescent="0.55000000000000004">
      <c r="A1301" s="3">
        <v>27</v>
      </c>
      <c r="B1301" s="3" t="s">
        <v>48</v>
      </c>
      <c r="C1301" s="3" t="s">
        <v>50</v>
      </c>
      <c r="D1301" s="3" t="s">
        <v>10</v>
      </c>
      <c r="E1301" s="3" t="s">
        <v>30</v>
      </c>
      <c r="F1301" s="3">
        <v>65</v>
      </c>
      <c r="G1301" s="4">
        <v>28.3</v>
      </c>
      <c r="H1301" s="4">
        <v>111</v>
      </c>
      <c r="I1301" s="6">
        <v>8.225466906977692</v>
      </c>
      <c r="J1301" s="5">
        <v>7.1999999999999995E-2</v>
      </c>
      <c r="K1301" s="4">
        <v>23.4</v>
      </c>
      <c r="L1301" s="4">
        <v>65.5</v>
      </c>
      <c r="M1301" s="6">
        <v>5.3121065848857869</v>
      </c>
      <c r="N1301" s="5">
        <v>6.5000000000000002E-2</v>
      </c>
      <c r="O1301" s="5">
        <v>2.9133603220919051</v>
      </c>
      <c r="P1301" s="5">
        <v>2.9133603220919051</v>
      </c>
      <c r="Q1301" s="8">
        <v>0.20833333333333334</v>
      </c>
      <c r="R1301" s="8">
        <v>0.88541666666666663</v>
      </c>
      <c r="S1301" s="6">
        <f t="shared" si="60"/>
        <v>16.25</v>
      </c>
      <c r="T1301" s="5">
        <f t="shared" si="61"/>
        <v>0.17928371212873262</v>
      </c>
      <c r="U1301" s="3">
        <v>2.21</v>
      </c>
      <c r="V1301" s="5">
        <f t="shared" si="62"/>
        <v>8.1123851641960468E-2</v>
      </c>
      <c r="W1301" s="3">
        <v>8.1123851641960468E-2</v>
      </c>
    </row>
    <row r="1302" spans="1:23" x14ac:dyDescent="0.55000000000000004">
      <c r="A1302" s="3">
        <v>51</v>
      </c>
      <c r="B1302" s="3" t="s">
        <v>48</v>
      </c>
      <c r="C1302" s="3" t="s">
        <v>50</v>
      </c>
      <c r="D1302" s="3" t="s">
        <v>10</v>
      </c>
      <c r="E1302" s="2" t="s">
        <v>23</v>
      </c>
      <c r="F1302" s="3">
        <v>40</v>
      </c>
      <c r="G1302" s="4">
        <v>29</v>
      </c>
      <c r="H1302" s="4">
        <v>103.6</v>
      </c>
      <c r="I1302" s="6">
        <v>7.5823717892663254</v>
      </c>
      <c r="J1302" s="5">
        <v>6.9000000000000006E-2</v>
      </c>
      <c r="K1302" s="4">
        <v>24.2</v>
      </c>
      <c r="L1302" s="4">
        <v>58.1</v>
      </c>
      <c r="M1302" s="6">
        <v>4.6411209641711357</v>
      </c>
      <c r="N1302" s="5">
        <v>6.3E-2</v>
      </c>
      <c r="O1302" s="5">
        <v>2.9412508250951896</v>
      </c>
      <c r="P1302" s="5">
        <v>2.9412508250951896</v>
      </c>
      <c r="Q1302" s="8">
        <v>0.20833333333333334</v>
      </c>
      <c r="R1302" s="8">
        <v>0.89027777777777783</v>
      </c>
      <c r="S1302" s="6">
        <f t="shared" si="60"/>
        <v>16.366666666666667</v>
      </c>
      <c r="T1302" s="5">
        <f t="shared" si="61"/>
        <v>0.17970982638056149</v>
      </c>
      <c r="U1302" s="3">
        <v>2.21</v>
      </c>
      <c r="V1302" s="5">
        <f t="shared" si="62"/>
        <v>8.1316663520616048E-2</v>
      </c>
      <c r="W1302" s="3">
        <v>8.1316663520616048E-2</v>
      </c>
    </row>
    <row r="1303" spans="1:23" x14ac:dyDescent="0.55000000000000004">
      <c r="A1303" s="3">
        <v>13</v>
      </c>
      <c r="B1303" s="3" t="s">
        <v>53</v>
      </c>
      <c r="C1303" s="3" t="s">
        <v>50</v>
      </c>
      <c r="D1303" s="3" t="s">
        <v>11</v>
      </c>
      <c r="E1303" s="2" t="s">
        <v>21</v>
      </c>
      <c r="F1303" s="3">
        <v>33</v>
      </c>
      <c r="G1303" s="4">
        <v>30.4</v>
      </c>
      <c r="H1303" s="4">
        <v>98.3</v>
      </c>
      <c r="I1303" s="6">
        <v>7.0203465019697626</v>
      </c>
      <c r="J1303" s="5">
        <v>5.8999999999999997E-2</v>
      </c>
      <c r="K1303" s="4">
        <v>26.5</v>
      </c>
      <c r="L1303" s="4">
        <v>53.7</v>
      </c>
      <c r="M1303" s="6">
        <v>4.1106164411610129</v>
      </c>
      <c r="N1303" s="5">
        <v>5.7000000000000002E-2</v>
      </c>
      <c r="O1303" s="5">
        <v>2.9097300608087497</v>
      </c>
      <c r="P1303" s="5">
        <v>2.9097300608087497</v>
      </c>
      <c r="Q1303" s="8">
        <v>0.20833333333333334</v>
      </c>
      <c r="R1303" s="8">
        <v>0.88194444444444453</v>
      </c>
      <c r="S1303" s="6">
        <f t="shared" si="60"/>
        <v>16.166666666666668</v>
      </c>
      <c r="T1303" s="5">
        <f t="shared" si="61"/>
        <v>0.17998330273043811</v>
      </c>
      <c r="U1303" s="3">
        <v>2.21</v>
      </c>
      <c r="V1303" s="5">
        <f t="shared" si="62"/>
        <v>8.1440408475311366E-2</v>
      </c>
      <c r="W1303" s="3">
        <v>8.1440408475311366E-2</v>
      </c>
    </row>
    <row r="1304" spans="1:23" x14ac:dyDescent="0.55000000000000004">
      <c r="A1304" s="3">
        <v>17</v>
      </c>
      <c r="B1304" s="3" t="s">
        <v>52</v>
      </c>
      <c r="C1304" s="3" t="s">
        <v>50</v>
      </c>
      <c r="D1304" s="3" t="s">
        <v>12</v>
      </c>
      <c r="E1304" s="2" t="s">
        <v>22</v>
      </c>
      <c r="F1304" s="3">
        <v>37</v>
      </c>
      <c r="G1304" s="4">
        <v>29</v>
      </c>
      <c r="H1304" s="4">
        <v>104.3</v>
      </c>
      <c r="I1304" s="6">
        <v>7.6336040310856923</v>
      </c>
      <c r="J1304" s="5">
        <v>8.5000000000000006E-2</v>
      </c>
      <c r="K1304" s="4">
        <v>24.1</v>
      </c>
      <c r="L1304" s="4">
        <v>58.4</v>
      </c>
      <c r="M1304" s="6">
        <v>4.6738839397618896</v>
      </c>
      <c r="N1304" s="5">
        <v>7.8E-2</v>
      </c>
      <c r="O1304" s="5">
        <v>2.9597200913238026</v>
      </c>
      <c r="P1304" s="5">
        <v>2.9597200913238026</v>
      </c>
      <c r="Q1304" s="8">
        <v>0.20138888888888887</v>
      </c>
      <c r="R1304" s="8">
        <v>0.88541666666666663</v>
      </c>
      <c r="S1304" s="6">
        <f t="shared" si="60"/>
        <v>16.416666666666668</v>
      </c>
      <c r="T1304" s="5">
        <f t="shared" si="61"/>
        <v>0.18028751825322653</v>
      </c>
      <c r="U1304" s="3">
        <v>2.21</v>
      </c>
      <c r="V1304" s="5">
        <f t="shared" si="62"/>
        <v>8.1578062558021067E-2</v>
      </c>
      <c r="W1304" s="3">
        <v>8.1578062558021067E-2</v>
      </c>
    </row>
    <row r="1305" spans="1:23" x14ac:dyDescent="0.55000000000000004">
      <c r="A1305" s="3">
        <v>57</v>
      </c>
      <c r="B1305" s="3" t="s">
        <v>52</v>
      </c>
      <c r="C1305" s="3" t="s">
        <v>50</v>
      </c>
      <c r="D1305" s="3" t="s">
        <v>12</v>
      </c>
      <c r="E1305" s="3" t="s">
        <v>27</v>
      </c>
      <c r="F1305" s="3">
        <v>54</v>
      </c>
      <c r="G1305" s="4">
        <v>28.2</v>
      </c>
      <c r="H1305" s="4">
        <v>93.9</v>
      </c>
      <c r="I1305" s="6">
        <v>6.9707178532275149</v>
      </c>
      <c r="J1305" s="5">
        <v>5.3999999999999999E-2</v>
      </c>
      <c r="K1305" s="4">
        <v>24.9</v>
      </c>
      <c r="L1305" s="4">
        <v>50.6</v>
      </c>
      <c r="M1305" s="6">
        <v>3.9893367321060138</v>
      </c>
      <c r="N1305" s="5">
        <v>5.3999999999999999E-2</v>
      </c>
      <c r="O1305" s="5">
        <v>2.9813811211215011</v>
      </c>
      <c r="P1305" s="5">
        <v>2.9813811211215011</v>
      </c>
      <c r="Q1305" s="8">
        <v>0.20833333333333334</v>
      </c>
      <c r="R1305" s="8">
        <v>0.89583333333333337</v>
      </c>
      <c r="S1305" s="6">
        <f t="shared" si="60"/>
        <v>16.5</v>
      </c>
      <c r="T1305" s="5">
        <f t="shared" si="61"/>
        <v>0.18068976491645461</v>
      </c>
      <c r="U1305" s="3">
        <v>2.21</v>
      </c>
      <c r="V1305" s="5">
        <f t="shared" si="62"/>
        <v>8.1760074622830137E-2</v>
      </c>
      <c r="W1305" s="3">
        <v>8.1760074622830137E-2</v>
      </c>
    </row>
    <row r="1306" spans="1:23" x14ac:dyDescent="0.55000000000000004">
      <c r="A1306" s="3">
        <v>17</v>
      </c>
      <c r="B1306" s="3" t="s">
        <v>52</v>
      </c>
      <c r="C1306" s="3" t="s">
        <v>50</v>
      </c>
      <c r="D1306" s="3" t="s">
        <v>12</v>
      </c>
      <c r="E1306" s="2" t="s">
        <v>19</v>
      </c>
      <c r="F1306" s="3">
        <v>26</v>
      </c>
      <c r="G1306" s="4">
        <v>20.100000000000001</v>
      </c>
      <c r="H1306" s="4">
        <v>101.9</v>
      </c>
      <c r="I1306" s="6">
        <v>8.8134566590965839</v>
      </c>
      <c r="J1306" s="5">
        <v>6.4000000000000001E-2</v>
      </c>
      <c r="K1306" s="4">
        <v>22.2</v>
      </c>
      <c r="L1306" s="4">
        <v>70.8</v>
      </c>
      <c r="M1306" s="6">
        <v>5.8758040954940691</v>
      </c>
      <c r="N1306" s="5">
        <v>5.8999999999999997E-2</v>
      </c>
      <c r="O1306" s="5">
        <v>2.9376525636025148</v>
      </c>
      <c r="P1306" s="5">
        <v>2.9376525636025148</v>
      </c>
      <c r="Q1306" s="8">
        <v>0.20833333333333334</v>
      </c>
      <c r="R1306" s="8">
        <v>0.88541666666666663</v>
      </c>
      <c r="S1306" s="6">
        <f t="shared" si="60"/>
        <v>16.25</v>
      </c>
      <c r="T1306" s="5">
        <f t="shared" si="61"/>
        <v>0.1807786192986163</v>
      </c>
      <c r="U1306" s="3">
        <v>2.21</v>
      </c>
      <c r="V1306" s="5">
        <f t="shared" si="62"/>
        <v>8.1800280225618235E-2</v>
      </c>
      <c r="W1306" s="3">
        <v>8.1800280225618235E-2</v>
      </c>
    </row>
    <row r="1307" spans="1:23" x14ac:dyDescent="0.55000000000000004">
      <c r="A1307" s="3">
        <v>36</v>
      </c>
      <c r="B1307" s="3" t="s">
        <v>52</v>
      </c>
      <c r="C1307" s="3" t="s">
        <v>50</v>
      </c>
      <c r="D1307" s="3" t="s">
        <v>12</v>
      </c>
      <c r="E1307" s="3" t="s">
        <v>26</v>
      </c>
      <c r="F1307" s="3">
        <v>51</v>
      </c>
      <c r="G1307" s="4">
        <v>26.7</v>
      </c>
      <c r="H1307" s="4">
        <v>87.6</v>
      </c>
      <c r="I1307" s="6">
        <v>6.681192445137623</v>
      </c>
      <c r="J1307" s="5">
        <v>6.2E-2</v>
      </c>
      <c r="K1307" s="4">
        <v>24.3</v>
      </c>
      <c r="L1307" s="4">
        <v>47.5</v>
      </c>
      <c r="M1307" s="6">
        <v>3.7872430882030601</v>
      </c>
      <c r="N1307" s="5">
        <v>6.3E-2</v>
      </c>
      <c r="O1307" s="5">
        <v>2.8939493569345629</v>
      </c>
      <c r="P1307" s="5">
        <v>2.8939493569345629</v>
      </c>
      <c r="Q1307" s="8">
        <v>0.20833333333333334</v>
      </c>
      <c r="R1307" s="8">
        <v>0.875</v>
      </c>
      <c r="S1307" s="6">
        <f t="shared" si="60"/>
        <v>16</v>
      </c>
      <c r="T1307" s="5">
        <f t="shared" si="61"/>
        <v>0.18087183480841018</v>
      </c>
      <c r="U1307" s="3">
        <v>2.21</v>
      </c>
      <c r="V1307" s="5">
        <f t="shared" si="62"/>
        <v>8.1842459189325881E-2</v>
      </c>
      <c r="W1307" s="3">
        <v>8.1842459189325881E-2</v>
      </c>
    </row>
    <row r="1308" spans="1:23" x14ac:dyDescent="0.55000000000000004">
      <c r="A1308" s="3">
        <v>46</v>
      </c>
      <c r="B1308" s="3" t="s">
        <v>51</v>
      </c>
      <c r="C1308" s="3" t="s">
        <v>49</v>
      </c>
      <c r="D1308" s="3" t="s">
        <v>39</v>
      </c>
      <c r="E1308" s="3" t="s">
        <v>29</v>
      </c>
      <c r="F1308" s="3">
        <v>61</v>
      </c>
      <c r="G1308" s="4">
        <v>29.8</v>
      </c>
      <c r="H1308" s="4">
        <v>118.1</v>
      </c>
      <c r="I1308" s="6">
        <v>8.5229873404290188</v>
      </c>
      <c r="J1308" s="5">
        <v>6.4000000000000001E-2</v>
      </c>
      <c r="K1308" s="4">
        <v>25.4</v>
      </c>
      <c r="L1308" s="4">
        <v>70.900000000000006</v>
      </c>
      <c r="M1308" s="6">
        <v>5.5381017296304549</v>
      </c>
      <c r="N1308" s="5">
        <v>5.3999999999999999E-2</v>
      </c>
      <c r="O1308" s="5">
        <v>2.984885610798564</v>
      </c>
      <c r="P1308" s="5">
        <v>2.984885610798564</v>
      </c>
      <c r="Q1308" s="8">
        <v>0.19791666666666666</v>
      </c>
      <c r="R1308" s="8">
        <v>0.88541666666666663</v>
      </c>
      <c r="S1308" s="6">
        <f t="shared" si="60"/>
        <v>16.5</v>
      </c>
      <c r="T1308" s="5">
        <f t="shared" si="61"/>
        <v>0.18090215823021599</v>
      </c>
      <c r="U1308" s="3">
        <v>2.21</v>
      </c>
      <c r="V1308" s="5">
        <f t="shared" si="62"/>
        <v>8.185618019466788E-2</v>
      </c>
      <c r="W1308" s="3">
        <v>8.185618019466788E-2</v>
      </c>
    </row>
    <row r="1309" spans="1:23" x14ac:dyDescent="0.55000000000000004">
      <c r="A1309" s="3">
        <v>20</v>
      </c>
      <c r="B1309" s="3" t="s">
        <v>52</v>
      </c>
      <c r="C1309" s="3" t="s">
        <v>50</v>
      </c>
      <c r="D1309" s="3" t="s">
        <v>12</v>
      </c>
      <c r="E1309" s="3" t="s">
        <v>29</v>
      </c>
      <c r="F1309" s="3">
        <v>61</v>
      </c>
      <c r="G1309" s="4">
        <v>29.9</v>
      </c>
      <c r="H1309" s="4">
        <v>86.6</v>
      </c>
      <c r="I1309" s="6">
        <v>6.2388032327204872</v>
      </c>
      <c r="J1309" s="5">
        <v>3.6999999999999998E-2</v>
      </c>
      <c r="K1309" s="4">
        <v>25.6</v>
      </c>
      <c r="L1309" s="4">
        <v>41.8</v>
      </c>
      <c r="M1309" s="6">
        <v>3.2530031924286122</v>
      </c>
      <c r="N1309" s="5">
        <v>3.5999999999999997E-2</v>
      </c>
      <c r="O1309" s="5">
        <v>2.985800040291875</v>
      </c>
      <c r="P1309" s="5">
        <v>2.985800040291875</v>
      </c>
      <c r="Q1309" s="8">
        <v>0.19791666666666666</v>
      </c>
      <c r="R1309" s="8">
        <v>0.88541666666666663</v>
      </c>
      <c r="S1309" s="6">
        <f t="shared" si="60"/>
        <v>16.5</v>
      </c>
      <c r="T1309" s="5">
        <f t="shared" si="61"/>
        <v>0.18095757819950758</v>
      </c>
      <c r="U1309" s="3">
        <v>2.21</v>
      </c>
      <c r="V1309" s="5">
        <f t="shared" si="62"/>
        <v>8.1881257103849581E-2</v>
      </c>
      <c r="W1309" s="3">
        <v>8.1881257103849581E-2</v>
      </c>
    </row>
    <row r="1310" spans="1:23" x14ac:dyDescent="0.55000000000000004">
      <c r="A1310" s="3">
        <v>50</v>
      </c>
      <c r="B1310" s="3" t="s">
        <v>53</v>
      </c>
      <c r="C1310" s="3" t="s">
        <v>50</v>
      </c>
      <c r="D1310" s="3" t="s">
        <v>11</v>
      </c>
      <c r="E1310" s="2" t="s">
        <v>22</v>
      </c>
      <c r="F1310" s="3">
        <v>37</v>
      </c>
      <c r="G1310" s="4">
        <v>30.7</v>
      </c>
      <c r="H1310" s="4">
        <v>107.7</v>
      </c>
      <c r="I1310" s="6">
        <v>7.6518265825502434</v>
      </c>
      <c r="J1310" s="5">
        <v>5.3999999999999999E-2</v>
      </c>
      <c r="K1310" s="4">
        <v>25.6</v>
      </c>
      <c r="L1310" s="4">
        <v>60.1</v>
      </c>
      <c r="M1310" s="6">
        <v>4.6771648771521441</v>
      </c>
      <c r="N1310" s="5">
        <v>4.9000000000000002E-2</v>
      </c>
      <c r="O1310" s="5">
        <v>2.9746617053980993</v>
      </c>
      <c r="P1310" s="5">
        <v>2.9746617053980993</v>
      </c>
      <c r="Q1310" s="8">
        <v>0.20138888888888887</v>
      </c>
      <c r="R1310" s="8">
        <v>0.88541666666666663</v>
      </c>
      <c r="S1310" s="6">
        <f t="shared" si="60"/>
        <v>16.416666666666668</v>
      </c>
      <c r="T1310" s="5">
        <f t="shared" si="61"/>
        <v>0.18119766733389436</v>
      </c>
      <c r="U1310" s="3">
        <v>2.21</v>
      </c>
      <c r="V1310" s="5">
        <f t="shared" si="62"/>
        <v>8.1989894721219175E-2</v>
      </c>
      <c r="W1310" s="3">
        <v>8.1989894721219175E-2</v>
      </c>
    </row>
    <row r="1311" spans="1:23" x14ac:dyDescent="0.55000000000000004">
      <c r="A1311" s="3">
        <v>59</v>
      </c>
      <c r="B1311" s="3" t="s">
        <v>52</v>
      </c>
      <c r="C1311" s="3" t="s">
        <v>49</v>
      </c>
      <c r="D1311" s="3" t="s">
        <v>40</v>
      </c>
      <c r="E1311" s="3" t="s">
        <v>29</v>
      </c>
      <c r="F1311" s="3">
        <v>61</v>
      </c>
      <c r="G1311" s="4">
        <v>30.3</v>
      </c>
      <c r="H1311" s="4">
        <v>110.5</v>
      </c>
      <c r="I1311" s="6">
        <v>7.9053494682831422</v>
      </c>
      <c r="J1311" s="5">
        <v>6.0999999999999999E-2</v>
      </c>
      <c r="K1311" s="4">
        <v>25.8</v>
      </c>
      <c r="L1311" s="4">
        <v>63.3</v>
      </c>
      <c r="M1311" s="6">
        <v>4.9080592500256754</v>
      </c>
      <c r="N1311" s="5">
        <v>6.5000000000000002E-2</v>
      </c>
      <c r="O1311" s="5">
        <v>2.9972902182574668</v>
      </c>
      <c r="P1311" s="5">
        <v>2.9972902182574668</v>
      </c>
      <c r="Q1311" s="8">
        <v>0.19791666666666666</v>
      </c>
      <c r="R1311" s="8">
        <v>0.88541666666666663</v>
      </c>
      <c r="S1311" s="6">
        <f t="shared" si="60"/>
        <v>16.5</v>
      </c>
      <c r="T1311" s="5">
        <f t="shared" si="61"/>
        <v>0.18165395262166464</v>
      </c>
      <c r="U1311" s="3">
        <v>2.21</v>
      </c>
      <c r="V1311" s="5">
        <f t="shared" si="62"/>
        <v>8.2196358652336945E-2</v>
      </c>
      <c r="W1311" s="3">
        <v>8.2196358652336945E-2</v>
      </c>
    </row>
    <row r="1312" spans="1:23" x14ac:dyDescent="0.55000000000000004">
      <c r="A1312" s="3">
        <v>20</v>
      </c>
      <c r="B1312" s="3" t="s">
        <v>52</v>
      </c>
      <c r="C1312" s="3" t="s">
        <v>50</v>
      </c>
      <c r="D1312" s="3" t="s">
        <v>12</v>
      </c>
      <c r="E1312" s="3" t="s">
        <v>34</v>
      </c>
      <c r="F1312" s="3">
        <v>79</v>
      </c>
      <c r="G1312" s="4">
        <v>29.1</v>
      </c>
      <c r="H1312" s="4">
        <v>87.4</v>
      </c>
      <c r="I1312" s="6">
        <v>6.3854337560224215</v>
      </c>
      <c r="J1312" s="5">
        <v>4.8000000000000001E-2</v>
      </c>
      <c r="K1312" s="4">
        <v>25.7</v>
      </c>
      <c r="L1312" s="4">
        <v>44.2</v>
      </c>
      <c r="M1312" s="6">
        <v>3.4334353369797093</v>
      </c>
      <c r="N1312" s="5">
        <v>4.4999999999999998E-2</v>
      </c>
      <c r="O1312" s="5">
        <v>2.9519984190427122</v>
      </c>
      <c r="P1312" s="5">
        <v>2.9519984190427122</v>
      </c>
      <c r="Q1312" s="8">
        <v>0.20833333333333334</v>
      </c>
      <c r="R1312" s="8">
        <v>0.88541666666666663</v>
      </c>
      <c r="S1312" s="6">
        <f t="shared" si="60"/>
        <v>16.25</v>
      </c>
      <c r="T1312" s="5">
        <f t="shared" si="61"/>
        <v>0.1816614411718592</v>
      </c>
      <c r="U1312" s="3">
        <v>2.21</v>
      </c>
      <c r="V1312" s="5">
        <f t="shared" si="62"/>
        <v>8.219974713658787E-2</v>
      </c>
      <c r="W1312" s="3">
        <v>8.219974713658787E-2</v>
      </c>
    </row>
    <row r="1313" spans="1:23" x14ac:dyDescent="0.55000000000000004">
      <c r="A1313" s="3">
        <v>35</v>
      </c>
      <c r="B1313" s="3" t="s">
        <v>51</v>
      </c>
      <c r="C1313" s="3" t="s">
        <v>50</v>
      </c>
      <c r="D1313" s="3" t="s">
        <v>9</v>
      </c>
      <c r="E1313" s="3" t="s">
        <v>26</v>
      </c>
      <c r="F1313" s="3">
        <v>51</v>
      </c>
      <c r="G1313" s="4">
        <v>26.9</v>
      </c>
      <c r="H1313" s="4">
        <v>92.3</v>
      </c>
      <c r="I1313" s="6">
        <v>7.01411702833391</v>
      </c>
      <c r="J1313" s="5">
        <v>0.05</v>
      </c>
      <c r="K1313" s="4">
        <v>24.7</v>
      </c>
      <c r="L1313" s="4">
        <v>51.9</v>
      </c>
      <c r="M1313" s="6">
        <v>4.1071400108352876</v>
      </c>
      <c r="N1313" s="5">
        <v>4.4999999999999998E-2</v>
      </c>
      <c r="O1313" s="5">
        <v>2.9069770174986225</v>
      </c>
      <c r="P1313" s="5">
        <v>2.9069770174986225</v>
      </c>
      <c r="Q1313" s="8">
        <v>0.20833333333333334</v>
      </c>
      <c r="R1313" s="8">
        <v>0.875</v>
      </c>
      <c r="S1313" s="6">
        <f t="shared" si="60"/>
        <v>16</v>
      </c>
      <c r="T1313" s="5">
        <f t="shared" si="61"/>
        <v>0.1816860635936639</v>
      </c>
      <c r="U1313" s="3">
        <v>2.21</v>
      </c>
      <c r="V1313" s="5">
        <f t="shared" si="62"/>
        <v>8.2210888503920318E-2</v>
      </c>
      <c r="W1313" s="3">
        <v>8.2210888503920318E-2</v>
      </c>
    </row>
    <row r="1314" spans="1:23" x14ac:dyDescent="0.55000000000000004">
      <c r="A1314" s="3">
        <v>20</v>
      </c>
      <c r="B1314" s="3" t="s">
        <v>52</v>
      </c>
      <c r="C1314" s="3" t="s">
        <v>50</v>
      </c>
      <c r="D1314" s="3" t="s">
        <v>12</v>
      </c>
      <c r="E1314" s="3" t="s">
        <v>26</v>
      </c>
      <c r="F1314" s="3">
        <v>51</v>
      </c>
      <c r="G1314" s="4">
        <v>27.6</v>
      </c>
      <c r="H1314" s="4">
        <v>101.5</v>
      </c>
      <c r="I1314" s="6">
        <v>7.6163216806427867</v>
      </c>
      <c r="J1314" s="5">
        <v>3.9E-2</v>
      </c>
      <c r="K1314" s="4">
        <v>24.8</v>
      </c>
      <c r="L1314" s="4">
        <v>59.6</v>
      </c>
      <c r="M1314" s="6">
        <v>4.7076792526060123</v>
      </c>
      <c r="N1314" s="5">
        <v>3.6999999999999998E-2</v>
      </c>
      <c r="O1314" s="5">
        <v>2.9086424280367744</v>
      </c>
      <c r="P1314" s="5">
        <v>2.9086424280367744</v>
      </c>
      <c r="Q1314" s="8">
        <v>0.20833333333333334</v>
      </c>
      <c r="R1314" s="8">
        <v>0.875</v>
      </c>
      <c r="S1314" s="6">
        <f t="shared" si="60"/>
        <v>16</v>
      </c>
      <c r="T1314" s="5">
        <f t="shared" si="61"/>
        <v>0.1817901517522984</v>
      </c>
      <c r="U1314" s="3">
        <v>2.21</v>
      </c>
      <c r="V1314" s="5">
        <f t="shared" si="62"/>
        <v>8.2257987218234574E-2</v>
      </c>
      <c r="W1314" s="3">
        <v>8.2257987218234574E-2</v>
      </c>
    </row>
    <row r="1315" spans="1:23" x14ac:dyDescent="0.55000000000000004">
      <c r="A1315" s="3">
        <v>25</v>
      </c>
      <c r="B1315" s="3" t="s">
        <v>53</v>
      </c>
      <c r="C1315" s="3" t="s">
        <v>49</v>
      </c>
      <c r="D1315" s="3" t="s">
        <v>41</v>
      </c>
      <c r="E1315" s="3" t="s">
        <v>29</v>
      </c>
      <c r="F1315" s="3">
        <v>61</v>
      </c>
      <c r="G1315" s="4">
        <v>28.3</v>
      </c>
      <c r="H1315" s="4">
        <v>77.3</v>
      </c>
      <c r="I1315" s="6">
        <v>5.7281855126970767</v>
      </c>
      <c r="J1315" s="5">
        <v>7.8E-2</v>
      </c>
      <c r="K1315" s="4">
        <v>24.5</v>
      </c>
      <c r="L1315" s="4">
        <v>34.200000000000003</v>
      </c>
      <c r="M1315" s="6">
        <v>2.7165938402430321</v>
      </c>
      <c r="N1315" s="5">
        <v>7.4999999999999997E-2</v>
      </c>
      <c r="O1315" s="5">
        <v>3.0115916724540446</v>
      </c>
      <c r="P1315" s="5">
        <v>3.0115916724540446</v>
      </c>
      <c r="Q1315" s="8">
        <v>0.19791666666666666</v>
      </c>
      <c r="R1315" s="8">
        <v>0.88541666666666663</v>
      </c>
      <c r="S1315" s="6">
        <f t="shared" si="60"/>
        <v>16.5</v>
      </c>
      <c r="T1315" s="5">
        <f t="shared" si="61"/>
        <v>0.18252070742145723</v>
      </c>
      <c r="U1315" s="3">
        <v>2.21</v>
      </c>
      <c r="V1315" s="5">
        <f t="shared" si="62"/>
        <v>8.2588555394324539E-2</v>
      </c>
      <c r="W1315" s="3">
        <v>8.2588555394324539E-2</v>
      </c>
    </row>
    <row r="1316" spans="1:23" x14ac:dyDescent="0.55000000000000004">
      <c r="A1316" s="3">
        <v>39</v>
      </c>
      <c r="B1316" s="3" t="s">
        <v>51</v>
      </c>
      <c r="C1316" s="3" t="s">
        <v>50</v>
      </c>
      <c r="D1316" s="3" t="s">
        <v>9</v>
      </c>
      <c r="E1316" s="2" t="s">
        <v>21</v>
      </c>
      <c r="F1316" s="3">
        <v>33</v>
      </c>
      <c r="G1316" s="4">
        <v>30.7</v>
      </c>
      <c r="H1316" s="4">
        <v>109</v>
      </c>
      <c r="I1316" s="6">
        <v>7.7441884633052602</v>
      </c>
      <c r="J1316" s="5">
        <v>5.1999999999999998E-2</v>
      </c>
      <c r="K1316" s="4">
        <v>26.7</v>
      </c>
      <c r="L1316" s="4">
        <v>62.8</v>
      </c>
      <c r="M1316" s="6">
        <v>4.7897133054182959</v>
      </c>
      <c r="N1316" s="5">
        <v>4.8000000000000001E-2</v>
      </c>
      <c r="O1316" s="5">
        <v>2.9544751578869644</v>
      </c>
      <c r="P1316" s="5">
        <v>2.9544751578869644</v>
      </c>
      <c r="Q1316" s="8">
        <v>0.20833333333333334</v>
      </c>
      <c r="R1316" s="8">
        <v>0.88194444444444453</v>
      </c>
      <c r="S1316" s="6">
        <f t="shared" si="60"/>
        <v>16.166666666666668</v>
      </c>
      <c r="T1316" s="5">
        <f t="shared" si="61"/>
        <v>0.18275104069403902</v>
      </c>
      <c r="U1316" s="3">
        <v>2.21</v>
      </c>
      <c r="V1316" s="5">
        <f t="shared" si="62"/>
        <v>8.269277859458779E-2</v>
      </c>
      <c r="W1316" s="3">
        <v>8.269277859458779E-2</v>
      </c>
    </row>
    <row r="1317" spans="1:23" x14ac:dyDescent="0.55000000000000004">
      <c r="A1317" s="3">
        <v>18</v>
      </c>
      <c r="B1317" s="3" t="s">
        <v>51</v>
      </c>
      <c r="C1317" s="3" t="s">
        <v>50</v>
      </c>
      <c r="D1317" s="3" t="s">
        <v>9</v>
      </c>
      <c r="E1317" s="3" t="s">
        <v>34</v>
      </c>
      <c r="F1317" s="3">
        <v>79</v>
      </c>
      <c r="G1317" s="4">
        <v>29.4</v>
      </c>
      <c r="H1317" s="4">
        <v>100.5</v>
      </c>
      <c r="I1317" s="6">
        <v>7.3038506446284499</v>
      </c>
      <c r="J1317" s="5">
        <v>7.4999999999999997E-2</v>
      </c>
      <c r="K1317" s="4">
        <v>26</v>
      </c>
      <c r="L1317" s="4">
        <v>56</v>
      </c>
      <c r="M1317" s="6">
        <v>4.3260977918686532</v>
      </c>
      <c r="N1317" s="5">
        <v>6.9000000000000006E-2</v>
      </c>
      <c r="O1317" s="5">
        <v>2.9777528527597967</v>
      </c>
      <c r="P1317" s="5">
        <v>2.9777528527597967</v>
      </c>
      <c r="Q1317" s="8">
        <v>0.20833333333333334</v>
      </c>
      <c r="R1317" s="8">
        <v>0.88541666666666663</v>
      </c>
      <c r="S1317" s="6">
        <f t="shared" si="60"/>
        <v>16.25</v>
      </c>
      <c r="T1317" s="5">
        <f t="shared" si="61"/>
        <v>0.18324632940060287</v>
      </c>
      <c r="U1317" s="3">
        <v>2.21</v>
      </c>
      <c r="V1317" s="5">
        <f t="shared" si="62"/>
        <v>8.2916891131494516E-2</v>
      </c>
      <c r="W1317" s="3">
        <v>8.2916891131494516E-2</v>
      </c>
    </row>
    <row r="1318" spans="1:23" x14ac:dyDescent="0.55000000000000004">
      <c r="A1318" s="3">
        <v>12</v>
      </c>
      <c r="B1318" s="3" t="s">
        <v>53</v>
      </c>
      <c r="C1318" s="3" t="s">
        <v>50</v>
      </c>
      <c r="D1318" s="3" t="s">
        <v>11</v>
      </c>
      <c r="E1318" s="2" t="s">
        <v>23</v>
      </c>
      <c r="F1318" s="3">
        <v>40</v>
      </c>
      <c r="G1318" s="4">
        <v>29.2</v>
      </c>
      <c r="H1318" s="4">
        <v>112.6</v>
      </c>
      <c r="I1318" s="6">
        <v>8.212057801778716</v>
      </c>
      <c r="J1318" s="5">
        <v>5.8000000000000003E-2</v>
      </c>
      <c r="K1318" s="4">
        <v>24.5</v>
      </c>
      <c r="L1318" s="4">
        <v>65.599999999999994</v>
      </c>
      <c r="M1318" s="6">
        <v>5.2107764888872188</v>
      </c>
      <c r="N1318" s="5">
        <v>5.0999999999999997E-2</v>
      </c>
      <c r="O1318" s="5">
        <v>3.0012813128914972</v>
      </c>
      <c r="P1318" s="5">
        <v>3.0012813128914972</v>
      </c>
      <c r="Q1318" s="8">
        <v>0.20833333333333334</v>
      </c>
      <c r="R1318" s="8">
        <v>0.89027777777777783</v>
      </c>
      <c r="S1318" s="6">
        <f t="shared" si="60"/>
        <v>16.366666666666667</v>
      </c>
      <c r="T1318" s="5">
        <f t="shared" si="61"/>
        <v>0.18337767695874729</v>
      </c>
      <c r="U1318" s="3">
        <v>2.21</v>
      </c>
      <c r="V1318" s="5">
        <f t="shared" si="62"/>
        <v>8.2976324415722752E-2</v>
      </c>
      <c r="W1318" s="3">
        <v>8.2976324415722752E-2</v>
      </c>
    </row>
    <row r="1319" spans="1:23" x14ac:dyDescent="0.55000000000000004">
      <c r="A1319" s="3">
        <v>36</v>
      </c>
      <c r="B1319" s="3" t="s">
        <v>52</v>
      </c>
      <c r="C1319" s="3" t="s">
        <v>50</v>
      </c>
      <c r="D1319" s="3" t="s">
        <v>12</v>
      </c>
      <c r="E1319" s="3" t="s">
        <v>27</v>
      </c>
      <c r="F1319" s="3">
        <v>54</v>
      </c>
      <c r="G1319" s="4">
        <v>27.5</v>
      </c>
      <c r="H1319" s="4">
        <v>97.1</v>
      </c>
      <c r="I1319" s="6">
        <v>7.2992785449432231</v>
      </c>
      <c r="J1319" s="5">
        <v>5.8000000000000003E-2</v>
      </c>
      <c r="K1319" s="4">
        <v>24.5</v>
      </c>
      <c r="L1319" s="4">
        <v>53.8</v>
      </c>
      <c r="M1319" s="6">
        <v>4.2734721814349452</v>
      </c>
      <c r="N1319" s="5">
        <v>5.8000000000000003E-2</v>
      </c>
      <c r="O1319" s="5">
        <v>3.0258063635082779</v>
      </c>
      <c r="P1319" s="5">
        <v>3.0258063635082779</v>
      </c>
      <c r="Q1319" s="8">
        <v>0.20833333333333334</v>
      </c>
      <c r="R1319" s="8">
        <v>0.89583333333333337</v>
      </c>
      <c r="S1319" s="6">
        <f t="shared" si="60"/>
        <v>16.5</v>
      </c>
      <c r="T1319" s="5">
        <f t="shared" si="61"/>
        <v>0.18338220384898654</v>
      </c>
      <c r="U1319" s="3">
        <v>2.21</v>
      </c>
      <c r="V1319" s="5">
        <f t="shared" si="62"/>
        <v>8.2978372782346849E-2</v>
      </c>
      <c r="W1319" s="3">
        <v>8.2978372782346849E-2</v>
      </c>
    </row>
    <row r="1320" spans="1:23" x14ac:dyDescent="0.55000000000000004">
      <c r="A1320" s="3">
        <v>61</v>
      </c>
      <c r="B1320" s="3" t="s">
        <v>53</v>
      </c>
      <c r="C1320" s="3" t="s">
        <v>50</v>
      </c>
      <c r="D1320" s="3" t="s">
        <v>11</v>
      </c>
      <c r="E1320" s="2" t="s">
        <v>21</v>
      </c>
      <c r="F1320" s="3">
        <v>33</v>
      </c>
      <c r="G1320" s="4">
        <v>30.5</v>
      </c>
      <c r="H1320" s="4">
        <v>93.7</v>
      </c>
      <c r="I1320" s="6">
        <v>6.6802359852368065</v>
      </c>
      <c r="J1320" s="5">
        <v>6.0999999999999999E-2</v>
      </c>
      <c r="K1320" s="4">
        <v>26.8</v>
      </c>
      <c r="L1320" s="4">
        <v>48.8</v>
      </c>
      <c r="M1320" s="6">
        <v>3.7151802238408682</v>
      </c>
      <c r="N1320" s="5">
        <v>5.8000000000000003E-2</v>
      </c>
      <c r="O1320" s="5">
        <v>2.9650557613959383</v>
      </c>
      <c r="P1320" s="5">
        <v>2.9650557613959383</v>
      </c>
      <c r="Q1320" s="8">
        <v>0.20833333333333334</v>
      </c>
      <c r="R1320" s="8">
        <v>0.88194444444444453</v>
      </c>
      <c r="S1320" s="6">
        <f t="shared" si="60"/>
        <v>16.166666666666668</v>
      </c>
      <c r="T1320" s="5">
        <f t="shared" si="61"/>
        <v>0.18340551101418173</v>
      </c>
      <c r="U1320" s="3">
        <v>2.21</v>
      </c>
      <c r="V1320" s="5">
        <f t="shared" si="62"/>
        <v>8.2988919010941964E-2</v>
      </c>
      <c r="W1320" s="3">
        <v>8.2988919010941964E-2</v>
      </c>
    </row>
    <row r="1321" spans="1:23" x14ac:dyDescent="0.55000000000000004">
      <c r="A1321" s="3">
        <v>57</v>
      </c>
      <c r="B1321" s="3" t="s">
        <v>52</v>
      </c>
      <c r="C1321" s="3" t="s">
        <v>50</v>
      </c>
      <c r="D1321" s="3" t="s">
        <v>12</v>
      </c>
      <c r="E1321" s="2" t="s">
        <v>25</v>
      </c>
      <c r="F1321" s="3">
        <v>47</v>
      </c>
      <c r="G1321" s="4">
        <v>28.9</v>
      </c>
      <c r="H1321" s="4">
        <v>98.5</v>
      </c>
      <c r="I1321" s="6">
        <v>7.2218570435169012</v>
      </c>
      <c r="J1321" s="5">
        <v>5.7000000000000002E-2</v>
      </c>
      <c r="K1321" s="4">
        <v>25.7</v>
      </c>
      <c r="L1321" s="4">
        <v>54</v>
      </c>
      <c r="M1321" s="6">
        <v>4.1946947555860694</v>
      </c>
      <c r="N1321" s="5">
        <v>5.2999999999999999E-2</v>
      </c>
      <c r="O1321" s="5">
        <v>3.0271622879308318</v>
      </c>
      <c r="P1321" s="5">
        <v>3.0271622879308318</v>
      </c>
      <c r="Q1321" s="8">
        <v>0.20833333333333334</v>
      </c>
      <c r="R1321" s="8">
        <v>0.89583333333333337</v>
      </c>
      <c r="S1321" s="6">
        <f t="shared" si="60"/>
        <v>16.5</v>
      </c>
      <c r="T1321" s="5">
        <f t="shared" si="61"/>
        <v>0.18346438108671709</v>
      </c>
      <c r="U1321" s="3">
        <v>2.21</v>
      </c>
      <c r="V1321" s="5">
        <f t="shared" si="62"/>
        <v>8.301555705281316E-2</v>
      </c>
      <c r="W1321" s="3">
        <v>8.301555705281316E-2</v>
      </c>
    </row>
    <row r="1322" spans="1:23" x14ac:dyDescent="0.55000000000000004">
      <c r="A1322" s="3">
        <v>13</v>
      </c>
      <c r="B1322" s="3" t="s">
        <v>53</v>
      </c>
      <c r="C1322" s="3" t="s">
        <v>50</v>
      </c>
      <c r="D1322" s="3" t="s">
        <v>11</v>
      </c>
      <c r="E1322" s="2" t="s">
        <v>19</v>
      </c>
      <c r="F1322" s="3">
        <v>26</v>
      </c>
      <c r="G1322" s="4">
        <v>21.8</v>
      </c>
      <c r="H1322" s="4">
        <v>106.5</v>
      </c>
      <c r="I1322" s="6">
        <v>8.9075492761527659</v>
      </c>
      <c r="J1322" s="5">
        <v>4.4999999999999998E-2</v>
      </c>
      <c r="K1322" s="4">
        <v>22.7</v>
      </c>
      <c r="L1322" s="4">
        <v>72.099999999999994</v>
      </c>
      <c r="M1322" s="6">
        <v>5.9262269260000675</v>
      </c>
      <c r="N1322" s="5">
        <v>4.4999999999999998E-2</v>
      </c>
      <c r="O1322" s="5">
        <v>2.9813223501526984</v>
      </c>
      <c r="P1322" s="5">
        <v>2.9813223501526984</v>
      </c>
      <c r="Q1322" s="8">
        <v>0.20833333333333334</v>
      </c>
      <c r="R1322" s="8">
        <v>0.88541666666666663</v>
      </c>
      <c r="S1322" s="6">
        <f t="shared" si="60"/>
        <v>16.25</v>
      </c>
      <c r="T1322" s="5">
        <f t="shared" si="61"/>
        <v>0.1834659907786276</v>
      </c>
      <c r="U1322" s="3">
        <v>2.21</v>
      </c>
      <c r="V1322" s="5">
        <f t="shared" si="62"/>
        <v>8.3016285420193472E-2</v>
      </c>
      <c r="W1322" s="3">
        <v>8.3016285420193472E-2</v>
      </c>
    </row>
    <row r="1323" spans="1:23" x14ac:dyDescent="0.55000000000000004">
      <c r="A1323" s="3">
        <v>29</v>
      </c>
      <c r="B1323" s="3" t="s">
        <v>52</v>
      </c>
      <c r="C1323" s="3" t="s">
        <v>50</v>
      </c>
      <c r="D1323" s="3" t="s">
        <v>12</v>
      </c>
      <c r="E1323" s="2" t="s">
        <v>21</v>
      </c>
      <c r="F1323" s="3">
        <v>33</v>
      </c>
      <c r="G1323" s="4">
        <v>30.4</v>
      </c>
      <c r="H1323" s="4">
        <v>100.5</v>
      </c>
      <c r="I1323" s="6">
        <v>7.177465141891771</v>
      </c>
      <c r="J1323" s="5">
        <v>6.8000000000000005E-2</v>
      </c>
      <c r="K1323" s="4">
        <v>26.3</v>
      </c>
      <c r="L1323" s="4">
        <v>54.8</v>
      </c>
      <c r="M1323" s="6">
        <v>4.2101762041599722</v>
      </c>
      <c r="N1323" s="5">
        <v>6.6000000000000003E-2</v>
      </c>
      <c r="O1323" s="5">
        <v>2.9672889377317988</v>
      </c>
      <c r="P1323" s="5">
        <v>2.9672889377317988</v>
      </c>
      <c r="Q1323" s="8">
        <v>0.20833333333333334</v>
      </c>
      <c r="R1323" s="8">
        <v>0.88194444444444453</v>
      </c>
      <c r="S1323" s="6">
        <f t="shared" si="60"/>
        <v>16.166666666666668</v>
      </c>
      <c r="T1323" s="5">
        <f t="shared" si="61"/>
        <v>0.18354364563289477</v>
      </c>
      <c r="U1323" s="3">
        <v>2.21</v>
      </c>
      <c r="V1323" s="5">
        <f t="shared" si="62"/>
        <v>8.3051423363300805E-2</v>
      </c>
      <c r="W1323" s="3">
        <v>8.3051423363300805E-2</v>
      </c>
    </row>
    <row r="1324" spans="1:23" x14ac:dyDescent="0.55000000000000004">
      <c r="A1324" s="3">
        <v>41</v>
      </c>
      <c r="B1324" s="3" t="s">
        <v>51</v>
      </c>
      <c r="C1324" s="3" t="s">
        <v>50</v>
      </c>
      <c r="D1324" s="3" t="s">
        <v>9</v>
      </c>
      <c r="E1324" s="2" t="s">
        <v>23</v>
      </c>
      <c r="F1324" s="3">
        <v>40</v>
      </c>
      <c r="G1324" s="4">
        <v>28.8</v>
      </c>
      <c r="H1324" s="4">
        <v>114.5</v>
      </c>
      <c r="I1324" s="6">
        <v>8.4098155529663998</v>
      </c>
      <c r="J1324" s="5">
        <v>5.3999999999999999E-2</v>
      </c>
      <c r="K1324" s="4">
        <v>24.5</v>
      </c>
      <c r="L1324" s="4">
        <v>68</v>
      </c>
      <c r="M1324" s="6">
        <v>5.4014146531148004</v>
      </c>
      <c r="N1324" s="5">
        <v>4.5999999999999999E-2</v>
      </c>
      <c r="O1324" s="5">
        <v>3.0084008998515994</v>
      </c>
      <c r="P1324" s="5">
        <v>3.0084008998515994</v>
      </c>
      <c r="Q1324" s="8">
        <v>0.20833333333333334</v>
      </c>
      <c r="R1324" s="8">
        <v>0.89027777777777783</v>
      </c>
      <c r="S1324" s="6">
        <f t="shared" si="60"/>
        <v>16.366666666666667</v>
      </c>
      <c r="T1324" s="5">
        <f t="shared" si="61"/>
        <v>0.18381268227199182</v>
      </c>
      <c r="U1324" s="3">
        <v>2.21</v>
      </c>
      <c r="V1324" s="5">
        <f t="shared" si="62"/>
        <v>8.3173159399091312E-2</v>
      </c>
      <c r="W1324" s="3">
        <v>8.3173159399091312E-2</v>
      </c>
    </row>
    <row r="1325" spans="1:23" x14ac:dyDescent="0.55000000000000004">
      <c r="A1325" s="3">
        <v>50</v>
      </c>
      <c r="B1325" s="3" t="s">
        <v>53</v>
      </c>
      <c r="C1325" s="3" t="s">
        <v>50</v>
      </c>
      <c r="D1325" s="3" t="s">
        <v>11</v>
      </c>
      <c r="E1325" s="2" t="s">
        <v>24</v>
      </c>
      <c r="F1325" s="3">
        <v>44</v>
      </c>
      <c r="G1325" s="4">
        <v>25.5</v>
      </c>
      <c r="H1325" s="4">
        <v>118.2</v>
      </c>
      <c r="I1325" s="6">
        <v>9.2157010905587136</v>
      </c>
      <c r="J1325" s="5">
        <v>5.0999999999999997E-2</v>
      </c>
      <c r="K1325" s="4">
        <v>21.5</v>
      </c>
      <c r="L1325" s="4">
        <v>72.8</v>
      </c>
      <c r="M1325" s="6">
        <v>6.1246853074020775</v>
      </c>
      <c r="N1325" s="5">
        <v>0.04</v>
      </c>
      <c r="O1325" s="5">
        <v>3.0910157831566361</v>
      </c>
      <c r="P1325" s="5">
        <v>3.0910157831566361</v>
      </c>
      <c r="Q1325" s="8">
        <v>0.20277777777777781</v>
      </c>
      <c r="R1325" s="8">
        <v>0.90277777777777779</v>
      </c>
      <c r="S1325" s="6">
        <f t="shared" si="60"/>
        <v>16.799999999999997</v>
      </c>
      <c r="T1325" s="5">
        <f t="shared" si="61"/>
        <v>0.18398903471170455</v>
      </c>
      <c r="U1325" s="3">
        <v>2.21</v>
      </c>
      <c r="V1325" s="5">
        <f t="shared" si="62"/>
        <v>8.3252956883124243E-2</v>
      </c>
      <c r="W1325" s="3">
        <v>8.3252956883124243E-2</v>
      </c>
    </row>
    <row r="1326" spans="1:23" x14ac:dyDescent="0.55000000000000004">
      <c r="A1326" s="3">
        <v>9</v>
      </c>
      <c r="B1326" s="3" t="s">
        <v>48</v>
      </c>
      <c r="C1326" s="3" t="s">
        <v>50</v>
      </c>
      <c r="D1326" s="3" t="s">
        <v>10</v>
      </c>
      <c r="E1326" s="2" t="s">
        <v>21</v>
      </c>
      <c r="F1326" s="3">
        <v>33</v>
      </c>
      <c r="G1326" s="4">
        <v>30.9</v>
      </c>
      <c r="H1326" s="4">
        <v>111.5</v>
      </c>
      <c r="I1326" s="6">
        <v>7.8945112235515555</v>
      </c>
      <c r="J1326" s="5">
        <v>7.2999999999999995E-2</v>
      </c>
      <c r="K1326" s="4">
        <v>26.7</v>
      </c>
      <c r="L1326" s="4">
        <v>64.5</v>
      </c>
      <c r="M1326" s="6">
        <v>4.9193711496732497</v>
      </c>
      <c r="N1326" s="5">
        <v>6.9000000000000006E-2</v>
      </c>
      <c r="O1326" s="5">
        <v>2.9751400738783058</v>
      </c>
      <c r="P1326" s="5">
        <v>2.9751400738783058</v>
      </c>
      <c r="Q1326" s="8">
        <v>0.20833333333333334</v>
      </c>
      <c r="R1326" s="8">
        <v>0.88194444444444453</v>
      </c>
      <c r="S1326" s="6">
        <f t="shared" si="60"/>
        <v>16.166666666666668</v>
      </c>
      <c r="T1326" s="5">
        <f t="shared" si="61"/>
        <v>0.18402928292030757</v>
      </c>
      <c r="U1326" s="3">
        <v>2.21</v>
      </c>
      <c r="V1326" s="5">
        <f t="shared" si="62"/>
        <v>8.3271168742220625E-2</v>
      </c>
      <c r="W1326" s="3">
        <v>8.3271168742220625E-2</v>
      </c>
    </row>
    <row r="1327" spans="1:23" x14ac:dyDescent="0.55000000000000004">
      <c r="A1327" s="3">
        <v>25</v>
      </c>
      <c r="B1327" s="3" t="s">
        <v>53</v>
      </c>
      <c r="C1327" s="3" t="s">
        <v>49</v>
      </c>
      <c r="D1327" s="3" t="s">
        <v>41</v>
      </c>
      <c r="E1327" s="3" t="s">
        <v>27</v>
      </c>
      <c r="F1327" s="3">
        <v>54</v>
      </c>
      <c r="G1327" s="4">
        <v>27.3</v>
      </c>
      <c r="H1327" s="4">
        <v>83.9</v>
      </c>
      <c r="I1327" s="6">
        <v>6.3297813426323133</v>
      </c>
      <c r="J1327" s="5">
        <v>6.9000000000000006E-2</v>
      </c>
      <c r="K1327" s="4">
        <v>24.1</v>
      </c>
      <c r="L1327" s="4">
        <v>41.1</v>
      </c>
      <c r="M1327" s="6">
        <v>3.2893258548666728</v>
      </c>
      <c r="N1327" s="5">
        <v>6.7000000000000004E-2</v>
      </c>
      <c r="O1327" s="5">
        <v>3.0404554877656405</v>
      </c>
      <c r="P1327" s="5">
        <v>3.0404554877656405</v>
      </c>
      <c r="Q1327" s="8">
        <v>0.20833333333333334</v>
      </c>
      <c r="R1327" s="8">
        <v>0.89583333333333337</v>
      </c>
      <c r="S1327" s="6">
        <f t="shared" si="60"/>
        <v>16.5</v>
      </c>
      <c r="T1327" s="5">
        <f t="shared" si="61"/>
        <v>0.18427002956155397</v>
      </c>
      <c r="U1327" s="3">
        <v>2.21</v>
      </c>
      <c r="V1327" s="5">
        <f t="shared" si="62"/>
        <v>8.3380103874006323E-2</v>
      </c>
      <c r="W1327" s="3">
        <v>8.3380103874006323E-2</v>
      </c>
    </row>
    <row r="1328" spans="1:23" x14ac:dyDescent="0.55000000000000004">
      <c r="A1328" s="3">
        <v>10</v>
      </c>
      <c r="B1328" s="3" t="s">
        <v>51</v>
      </c>
      <c r="C1328" s="3" t="s">
        <v>49</v>
      </c>
      <c r="D1328" s="3" t="s">
        <v>39</v>
      </c>
      <c r="E1328" s="3" t="s">
        <v>34</v>
      </c>
      <c r="F1328" s="3">
        <v>79</v>
      </c>
      <c r="G1328" s="4">
        <v>29</v>
      </c>
      <c r="H1328" s="4">
        <v>95.3</v>
      </c>
      <c r="I1328" s="6">
        <v>6.9749037791224007</v>
      </c>
      <c r="J1328" s="5">
        <v>5.8999999999999997E-2</v>
      </c>
      <c r="K1328" s="4">
        <v>25.6</v>
      </c>
      <c r="L1328" s="4">
        <v>51.1</v>
      </c>
      <c r="M1328" s="6">
        <v>3.9767574912225383</v>
      </c>
      <c r="N1328" s="5">
        <v>5.1999999999999998E-2</v>
      </c>
      <c r="O1328" s="5">
        <v>2.9981462878998624</v>
      </c>
      <c r="P1328" s="5">
        <v>2.9981462878998624</v>
      </c>
      <c r="Q1328" s="8">
        <v>0.20833333333333334</v>
      </c>
      <c r="R1328" s="8">
        <v>0.88541666666666663</v>
      </c>
      <c r="S1328" s="6">
        <f t="shared" si="60"/>
        <v>16.25</v>
      </c>
      <c r="T1328" s="5">
        <f t="shared" si="61"/>
        <v>0.1845013100246069</v>
      </c>
      <c r="U1328" s="3">
        <v>2.21</v>
      </c>
      <c r="V1328" s="5">
        <f t="shared" si="62"/>
        <v>8.3484755667242949E-2</v>
      </c>
      <c r="W1328" s="3">
        <v>8.3484755667242949E-2</v>
      </c>
    </row>
    <row r="1329" spans="1:23" x14ac:dyDescent="0.55000000000000004">
      <c r="A1329" s="3">
        <v>57</v>
      </c>
      <c r="B1329" s="3" t="s">
        <v>52</v>
      </c>
      <c r="C1329" s="3" t="s">
        <v>50</v>
      </c>
      <c r="D1329" s="3" t="s">
        <v>12</v>
      </c>
      <c r="E1329" s="3" t="s">
        <v>29</v>
      </c>
      <c r="F1329" s="3">
        <v>61</v>
      </c>
      <c r="G1329" s="4">
        <v>29.6</v>
      </c>
      <c r="H1329" s="4">
        <v>94.4</v>
      </c>
      <c r="I1329" s="6">
        <v>6.836501867078324</v>
      </c>
      <c r="J1329" s="5">
        <v>5.6000000000000001E-2</v>
      </c>
      <c r="K1329" s="4">
        <v>25.6</v>
      </c>
      <c r="L1329" s="4">
        <v>48.6</v>
      </c>
      <c r="M1329" s="6">
        <v>3.7821998840198701</v>
      </c>
      <c r="N1329" s="5">
        <v>5.6000000000000001E-2</v>
      </c>
      <c r="O1329" s="5">
        <v>3.0543019830584539</v>
      </c>
      <c r="P1329" s="5">
        <v>3.0543019830584539</v>
      </c>
      <c r="Q1329" s="8">
        <v>0.19791666666666666</v>
      </c>
      <c r="R1329" s="8">
        <v>0.88541666666666663</v>
      </c>
      <c r="S1329" s="6">
        <f t="shared" si="60"/>
        <v>16.5</v>
      </c>
      <c r="T1329" s="5">
        <f t="shared" si="61"/>
        <v>0.18510921109445175</v>
      </c>
      <c r="U1329" s="3">
        <v>2.21</v>
      </c>
      <c r="V1329" s="5">
        <f t="shared" si="62"/>
        <v>8.3759824024638801E-2</v>
      </c>
      <c r="W1329" s="3">
        <v>8.3759824024638801E-2</v>
      </c>
    </row>
    <row r="1330" spans="1:23" x14ac:dyDescent="0.55000000000000004">
      <c r="A1330" s="3">
        <v>33</v>
      </c>
      <c r="B1330" s="3" t="s">
        <v>51</v>
      </c>
      <c r="C1330" s="3" t="s">
        <v>50</v>
      </c>
      <c r="D1330" s="3" t="s">
        <v>9</v>
      </c>
      <c r="E1330" s="2" t="s">
        <v>19</v>
      </c>
      <c r="F1330" s="3">
        <v>26</v>
      </c>
      <c r="G1330" s="4">
        <v>27.8</v>
      </c>
      <c r="H1330" s="4">
        <v>129.5</v>
      </c>
      <c r="I1330" s="6">
        <v>9.6825365851519436</v>
      </c>
      <c r="J1330" s="5">
        <v>0.05</v>
      </c>
      <c r="K1330" s="4">
        <v>23</v>
      </c>
      <c r="L1330" s="4">
        <v>81.5</v>
      </c>
      <c r="M1330" s="6">
        <v>6.6604001174188463</v>
      </c>
      <c r="N1330" s="5">
        <v>4.2999999999999997E-2</v>
      </c>
      <c r="O1330" s="5">
        <v>3.0221364677330973</v>
      </c>
      <c r="P1330" s="5">
        <v>3.0221364677330973</v>
      </c>
      <c r="Q1330" s="8">
        <v>0.20833333333333334</v>
      </c>
      <c r="R1330" s="8">
        <v>0.88541666666666663</v>
      </c>
      <c r="S1330" s="6">
        <f t="shared" si="60"/>
        <v>16.25</v>
      </c>
      <c r="T1330" s="5">
        <f t="shared" si="61"/>
        <v>0.18597762878357521</v>
      </c>
      <c r="U1330" s="3">
        <v>2.21</v>
      </c>
      <c r="V1330" s="5">
        <f t="shared" si="62"/>
        <v>8.4152773205237646E-2</v>
      </c>
      <c r="W1330" s="3">
        <v>8.4152773205237646E-2</v>
      </c>
    </row>
    <row r="1331" spans="1:23" x14ac:dyDescent="0.55000000000000004">
      <c r="A1331" s="3">
        <v>14</v>
      </c>
      <c r="B1331" s="3" t="s">
        <v>48</v>
      </c>
      <c r="C1331" s="3" t="s">
        <v>50</v>
      </c>
      <c r="D1331" s="3" t="s">
        <v>10</v>
      </c>
      <c r="E1331" s="3" t="s">
        <v>29</v>
      </c>
      <c r="F1331" s="3">
        <v>61</v>
      </c>
      <c r="G1331" s="4">
        <v>29.2</v>
      </c>
      <c r="H1331" s="4">
        <v>117.7</v>
      </c>
      <c r="I1331" s="6">
        <v>8.5840071338308608</v>
      </c>
      <c r="J1331" s="5">
        <v>6.7000000000000004E-2</v>
      </c>
      <c r="K1331" s="4">
        <v>25.1</v>
      </c>
      <c r="L1331" s="4">
        <v>70.2</v>
      </c>
      <c r="M1331" s="6">
        <v>5.5140382859513997</v>
      </c>
      <c r="N1331" s="5">
        <v>5.6000000000000001E-2</v>
      </c>
      <c r="O1331" s="5">
        <v>3.0699688478794611</v>
      </c>
      <c r="P1331" s="5">
        <v>3.0699688478794611</v>
      </c>
      <c r="Q1331" s="8">
        <v>0.19791666666666666</v>
      </c>
      <c r="R1331" s="8">
        <v>0.88541666666666663</v>
      </c>
      <c r="S1331" s="6">
        <f t="shared" si="60"/>
        <v>16.5</v>
      </c>
      <c r="T1331" s="5">
        <f t="shared" si="61"/>
        <v>0.18605871805330068</v>
      </c>
      <c r="U1331" s="3">
        <v>2.21</v>
      </c>
      <c r="V1331" s="5">
        <f t="shared" si="62"/>
        <v>8.4189465182489001E-2</v>
      </c>
      <c r="W1331" s="3">
        <v>8.4189465182489001E-2</v>
      </c>
    </row>
    <row r="1332" spans="1:23" x14ac:dyDescent="0.55000000000000004">
      <c r="A1332" s="3">
        <v>3</v>
      </c>
      <c r="B1332" s="3" t="s">
        <v>51</v>
      </c>
      <c r="C1332" s="3" t="s">
        <v>50</v>
      </c>
      <c r="D1332" s="3" t="s">
        <v>9</v>
      </c>
      <c r="E1332" s="3" t="s">
        <v>26</v>
      </c>
      <c r="F1332" s="3">
        <v>51</v>
      </c>
      <c r="G1332" s="4">
        <v>28.2</v>
      </c>
      <c r="H1332" s="4">
        <v>94.5</v>
      </c>
      <c r="I1332" s="6">
        <v>7.0152591813631533</v>
      </c>
      <c r="J1332" s="5">
        <v>5.0999999999999997E-2</v>
      </c>
      <c r="K1332" s="4">
        <v>24.4</v>
      </c>
      <c r="L1332" s="4">
        <v>50.7</v>
      </c>
      <c r="M1332" s="6">
        <v>4.0347950797020227</v>
      </c>
      <c r="N1332" s="5">
        <v>0.05</v>
      </c>
      <c r="O1332" s="5">
        <v>2.9804641016611306</v>
      </c>
      <c r="P1332" s="5">
        <v>2.9804641016611306</v>
      </c>
      <c r="Q1332" s="8">
        <v>0.20833333333333334</v>
      </c>
      <c r="R1332" s="8">
        <v>0.875</v>
      </c>
      <c r="S1332" s="6">
        <f t="shared" si="60"/>
        <v>16</v>
      </c>
      <c r="T1332" s="5">
        <f t="shared" si="61"/>
        <v>0.18627900635382066</v>
      </c>
      <c r="U1332" s="3">
        <v>2.21</v>
      </c>
      <c r="V1332" s="5">
        <f t="shared" si="62"/>
        <v>8.4289143146525192E-2</v>
      </c>
      <c r="W1332" s="3">
        <v>8.4289143146525192E-2</v>
      </c>
    </row>
    <row r="1333" spans="1:23" x14ac:dyDescent="0.55000000000000004">
      <c r="A1333" s="3">
        <v>62</v>
      </c>
      <c r="B1333" s="3" t="s">
        <v>52</v>
      </c>
      <c r="C1333" s="3" t="s">
        <v>49</v>
      </c>
      <c r="D1333" s="3" t="s">
        <v>40</v>
      </c>
      <c r="E1333" s="3" t="s">
        <v>30</v>
      </c>
      <c r="F1333" s="3">
        <v>65</v>
      </c>
      <c r="G1333" s="4">
        <v>26.9</v>
      </c>
      <c r="H1333" s="4">
        <v>114.9</v>
      </c>
      <c r="I1333" s="6">
        <v>8.7315498001686489</v>
      </c>
      <c r="J1333" s="5">
        <v>6.2E-2</v>
      </c>
      <c r="K1333" s="4">
        <v>23.1</v>
      </c>
      <c r="L1333" s="4">
        <v>69.900000000000006</v>
      </c>
      <c r="M1333" s="6">
        <v>5.7014959207323805</v>
      </c>
      <c r="N1333" s="5">
        <v>0.06</v>
      </c>
      <c r="O1333" s="5">
        <v>3.0300538794362684</v>
      </c>
      <c r="P1333" s="5">
        <v>3.0300538794362684</v>
      </c>
      <c r="Q1333" s="8">
        <v>0.20833333333333334</v>
      </c>
      <c r="R1333" s="8">
        <v>0.88541666666666663</v>
      </c>
      <c r="S1333" s="6">
        <f t="shared" si="60"/>
        <v>16.25</v>
      </c>
      <c r="T1333" s="5">
        <f t="shared" si="61"/>
        <v>0.18646485411915498</v>
      </c>
      <c r="U1333" s="3">
        <v>2.21</v>
      </c>
      <c r="V1333" s="5">
        <f t="shared" si="62"/>
        <v>8.4373237157988681E-2</v>
      </c>
      <c r="W1333" s="3">
        <v>8.4373237157988681E-2</v>
      </c>
    </row>
    <row r="1334" spans="1:23" x14ac:dyDescent="0.55000000000000004">
      <c r="A1334" s="3">
        <v>61</v>
      </c>
      <c r="B1334" s="3" t="s">
        <v>53</v>
      </c>
      <c r="C1334" s="3" t="s">
        <v>50</v>
      </c>
      <c r="D1334" s="3" t="s">
        <v>11</v>
      </c>
      <c r="E1334" s="3" t="s">
        <v>26</v>
      </c>
      <c r="F1334" s="3">
        <v>51</v>
      </c>
      <c r="G1334" s="4">
        <v>27.1</v>
      </c>
      <c r="H1334" s="4">
        <v>100.6</v>
      </c>
      <c r="I1334" s="6">
        <v>7.6171922967578496</v>
      </c>
      <c r="J1334" s="5">
        <v>5.5E-2</v>
      </c>
      <c r="K1334" s="4">
        <v>24.6</v>
      </c>
      <c r="L1334" s="4">
        <v>58.4</v>
      </c>
      <c r="M1334" s="6">
        <v>4.630177740633771</v>
      </c>
      <c r="N1334" s="5">
        <v>5.2999999999999999E-2</v>
      </c>
      <c r="O1334" s="5">
        <v>2.9870145561240786</v>
      </c>
      <c r="P1334" s="5">
        <v>2.9870145561240786</v>
      </c>
      <c r="Q1334" s="8">
        <v>0.20833333333333334</v>
      </c>
      <c r="R1334" s="8">
        <v>0.875</v>
      </c>
      <c r="S1334" s="6">
        <f t="shared" si="60"/>
        <v>16</v>
      </c>
      <c r="T1334" s="5">
        <f t="shared" si="61"/>
        <v>0.18668840975775491</v>
      </c>
      <c r="U1334" s="3">
        <v>2.21</v>
      </c>
      <c r="V1334" s="5">
        <f t="shared" si="62"/>
        <v>8.4474393555545216E-2</v>
      </c>
      <c r="W1334" s="3">
        <v>8.4474393555545216E-2</v>
      </c>
    </row>
    <row r="1335" spans="1:23" x14ac:dyDescent="0.55000000000000004">
      <c r="A1335" s="3">
        <v>50</v>
      </c>
      <c r="B1335" s="3" t="s">
        <v>53</v>
      </c>
      <c r="C1335" s="3" t="s">
        <v>50</v>
      </c>
      <c r="D1335" s="3" t="s">
        <v>11</v>
      </c>
      <c r="E1335" s="2" t="s">
        <v>19</v>
      </c>
      <c r="F1335" s="3">
        <v>26</v>
      </c>
      <c r="G1335" s="4">
        <v>21.5</v>
      </c>
      <c r="H1335" s="4">
        <v>111.1</v>
      </c>
      <c r="I1335" s="6">
        <v>9.3468755172028963</v>
      </c>
      <c r="J1335" s="5">
        <v>4.3999999999999997E-2</v>
      </c>
      <c r="K1335" s="4">
        <v>23.1</v>
      </c>
      <c r="L1335" s="4">
        <v>77.3</v>
      </c>
      <c r="M1335" s="6">
        <v>6.3050877635566955</v>
      </c>
      <c r="N1335" s="5">
        <v>3.9E-2</v>
      </c>
      <c r="O1335" s="5">
        <v>3.0417877536462008</v>
      </c>
      <c r="P1335" s="5">
        <v>3.0417877536462008</v>
      </c>
      <c r="Q1335" s="8">
        <v>0.20833333333333334</v>
      </c>
      <c r="R1335" s="8">
        <v>0.88541666666666663</v>
      </c>
      <c r="S1335" s="6">
        <f t="shared" si="60"/>
        <v>16.25</v>
      </c>
      <c r="T1335" s="5">
        <f t="shared" si="61"/>
        <v>0.18718693868592004</v>
      </c>
      <c r="U1335" s="3">
        <v>2.21</v>
      </c>
      <c r="V1335" s="5">
        <f t="shared" si="62"/>
        <v>8.4699972256072426E-2</v>
      </c>
      <c r="W1335" s="3">
        <v>8.4699972256072426E-2</v>
      </c>
    </row>
    <row r="1336" spans="1:23" x14ac:dyDescent="0.55000000000000004">
      <c r="A1336" s="3">
        <v>35</v>
      </c>
      <c r="B1336" s="3" t="s">
        <v>51</v>
      </c>
      <c r="C1336" s="3" t="s">
        <v>50</v>
      </c>
      <c r="D1336" s="3" t="s">
        <v>9</v>
      </c>
      <c r="E1336" s="3" t="s">
        <v>31</v>
      </c>
      <c r="F1336" s="3">
        <v>68</v>
      </c>
      <c r="G1336" s="4">
        <v>25.7</v>
      </c>
      <c r="H1336" s="4">
        <v>89.8</v>
      </c>
      <c r="I1336" s="6">
        <v>6.9756220194746126</v>
      </c>
      <c r="J1336" s="5">
        <v>5.6000000000000001E-2</v>
      </c>
      <c r="K1336" s="4">
        <v>24.3</v>
      </c>
      <c r="L1336" s="4">
        <v>49.3</v>
      </c>
      <c r="M1336" s="6">
        <v>3.9307596683875969</v>
      </c>
      <c r="N1336" s="5">
        <v>5.2999999999999999E-2</v>
      </c>
      <c r="O1336" s="5">
        <v>3.0448623510870156</v>
      </c>
      <c r="P1336" s="5">
        <v>3.0448623510870156</v>
      </c>
      <c r="Q1336" s="8">
        <v>0.20833333333333334</v>
      </c>
      <c r="R1336" s="8">
        <v>0.88541666666666663</v>
      </c>
      <c r="S1336" s="6">
        <f t="shared" si="60"/>
        <v>16.25</v>
      </c>
      <c r="T1336" s="5">
        <f t="shared" si="61"/>
        <v>0.1873761446822779</v>
      </c>
      <c r="U1336" s="3">
        <v>2.21</v>
      </c>
      <c r="V1336" s="5">
        <f t="shared" si="62"/>
        <v>8.478558582908502E-2</v>
      </c>
      <c r="W1336" s="3">
        <v>8.478558582908502E-2</v>
      </c>
    </row>
    <row r="1337" spans="1:23" x14ac:dyDescent="0.55000000000000004">
      <c r="A1337" s="3">
        <v>60</v>
      </c>
      <c r="B1337" s="3" t="s">
        <v>51</v>
      </c>
      <c r="C1337" s="3" t="s">
        <v>49</v>
      </c>
      <c r="D1337" s="3" t="s">
        <v>39</v>
      </c>
      <c r="E1337" s="2" t="s">
        <v>25</v>
      </c>
      <c r="F1337" s="3">
        <v>47</v>
      </c>
      <c r="G1337" s="4">
        <v>28.8</v>
      </c>
      <c r="H1337" s="4">
        <v>115.1</v>
      </c>
      <c r="I1337" s="6">
        <v>8.4538844554273602</v>
      </c>
      <c r="J1337" s="5">
        <v>6.4000000000000001E-2</v>
      </c>
      <c r="K1337" s="4">
        <v>25.6</v>
      </c>
      <c r="L1337" s="4">
        <v>68.900000000000006</v>
      </c>
      <c r="M1337" s="6">
        <v>5.3620076545055362</v>
      </c>
      <c r="N1337" s="5">
        <v>5.8999999999999997E-2</v>
      </c>
      <c r="O1337" s="5">
        <v>3.091876800921824</v>
      </c>
      <c r="P1337" s="5">
        <v>3.091876800921824</v>
      </c>
      <c r="Q1337" s="8">
        <v>0.20833333333333334</v>
      </c>
      <c r="R1337" s="8">
        <v>0.89583333333333337</v>
      </c>
      <c r="S1337" s="6">
        <f t="shared" si="60"/>
        <v>16.5</v>
      </c>
      <c r="T1337" s="5">
        <f t="shared" si="61"/>
        <v>0.18738647278314086</v>
      </c>
      <c r="U1337" s="3">
        <v>2.21</v>
      </c>
      <c r="V1337" s="5">
        <f t="shared" si="62"/>
        <v>8.4790259177891777E-2</v>
      </c>
      <c r="W1337" s="3">
        <v>8.4790259177891777E-2</v>
      </c>
    </row>
    <row r="1338" spans="1:23" x14ac:dyDescent="0.55000000000000004">
      <c r="A1338" s="3">
        <v>61</v>
      </c>
      <c r="B1338" s="3" t="s">
        <v>53</v>
      </c>
      <c r="C1338" s="3" t="s">
        <v>50</v>
      </c>
      <c r="D1338" s="3" t="s">
        <v>11</v>
      </c>
      <c r="E1338" s="3" t="s">
        <v>34</v>
      </c>
      <c r="F1338" s="3">
        <v>79</v>
      </c>
      <c r="G1338" s="4">
        <v>28.8</v>
      </c>
      <c r="H1338" s="4">
        <v>81.599999999999994</v>
      </c>
      <c r="I1338" s="6">
        <v>5.9933707346904654</v>
      </c>
      <c r="J1338" s="5">
        <v>4.5999999999999999E-2</v>
      </c>
      <c r="K1338" s="4">
        <v>25.3</v>
      </c>
      <c r="L1338" s="4">
        <v>37.6</v>
      </c>
      <c r="M1338" s="6">
        <v>2.9424387208618143</v>
      </c>
      <c r="N1338" s="5">
        <v>4.3999999999999997E-2</v>
      </c>
      <c r="O1338" s="5">
        <v>3.0509320138286511</v>
      </c>
      <c r="P1338" s="5">
        <v>3.0509320138286511</v>
      </c>
      <c r="Q1338" s="8">
        <v>0.20833333333333334</v>
      </c>
      <c r="R1338" s="8">
        <v>0.88541666666666663</v>
      </c>
      <c r="S1338" s="6">
        <f t="shared" si="60"/>
        <v>16.25</v>
      </c>
      <c r="T1338" s="5">
        <f t="shared" si="61"/>
        <v>0.18774966238945545</v>
      </c>
      <c r="U1338" s="3">
        <v>2.21</v>
      </c>
      <c r="V1338" s="5">
        <f t="shared" si="62"/>
        <v>8.4954598366269438E-2</v>
      </c>
      <c r="W1338" s="3">
        <v>8.4954598366269438E-2</v>
      </c>
    </row>
    <row r="1339" spans="1:23" x14ac:dyDescent="0.55000000000000004">
      <c r="A1339" s="3">
        <v>50</v>
      </c>
      <c r="B1339" s="3" t="s">
        <v>53</v>
      </c>
      <c r="C1339" s="3" t="s">
        <v>50</v>
      </c>
      <c r="D1339" s="3" t="s">
        <v>11</v>
      </c>
      <c r="E1339" s="3" t="s">
        <v>34</v>
      </c>
      <c r="F1339" s="3">
        <v>79</v>
      </c>
      <c r="G1339" s="4">
        <v>28.7</v>
      </c>
      <c r="H1339" s="4">
        <v>86.7</v>
      </c>
      <c r="I1339" s="6">
        <v>6.3792467696535224</v>
      </c>
      <c r="J1339" s="5">
        <v>4.9000000000000002E-2</v>
      </c>
      <c r="K1339" s="4">
        <v>25.4</v>
      </c>
      <c r="L1339" s="4">
        <v>42.6</v>
      </c>
      <c r="M1339" s="6">
        <v>3.3275477247144907</v>
      </c>
      <c r="N1339" s="5">
        <v>4.4999999999999998E-2</v>
      </c>
      <c r="O1339" s="5">
        <v>3.0516990449390318</v>
      </c>
      <c r="P1339" s="5">
        <v>3.0516990449390318</v>
      </c>
      <c r="Q1339" s="8">
        <v>0.20833333333333334</v>
      </c>
      <c r="R1339" s="8">
        <v>0.88541666666666663</v>
      </c>
      <c r="S1339" s="6">
        <f t="shared" si="60"/>
        <v>16.25</v>
      </c>
      <c r="T1339" s="5">
        <f t="shared" si="61"/>
        <v>0.18779686430394041</v>
      </c>
      <c r="U1339" s="3">
        <v>2.21</v>
      </c>
      <c r="V1339" s="5">
        <f t="shared" si="62"/>
        <v>8.4975956698615573E-2</v>
      </c>
      <c r="W1339" s="3">
        <v>8.4975956698615573E-2</v>
      </c>
    </row>
    <row r="1340" spans="1:23" x14ac:dyDescent="0.55000000000000004">
      <c r="A1340" s="3">
        <v>32</v>
      </c>
      <c r="B1340" s="3" t="s">
        <v>53</v>
      </c>
      <c r="C1340" s="3" t="s">
        <v>50</v>
      </c>
      <c r="D1340" s="3" t="s">
        <v>11</v>
      </c>
      <c r="E1340" s="2" t="s">
        <v>22</v>
      </c>
      <c r="F1340" s="3">
        <v>37</v>
      </c>
      <c r="G1340" s="4">
        <v>30.2</v>
      </c>
      <c r="H1340" s="4">
        <v>120.4</v>
      </c>
      <c r="I1340" s="6">
        <v>8.6285932851616103</v>
      </c>
      <c r="J1340" s="5">
        <v>6.9000000000000006E-2</v>
      </c>
      <c r="K1340" s="4">
        <v>25.2</v>
      </c>
      <c r="L1340" s="4">
        <v>70.7</v>
      </c>
      <c r="M1340" s="6">
        <v>5.5430013605616821</v>
      </c>
      <c r="N1340" s="5">
        <v>6.3E-2</v>
      </c>
      <c r="O1340" s="5">
        <v>3.0855919245999281</v>
      </c>
      <c r="P1340" s="5">
        <v>3.0855919245999281</v>
      </c>
      <c r="Q1340" s="8">
        <v>0.20138888888888887</v>
      </c>
      <c r="R1340" s="8">
        <v>0.88541666666666663</v>
      </c>
      <c r="S1340" s="6">
        <f t="shared" si="60"/>
        <v>16.416666666666668</v>
      </c>
      <c r="T1340" s="5">
        <f t="shared" si="61"/>
        <v>0.1879548380466961</v>
      </c>
      <c r="U1340" s="3">
        <v>2.21</v>
      </c>
      <c r="V1340" s="5">
        <f t="shared" si="62"/>
        <v>8.5047438030179237E-2</v>
      </c>
      <c r="W1340" s="3">
        <v>8.5047438030179237E-2</v>
      </c>
    </row>
    <row r="1341" spans="1:23" x14ac:dyDescent="0.55000000000000004">
      <c r="A1341" s="3">
        <v>64</v>
      </c>
      <c r="B1341" s="3" t="s">
        <v>53</v>
      </c>
      <c r="C1341" s="3" t="s">
        <v>50</v>
      </c>
      <c r="D1341" s="3" t="s">
        <v>11</v>
      </c>
      <c r="E1341" s="3" t="s">
        <v>26</v>
      </c>
      <c r="F1341" s="3">
        <v>51</v>
      </c>
      <c r="G1341" s="4">
        <v>26.6</v>
      </c>
      <c r="H1341" s="4">
        <v>91.7</v>
      </c>
      <c r="I1341" s="6">
        <v>7.0066444213950829</v>
      </c>
      <c r="J1341" s="5">
        <v>6.8000000000000005E-2</v>
      </c>
      <c r="K1341" s="4">
        <v>24.3</v>
      </c>
      <c r="L1341" s="4">
        <v>50.1</v>
      </c>
      <c r="M1341" s="6">
        <v>3.9945448151362801</v>
      </c>
      <c r="N1341" s="5">
        <v>6.6000000000000003E-2</v>
      </c>
      <c r="O1341" s="5">
        <v>3.0120996062588028</v>
      </c>
      <c r="P1341" s="5">
        <v>3.0120996062588028</v>
      </c>
      <c r="Q1341" s="8">
        <v>0.20833333333333334</v>
      </c>
      <c r="R1341" s="8">
        <v>0.875</v>
      </c>
      <c r="S1341" s="6">
        <f t="shared" si="60"/>
        <v>16</v>
      </c>
      <c r="T1341" s="5">
        <f t="shared" si="61"/>
        <v>0.18825622539117517</v>
      </c>
      <c r="U1341" s="3">
        <v>2.21</v>
      </c>
      <c r="V1341" s="5">
        <f t="shared" si="62"/>
        <v>8.5183812394196909E-2</v>
      </c>
      <c r="W1341" s="3">
        <v>8.5183812394196909E-2</v>
      </c>
    </row>
    <row r="1342" spans="1:23" x14ac:dyDescent="0.55000000000000004">
      <c r="A1342" s="3">
        <v>28</v>
      </c>
      <c r="B1342" s="3" t="s">
        <v>53</v>
      </c>
      <c r="C1342" s="3" t="s">
        <v>50</v>
      </c>
      <c r="D1342" s="3" t="s">
        <v>11</v>
      </c>
      <c r="E1342" s="3" t="s">
        <v>27</v>
      </c>
      <c r="F1342" s="3">
        <v>54</v>
      </c>
      <c r="G1342" s="4">
        <v>27.8</v>
      </c>
      <c r="H1342" s="4">
        <v>102.1</v>
      </c>
      <c r="I1342" s="6">
        <v>7.6338763347028058</v>
      </c>
      <c r="J1342" s="5">
        <v>6.2E-2</v>
      </c>
      <c r="K1342" s="4">
        <v>24.8</v>
      </c>
      <c r="L1342" s="4">
        <v>57.3</v>
      </c>
      <c r="M1342" s="6">
        <v>4.526007066683297</v>
      </c>
      <c r="N1342" s="5">
        <v>0.06</v>
      </c>
      <c r="O1342" s="5">
        <v>3.1078692680195088</v>
      </c>
      <c r="P1342" s="5">
        <v>3.1078692680195088</v>
      </c>
      <c r="Q1342" s="8">
        <v>0.20833333333333334</v>
      </c>
      <c r="R1342" s="8">
        <v>0.89583333333333337</v>
      </c>
      <c r="S1342" s="6">
        <f t="shared" si="60"/>
        <v>16.5</v>
      </c>
      <c r="T1342" s="5">
        <f t="shared" si="61"/>
        <v>0.18835571321330358</v>
      </c>
      <c r="U1342" s="3">
        <v>2.21</v>
      </c>
      <c r="V1342" s="5">
        <f t="shared" si="62"/>
        <v>8.5228829508282145E-2</v>
      </c>
      <c r="W1342" s="3">
        <v>8.5228829508282145E-2</v>
      </c>
    </row>
    <row r="1343" spans="1:23" x14ac:dyDescent="0.55000000000000004">
      <c r="A1343" s="3">
        <v>31</v>
      </c>
      <c r="B1343" s="3" t="s">
        <v>52</v>
      </c>
      <c r="C1343" s="3" t="s">
        <v>49</v>
      </c>
      <c r="D1343" s="3" t="s">
        <v>40</v>
      </c>
      <c r="E1343" s="3" t="s">
        <v>35</v>
      </c>
      <c r="F1343" s="3">
        <v>82</v>
      </c>
      <c r="G1343" s="4">
        <v>30.4</v>
      </c>
      <c r="H1343" s="4">
        <v>69.400000000000006</v>
      </c>
      <c r="I1343" s="6">
        <v>4.9563789139033734</v>
      </c>
      <c r="J1343" s="5">
        <v>7.2999999999999995E-2</v>
      </c>
      <c r="K1343" s="4">
        <v>26.6</v>
      </c>
      <c r="L1343" s="4">
        <v>24.8</v>
      </c>
      <c r="M1343" s="6">
        <v>1.8949267355572306</v>
      </c>
      <c r="N1343" s="5">
        <v>7.8E-2</v>
      </c>
      <c r="O1343" s="5">
        <v>3.0614521783461428</v>
      </c>
      <c r="P1343" s="5">
        <v>3.0614521783461428</v>
      </c>
      <c r="Q1343" s="8">
        <v>0.20833333333333334</v>
      </c>
      <c r="R1343" s="8">
        <v>0.88541666666666663</v>
      </c>
      <c r="S1343" s="6">
        <f t="shared" si="60"/>
        <v>16.25</v>
      </c>
      <c r="T1343" s="5">
        <f t="shared" si="61"/>
        <v>0.18839705712899341</v>
      </c>
      <c r="U1343" s="3">
        <v>2.21</v>
      </c>
      <c r="V1343" s="5">
        <f t="shared" si="62"/>
        <v>8.5247537162440448E-2</v>
      </c>
      <c r="W1343" s="3">
        <v>8.5247537162440448E-2</v>
      </c>
    </row>
    <row r="1344" spans="1:23" x14ac:dyDescent="0.55000000000000004">
      <c r="A1344" s="3">
        <v>37</v>
      </c>
      <c r="B1344" s="3" t="s">
        <v>53</v>
      </c>
      <c r="C1344" s="3" t="s">
        <v>50</v>
      </c>
      <c r="D1344" s="3" t="s">
        <v>11</v>
      </c>
      <c r="E1344" s="2" t="s">
        <v>24</v>
      </c>
      <c r="F1344" s="3">
        <v>44</v>
      </c>
      <c r="G1344" s="4">
        <v>25.9</v>
      </c>
      <c r="H1344" s="4">
        <v>115.8</v>
      </c>
      <c r="I1344" s="6">
        <v>8.9622120383651325</v>
      </c>
      <c r="J1344" s="5">
        <v>4.8000000000000001E-2</v>
      </c>
      <c r="K1344" s="4">
        <v>21.8</v>
      </c>
      <c r="L1344" s="4">
        <v>69.3</v>
      </c>
      <c r="M1344" s="6">
        <v>5.7961799515247572</v>
      </c>
      <c r="N1344" s="5">
        <v>0.04</v>
      </c>
      <c r="O1344" s="5">
        <v>3.1660320868403753</v>
      </c>
      <c r="P1344" s="5">
        <v>3.1660320868403753</v>
      </c>
      <c r="Q1344" s="8">
        <v>0.20277777777777781</v>
      </c>
      <c r="R1344" s="8">
        <v>0.90277777777777779</v>
      </c>
      <c r="S1344" s="6">
        <f t="shared" si="60"/>
        <v>16.799999999999997</v>
      </c>
      <c r="T1344" s="5">
        <f t="shared" si="61"/>
        <v>0.18845429088335569</v>
      </c>
      <c r="U1344" s="3">
        <v>2.21</v>
      </c>
      <c r="V1344" s="5">
        <f t="shared" si="62"/>
        <v>8.5273434788848732E-2</v>
      </c>
      <c r="W1344" s="3">
        <v>8.5273434788848732E-2</v>
      </c>
    </row>
    <row r="1345" spans="1:23" x14ac:dyDescent="0.55000000000000004">
      <c r="A1345" s="3">
        <v>47</v>
      </c>
      <c r="B1345" s="3" t="s">
        <v>52</v>
      </c>
      <c r="C1345" s="3" t="s">
        <v>50</v>
      </c>
      <c r="D1345" s="3" t="s">
        <v>12</v>
      </c>
      <c r="E1345" s="3" t="s">
        <v>29</v>
      </c>
      <c r="F1345" s="3">
        <v>61</v>
      </c>
      <c r="G1345" s="4">
        <v>29.6</v>
      </c>
      <c r="H1345" s="4">
        <v>93.4</v>
      </c>
      <c r="I1345" s="6">
        <v>6.7640812964524946</v>
      </c>
      <c r="J1345" s="5">
        <v>6.6000000000000003E-2</v>
      </c>
      <c r="K1345" s="4">
        <v>25.3</v>
      </c>
      <c r="L1345" s="4">
        <v>46.7</v>
      </c>
      <c r="M1345" s="6">
        <v>3.6545714963895408</v>
      </c>
      <c r="N1345" s="5">
        <v>6.2E-2</v>
      </c>
      <c r="O1345" s="5">
        <v>3.1095098000629537</v>
      </c>
      <c r="P1345" s="5">
        <v>3.1095098000629537</v>
      </c>
      <c r="Q1345" s="8">
        <v>0.19791666666666666</v>
      </c>
      <c r="R1345" s="8">
        <v>0.88541666666666663</v>
      </c>
      <c r="S1345" s="6">
        <f t="shared" si="60"/>
        <v>16.5</v>
      </c>
      <c r="T1345" s="5">
        <f t="shared" si="61"/>
        <v>0.18845513939775477</v>
      </c>
      <c r="U1345" s="3">
        <v>2.21</v>
      </c>
      <c r="V1345" s="5">
        <f t="shared" si="62"/>
        <v>8.5273818732015727E-2</v>
      </c>
      <c r="W1345" s="3">
        <v>8.5273818732015727E-2</v>
      </c>
    </row>
    <row r="1346" spans="1:23" x14ac:dyDescent="0.55000000000000004">
      <c r="A1346" s="3">
        <v>26</v>
      </c>
      <c r="B1346" s="3" t="s">
        <v>52</v>
      </c>
      <c r="C1346" s="3" t="s">
        <v>50</v>
      </c>
      <c r="D1346" s="3" t="s">
        <v>12</v>
      </c>
      <c r="E1346" s="3" t="s">
        <v>27</v>
      </c>
      <c r="F1346" s="3">
        <v>54</v>
      </c>
      <c r="G1346" s="4">
        <v>28</v>
      </c>
      <c r="H1346" s="4">
        <v>100</v>
      </c>
      <c r="I1346" s="6">
        <v>7.4501258921245217</v>
      </c>
      <c r="J1346" s="5">
        <v>3.9E-2</v>
      </c>
      <c r="K1346" s="4">
        <v>25.1</v>
      </c>
      <c r="L1346" s="4">
        <v>55.2</v>
      </c>
      <c r="M1346" s="6">
        <v>4.3358249769874257</v>
      </c>
      <c r="N1346" s="5">
        <v>3.9E-2</v>
      </c>
      <c r="O1346" s="5">
        <v>3.1143009151370959</v>
      </c>
      <c r="P1346" s="5">
        <v>3.1143009151370959</v>
      </c>
      <c r="Q1346" s="8">
        <v>0.20833333333333334</v>
      </c>
      <c r="R1346" s="8">
        <v>0.89583333333333337</v>
      </c>
      <c r="S1346" s="6">
        <f t="shared" ref="S1346:S1409" si="63">(R1346-Q1346)*24</f>
        <v>16.5</v>
      </c>
      <c r="T1346" s="5">
        <f t="shared" ref="T1346:T1409" si="64">P1346/S1346</f>
        <v>0.18874551000830886</v>
      </c>
      <c r="U1346" s="3">
        <v>2.21</v>
      </c>
      <c r="V1346" s="5">
        <f t="shared" ref="V1346:V1409" si="65">(I1346-M1346)/U1346/S1346</f>
        <v>8.5405208148556039E-2</v>
      </c>
      <c r="W1346" s="3">
        <v>8.5405208148556039E-2</v>
      </c>
    </row>
    <row r="1347" spans="1:23" x14ac:dyDescent="0.55000000000000004">
      <c r="A1347" s="3">
        <v>23</v>
      </c>
      <c r="B1347" s="3" t="s">
        <v>52</v>
      </c>
      <c r="C1347" s="3" t="s">
        <v>49</v>
      </c>
      <c r="D1347" s="3" t="s">
        <v>40</v>
      </c>
      <c r="E1347" s="2" t="s">
        <v>25</v>
      </c>
      <c r="F1347" s="3">
        <v>47</v>
      </c>
      <c r="G1347" s="4">
        <v>28.3</v>
      </c>
      <c r="H1347" s="4">
        <v>90.1</v>
      </c>
      <c r="I1347" s="6">
        <v>6.6767078226909007</v>
      </c>
      <c r="J1347" s="5">
        <v>7.8E-2</v>
      </c>
      <c r="K1347" s="4">
        <v>25</v>
      </c>
      <c r="L1347" s="4">
        <v>45.2</v>
      </c>
      <c r="M1347" s="6">
        <v>3.5569626209778615</v>
      </c>
      <c r="N1347" s="5">
        <v>7.3999999999999996E-2</v>
      </c>
      <c r="O1347" s="5">
        <v>3.1197452017130392</v>
      </c>
      <c r="P1347" s="5">
        <v>3.1197452017130392</v>
      </c>
      <c r="Q1347" s="8">
        <v>0.20833333333333334</v>
      </c>
      <c r="R1347" s="8">
        <v>0.89583333333333337</v>
      </c>
      <c r="S1347" s="6">
        <f t="shared" si="63"/>
        <v>16.5</v>
      </c>
      <c r="T1347" s="5">
        <f t="shared" si="64"/>
        <v>0.18907546677048723</v>
      </c>
      <c r="U1347" s="3">
        <v>2.21</v>
      </c>
      <c r="V1347" s="5">
        <f t="shared" si="65"/>
        <v>8.5554509850899185E-2</v>
      </c>
      <c r="W1347" s="3">
        <v>8.5554509850899185E-2</v>
      </c>
    </row>
    <row r="1348" spans="1:23" x14ac:dyDescent="0.55000000000000004">
      <c r="A1348" s="3">
        <v>12</v>
      </c>
      <c r="B1348" s="3" t="s">
        <v>53</v>
      </c>
      <c r="C1348" s="3" t="s">
        <v>50</v>
      </c>
      <c r="D1348" s="3" t="s">
        <v>11</v>
      </c>
      <c r="E1348" s="2" t="s">
        <v>21</v>
      </c>
      <c r="F1348" s="3">
        <v>33</v>
      </c>
      <c r="G1348" s="4">
        <v>30.4</v>
      </c>
      <c r="H1348" s="4">
        <v>108.5</v>
      </c>
      <c r="I1348" s="6">
        <v>7.7488056506990768</v>
      </c>
      <c r="J1348" s="5">
        <v>6.9000000000000006E-2</v>
      </c>
      <c r="K1348" s="4">
        <v>26.3</v>
      </c>
      <c r="L1348" s="4">
        <v>61</v>
      </c>
      <c r="M1348" s="6">
        <v>4.6865100082802611</v>
      </c>
      <c r="N1348" s="5">
        <v>6.6000000000000003E-2</v>
      </c>
      <c r="O1348" s="5">
        <v>3.0622956424188157</v>
      </c>
      <c r="P1348" s="5">
        <v>3.0622956424188157</v>
      </c>
      <c r="Q1348" s="8">
        <v>0.20833333333333334</v>
      </c>
      <c r="R1348" s="8">
        <v>0.88194444444444453</v>
      </c>
      <c r="S1348" s="6">
        <f t="shared" si="63"/>
        <v>16.166666666666668</v>
      </c>
      <c r="T1348" s="5">
        <f t="shared" si="64"/>
        <v>0.18942034901559685</v>
      </c>
      <c r="U1348" s="3">
        <v>2.21</v>
      </c>
      <c r="V1348" s="5">
        <f t="shared" si="65"/>
        <v>8.5710565165428437E-2</v>
      </c>
      <c r="W1348" s="3">
        <v>8.5710565165428437E-2</v>
      </c>
    </row>
    <row r="1349" spans="1:23" x14ac:dyDescent="0.55000000000000004">
      <c r="A1349" s="3">
        <v>17</v>
      </c>
      <c r="B1349" s="3" t="s">
        <v>52</v>
      </c>
      <c r="C1349" s="3" t="s">
        <v>50</v>
      </c>
      <c r="D1349" s="3" t="s">
        <v>12</v>
      </c>
      <c r="E1349" s="3" t="s">
        <v>29</v>
      </c>
      <c r="F1349" s="3">
        <v>61</v>
      </c>
      <c r="G1349" s="4">
        <v>28</v>
      </c>
      <c r="H1349" s="4">
        <v>100.7</v>
      </c>
      <c r="I1349" s="6">
        <v>7.5022767733693936</v>
      </c>
      <c r="J1349" s="5">
        <v>7.1999999999999995E-2</v>
      </c>
      <c r="K1349" s="4">
        <v>24.6</v>
      </c>
      <c r="L1349" s="4">
        <v>55.2</v>
      </c>
      <c r="M1349" s="6">
        <v>4.3764693712839753</v>
      </c>
      <c r="N1349" s="5">
        <v>8.3000000000000004E-2</v>
      </c>
      <c r="O1349" s="5">
        <v>3.1258074020854183</v>
      </c>
      <c r="P1349" s="5">
        <v>3.1258074020854183</v>
      </c>
      <c r="Q1349" s="8">
        <v>0.19791666666666666</v>
      </c>
      <c r="R1349" s="8">
        <v>0.88541666666666663</v>
      </c>
      <c r="S1349" s="6">
        <f t="shared" si="63"/>
        <v>16.5</v>
      </c>
      <c r="T1349" s="5">
        <f t="shared" si="64"/>
        <v>0.18944287285366171</v>
      </c>
      <c r="U1349" s="3">
        <v>2.21</v>
      </c>
      <c r="V1349" s="5">
        <f t="shared" si="65"/>
        <v>8.5720756947358243E-2</v>
      </c>
      <c r="W1349" s="3">
        <v>8.5720756947358243E-2</v>
      </c>
    </row>
    <row r="1350" spans="1:23" x14ac:dyDescent="0.55000000000000004">
      <c r="A1350" s="3">
        <v>52</v>
      </c>
      <c r="B1350" s="3" t="s">
        <v>48</v>
      </c>
      <c r="C1350" s="3" t="s">
        <v>49</v>
      </c>
      <c r="D1350" s="3" t="s">
        <v>38</v>
      </c>
      <c r="E1350" s="2" t="s">
        <v>21</v>
      </c>
      <c r="F1350" s="3">
        <v>33</v>
      </c>
      <c r="G1350" s="4">
        <v>29.4</v>
      </c>
      <c r="H1350" s="4">
        <v>84.9</v>
      </c>
      <c r="I1350" s="6">
        <v>6.1701186042682128</v>
      </c>
      <c r="J1350" s="5">
        <v>5.8999999999999997E-2</v>
      </c>
      <c r="K1350" s="4">
        <v>25.9</v>
      </c>
      <c r="L1350" s="4">
        <v>40.1</v>
      </c>
      <c r="M1350" s="6">
        <v>3.1034948423008797</v>
      </c>
      <c r="N1350" s="5">
        <v>5.1999999999999998E-2</v>
      </c>
      <c r="O1350" s="5">
        <v>3.0666237619673331</v>
      </c>
      <c r="P1350" s="5">
        <v>3.0666237619673331</v>
      </c>
      <c r="Q1350" s="8">
        <v>0.20833333333333334</v>
      </c>
      <c r="R1350" s="8">
        <v>0.88194444444444453</v>
      </c>
      <c r="S1350" s="6">
        <f t="shared" si="63"/>
        <v>16.166666666666668</v>
      </c>
      <c r="T1350" s="5">
        <f t="shared" si="64"/>
        <v>0.18968806775055666</v>
      </c>
      <c r="U1350" s="3">
        <v>2.21</v>
      </c>
      <c r="V1350" s="5">
        <f t="shared" si="65"/>
        <v>8.5831704864505282E-2</v>
      </c>
      <c r="W1350" s="3">
        <v>8.5831704864505282E-2</v>
      </c>
    </row>
    <row r="1351" spans="1:23" x14ac:dyDescent="0.55000000000000004">
      <c r="A1351" s="3">
        <v>50</v>
      </c>
      <c r="B1351" s="3" t="s">
        <v>53</v>
      </c>
      <c r="C1351" s="3" t="s">
        <v>50</v>
      </c>
      <c r="D1351" s="3" t="s">
        <v>11</v>
      </c>
      <c r="E1351" s="3" t="s">
        <v>31</v>
      </c>
      <c r="F1351" s="3">
        <v>68</v>
      </c>
      <c r="G1351" s="4">
        <v>25.6</v>
      </c>
      <c r="H1351" s="4">
        <v>80.7</v>
      </c>
      <c r="I1351" s="6">
        <v>6.2803195605021305</v>
      </c>
      <c r="J1351" s="5">
        <v>0.04</v>
      </c>
      <c r="K1351" s="4">
        <v>24.3</v>
      </c>
      <c r="L1351" s="4">
        <v>40.1</v>
      </c>
      <c r="M1351" s="6">
        <v>3.1972304807777414</v>
      </c>
      <c r="N1351" s="5">
        <v>4.2000000000000003E-2</v>
      </c>
      <c r="O1351" s="5">
        <v>3.0830890797243891</v>
      </c>
      <c r="P1351" s="5">
        <v>3.0830890797243891</v>
      </c>
      <c r="Q1351" s="8">
        <v>0.20833333333333334</v>
      </c>
      <c r="R1351" s="8">
        <v>0.88541666666666663</v>
      </c>
      <c r="S1351" s="6">
        <f t="shared" si="63"/>
        <v>16.25</v>
      </c>
      <c r="T1351" s="5">
        <f t="shared" si="64"/>
        <v>0.1897285587522701</v>
      </c>
      <c r="U1351" s="3">
        <v>2.21</v>
      </c>
      <c r="V1351" s="5">
        <f t="shared" si="65"/>
        <v>8.5850026584737602E-2</v>
      </c>
      <c r="W1351" s="3">
        <v>8.5850026584737602E-2</v>
      </c>
    </row>
    <row r="1352" spans="1:23" x14ac:dyDescent="0.55000000000000004">
      <c r="A1352" s="3">
        <v>41</v>
      </c>
      <c r="B1352" s="3" t="s">
        <v>51</v>
      </c>
      <c r="C1352" s="3" t="s">
        <v>50</v>
      </c>
      <c r="D1352" s="3" t="s">
        <v>9</v>
      </c>
      <c r="E1352" s="2" t="s">
        <v>22</v>
      </c>
      <c r="F1352" s="3">
        <v>37</v>
      </c>
      <c r="G1352" s="4">
        <v>30.5</v>
      </c>
      <c r="H1352" s="4">
        <v>113.5</v>
      </c>
      <c r="I1352" s="6">
        <v>8.0918546886272953</v>
      </c>
      <c r="J1352" s="5">
        <v>6.5000000000000002E-2</v>
      </c>
      <c r="K1352" s="4">
        <v>25.4</v>
      </c>
      <c r="L1352" s="4">
        <v>63.7</v>
      </c>
      <c r="M1352" s="6">
        <v>4.9756992972843435</v>
      </c>
      <c r="N1352" s="5">
        <v>5.3999999999999999E-2</v>
      </c>
      <c r="O1352" s="5">
        <v>3.1161553913429518</v>
      </c>
      <c r="P1352" s="5">
        <v>3.1161553913429518</v>
      </c>
      <c r="Q1352" s="8">
        <v>0.20138888888888887</v>
      </c>
      <c r="R1352" s="8">
        <v>0.88541666666666663</v>
      </c>
      <c r="S1352" s="6">
        <f t="shared" si="63"/>
        <v>16.416666666666668</v>
      </c>
      <c r="T1352" s="5">
        <f t="shared" si="64"/>
        <v>0.1898165720614996</v>
      </c>
      <c r="U1352" s="3">
        <v>2.21</v>
      </c>
      <c r="V1352" s="5">
        <f t="shared" si="65"/>
        <v>8.5889851611538268E-2</v>
      </c>
      <c r="W1352" s="3">
        <v>8.5889851611538268E-2</v>
      </c>
    </row>
    <row r="1353" spans="1:23" x14ac:dyDescent="0.55000000000000004">
      <c r="A1353" s="3">
        <v>52</v>
      </c>
      <c r="B1353" s="3" t="s">
        <v>48</v>
      </c>
      <c r="C1353" s="3" t="s">
        <v>49</v>
      </c>
      <c r="D1353" s="3" t="s">
        <v>38</v>
      </c>
      <c r="E1353" s="3" t="s">
        <v>27</v>
      </c>
      <c r="F1353" s="3">
        <v>54</v>
      </c>
      <c r="G1353" s="4">
        <v>27.5</v>
      </c>
      <c r="H1353" s="4">
        <v>87.9</v>
      </c>
      <c r="I1353" s="6">
        <v>6.6076888166890777</v>
      </c>
      <c r="J1353" s="5">
        <v>7.0000000000000007E-2</v>
      </c>
      <c r="K1353" s="4">
        <v>24.4</v>
      </c>
      <c r="L1353" s="4">
        <v>43.5</v>
      </c>
      <c r="M1353" s="6">
        <v>3.4618064293301369</v>
      </c>
      <c r="N1353" s="5">
        <v>6.7000000000000004E-2</v>
      </c>
      <c r="O1353" s="5">
        <v>3.1458823873589408</v>
      </c>
      <c r="P1353" s="5">
        <v>3.1458823873589408</v>
      </c>
      <c r="Q1353" s="8">
        <v>0.20833333333333334</v>
      </c>
      <c r="R1353" s="8">
        <v>0.89583333333333337</v>
      </c>
      <c r="S1353" s="6">
        <f t="shared" si="63"/>
        <v>16.5</v>
      </c>
      <c r="T1353" s="5">
        <f t="shared" si="64"/>
        <v>0.1906595386278146</v>
      </c>
      <c r="U1353" s="3">
        <v>2.21</v>
      </c>
      <c r="V1353" s="5">
        <f t="shared" si="65"/>
        <v>8.6271284446974933E-2</v>
      </c>
      <c r="W1353" s="3">
        <v>8.6271284446974933E-2</v>
      </c>
    </row>
    <row r="1354" spans="1:23" x14ac:dyDescent="0.55000000000000004">
      <c r="A1354" s="3">
        <v>60</v>
      </c>
      <c r="B1354" s="3" t="s">
        <v>51</v>
      </c>
      <c r="C1354" s="3" t="s">
        <v>49</v>
      </c>
      <c r="D1354" s="3" t="s">
        <v>39</v>
      </c>
      <c r="E1354" s="3" t="s">
        <v>29</v>
      </c>
      <c r="F1354" s="3">
        <v>61</v>
      </c>
      <c r="G1354" s="4">
        <v>30.6</v>
      </c>
      <c r="H1354" s="4">
        <v>137.69999999999999</v>
      </c>
      <c r="I1354" s="6">
        <v>9.8001852089327279</v>
      </c>
      <c r="J1354" s="5">
        <v>6.9000000000000006E-2</v>
      </c>
      <c r="K1354" s="4">
        <v>26</v>
      </c>
      <c r="L1354" s="4">
        <v>86.1</v>
      </c>
      <c r="M1354" s="6">
        <v>6.6513753549980539</v>
      </c>
      <c r="N1354" s="5">
        <v>5.7000000000000002E-2</v>
      </c>
      <c r="O1354" s="5">
        <v>3.1488098539346741</v>
      </c>
      <c r="P1354" s="5">
        <v>3.1488098539346741</v>
      </c>
      <c r="Q1354" s="8">
        <v>0.19791666666666666</v>
      </c>
      <c r="R1354" s="8">
        <v>0.88541666666666663</v>
      </c>
      <c r="S1354" s="6">
        <f t="shared" si="63"/>
        <v>16.5</v>
      </c>
      <c r="T1354" s="5">
        <f t="shared" si="64"/>
        <v>0.1908369608445257</v>
      </c>
      <c r="U1354" s="3">
        <v>2.21</v>
      </c>
      <c r="V1354" s="5">
        <f t="shared" si="65"/>
        <v>8.6351565992998064E-2</v>
      </c>
      <c r="W1354" s="3">
        <v>8.6351565992998064E-2</v>
      </c>
    </row>
    <row r="1355" spans="1:23" x14ac:dyDescent="0.55000000000000004">
      <c r="A1355" s="3">
        <v>61</v>
      </c>
      <c r="B1355" s="3" t="s">
        <v>53</v>
      </c>
      <c r="C1355" s="3" t="s">
        <v>50</v>
      </c>
      <c r="D1355" s="3" t="s">
        <v>11</v>
      </c>
      <c r="E1355" s="3" t="s">
        <v>28</v>
      </c>
      <c r="F1355" s="3">
        <v>58</v>
      </c>
      <c r="G1355" s="4">
        <v>28.7</v>
      </c>
      <c r="H1355" s="4">
        <v>105.9</v>
      </c>
      <c r="I1355" s="6">
        <v>7.7919519366356162</v>
      </c>
      <c r="J1355" s="5">
        <v>4.2999999999999997E-2</v>
      </c>
      <c r="K1355" s="4">
        <v>24.1</v>
      </c>
      <c r="L1355" s="4">
        <v>58.4</v>
      </c>
      <c r="M1355" s="6">
        <v>4.6738839397618896</v>
      </c>
      <c r="N1355" s="5">
        <v>4.3999999999999997E-2</v>
      </c>
      <c r="O1355" s="5">
        <v>3.1180679968737266</v>
      </c>
      <c r="P1355" s="5">
        <v>3.1180679968737266</v>
      </c>
      <c r="Q1355" s="8">
        <v>0.20833333333333334</v>
      </c>
      <c r="R1355" s="8">
        <v>0.88888888888888884</v>
      </c>
      <c r="S1355" s="6">
        <f t="shared" si="63"/>
        <v>16.333333333333332</v>
      </c>
      <c r="T1355" s="5">
        <f t="shared" si="64"/>
        <v>0.19090212225757511</v>
      </c>
      <c r="U1355" s="3">
        <v>2.21</v>
      </c>
      <c r="V1355" s="5">
        <f t="shared" si="65"/>
        <v>8.6381050795282854E-2</v>
      </c>
      <c r="W1355" s="3">
        <v>8.6381050795282854E-2</v>
      </c>
    </row>
    <row r="1356" spans="1:23" x14ac:dyDescent="0.55000000000000004">
      <c r="A1356" s="3">
        <v>43</v>
      </c>
      <c r="B1356" s="3" t="s">
        <v>51</v>
      </c>
      <c r="C1356" s="3" t="s">
        <v>50</v>
      </c>
      <c r="D1356" s="3" t="s">
        <v>9</v>
      </c>
      <c r="E1356" s="2" t="s">
        <v>21</v>
      </c>
      <c r="F1356" s="3">
        <v>33</v>
      </c>
      <c r="G1356" s="4">
        <v>30.5</v>
      </c>
      <c r="H1356" s="4">
        <v>104.2</v>
      </c>
      <c r="I1356" s="6">
        <v>7.428821661277218</v>
      </c>
      <c r="J1356" s="5">
        <v>4.2000000000000003E-2</v>
      </c>
      <c r="K1356" s="4">
        <v>26.5</v>
      </c>
      <c r="L1356" s="4">
        <v>56.7</v>
      </c>
      <c r="M1356" s="6">
        <v>4.3402598177621865</v>
      </c>
      <c r="N1356" s="5">
        <v>3.7999999999999999E-2</v>
      </c>
      <c r="O1356" s="5">
        <v>3.0885618435150315</v>
      </c>
      <c r="P1356" s="5">
        <v>3.0885618435150315</v>
      </c>
      <c r="Q1356" s="8">
        <v>0.20833333333333334</v>
      </c>
      <c r="R1356" s="8">
        <v>0.88194444444444453</v>
      </c>
      <c r="S1356" s="6">
        <f t="shared" si="63"/>
        <v>16.166666666666668</v>
      </c>
      <c r="T1356" s="5">
        <f t="shared" si="64"/>
        <v>0.19104506248546585</v>
      </c>
      <c r="U1356" s="3">
        <v>2.21</v>
      </c>
      <c r="V1356" s="5">
        <f t="shared" si="65"/>
        <v>8.6445729631432516E-2</v>
      </c>
      <c r="W1356" s="3">
        <v>8.6445729631432516E-2</v>
      </c>
    </row>
    <row r="1357" spans="1:23" x14ac:dyDescent="0.55000000000000004">
      <c r="A1357" s="3">
        <v>64</v>
      </c>
      <c r="B1357" s="3" t="s">
        <v>53</v>
      </c>
      <c r="C1357" s="3" t="s">
        <v>50</v>
      </c>
      <c r="D1357" s="3" t="s">
        <v>11</v>
      </c>
      <c r="E1357" s="3" t="s">
        <v>30</v>
      </c>
      <c r="F1357" s="3">
        <v>65</v>
      </c>
      <c r="G1357" s="4">
        <v>27.3</v>
      </c>
      <c r="H1357" s="4">
        <v>115.6</v>
      </c>
      <c r="I1357" s="6">
        <v>8.7213673803134135</v>
      </c>
      <c r="J1357" s="5">
        <v>0.06</v>
      </c>
      <c r="K1357" s="4">
        <v>22.8</v>
      </c>
      <c r="L1357" s="4">
        <v>68.400000000000006</v>
      </c>
      <c r="M1357" s="6">
        <v>5.6113130001039506</v>
      </c>
      <c r="N1357" s="5">
        <v>5.2999999999999999E-2</v>
      </c>
      <c r="O1357" s="5">
        <v>3.1100543802094629</v>
      </c>
      <c r="P1357" s="5">
        <v>3.1100543802094629</v>
      </c>
      <c r="Q1357" s="8">
        <v>0.20833333333333334</v>
      </c>
      <c r="R1357" s="8">
        <v>0.88541666666666663</v>
      </c>
      <c r="S1357" s="6">
        <f t="shared" si="63"/>
        <v>16.25</v>
      </c>
      <c r="T1357" s="5">
        <f t="shared" si="64"/>
        <v>0.19138796185904386</v>
      </c>
      <c r="U1357" s="3">
        <v>2.21</v>
      </c>
      <c r="V1357" s="5">
        <f t="shared" si="65"/>
        <v>8.6600887719024383E-2</v>
      </c>
      <c r="W1357" s="3">
        <v>8.6600887719024383E-2</v>
      </c>
    </row>
    <row r="1358" spans="1:23" x14ac:dyDescent="0.55000000000000004">
      <c r="A1358" s="3">
        <v>29</v>
      </c>
      <c r="B1358" s="3" t="s">
        <v>52</v>
      </c>
      <c r="C1358" s="3" t="s">
        <v>50</v>
      </c>
      <c r="D1358" s="3" t="s">
        <v>12</v>
      </c>
      <c r="E1358" s="3" t="s">
        <v>28</v>
      </c>
      <c r="F1358" s="3">
        <v>58</v>
      </c>
      <c r="G1358" s="4">
        <v>28.4</v>
      </c>
      <c r="H1358" s="4">
        <v>102.2</v>
      </c>
      <c r="I1358" s="6">
        <v>7.5598843675834466</v>
      </c>
      <c r="J1358" s="5">
        <v>5.0999999999999997E-2</v>
      </c>
      <c r="K1358" s="4">
        <v>24.3</v>
      </c>
      <c r="L1358" s="4">
        <v>55.6</v>
      </c>
      <c r="M1358" s="6">
        <v>4.4330676990334767</v>
      </c>
      <c r="N1358" s="5">
        <v>5.0999999999999997E-2</v>
      </c>
      <c r="O1358" s="5">
        <v>3.1268166685499699</v>
      </c>
      <c r="P1358" s="5">
        <v>3.1268166685499699</v>
      </c>
      <c r="Q1358" s="8">
        <v>0.20833333333333334</v>
      </c>
      <c r="R1358" s="8">
        <v>0.88888888888888884</v>
      </c>
      <c r="S1358" s="6">
        <f t="shared" si="63"/>
        <v>16.333333333333332</v>
      </c>
      <c r="T1358" s="5">
        <f t="shared" si="64"/>
        <v>0.1914377552173451</v>
      </c>
      <c r="U1358" s="3">
        <v>2.21</v>
      </c>
      <c r="V1358" s="5">
        <f t="shared" si="65"/>
        <v>8.6623418650382408E-2</v>
      </c>
      <c r="W1358" s="3">
        <v>8.6623418650382408E-2</v>
      </c>
    </row>
    <row r="1359" spans="1:23" x14ac:dyDescent="0.55000000000000004">
      <c r="A1359" s="3">
        <v>35</v>
      </c>
      <c r="B1359" s="3" t="s">
        <v>51</v>
      </c>
      <c r="C1359" s="3" t="s">
        <v>50</v>
      </c>
      <c r="D1359" s="3" t="s">
        <v>9</v>
      </c>
      <c r="E1359" s="3" t="s">
        <v>30</v>
      </c>
      <c r="F1359" s="3">
        <v>65</v>
      </c>
      <c r="G1359" s="4">
        <v>27.8</v>
      </c>
      <c r="H1359" s="4">
        <v>115.7</v>
      </c>
      <c r="I1359" s="6">
        <v>8.650729597699458</v>
      </c>
      <c r="J1359" s="5">
        <v>5.8999999999999997E-2</v>
      </c>
      <c r="K1359" s="4">
        <v>23.4</v>
      </c>
      <c r="L1359" s="4">
        <v>68.3</v>
      </c>
      <c r="M1359" s="6">
        <v>5.5391890037816678</v>
      </c>
      <c r="N1359" s="5">
        <v>5.2999999999999999E-2</v>
      </c>
      <c r="O1359" s="5">
        <v>3.1115405939177903</v>
      </c>
      <c r="P1359" s="5">
        <v>3.1115405939177903</v>
      </c>
      <c r="Q1359" s="8">
        <v>0.20833333333333334</v>
      </c>
      <c r="R1359" s="8">
        <v>0.88541666666666663</v>
      </c>
      <c r="S1359" s="6">
        <f t="shared" si="63"/>
        <v>16.25</v>
      </c>
      <c r="T1359" s="5">
        <f t="shared" si="64"/>
        <v>0.19147942116417171</v>
      </c>
      <c r="U1359" s="3">
        <v>2.21</v>
      </c>
      <c r="V1359" s="5">
        <f t="shared" si="65"/>
        <v>8.6642272019987199E-2</v>
      </c>
      <c r="W1359" s="3">
        <v>8.6642272019987199E-2</v>
      </c>
    </row>
    <row r="1360" spans="1:23" x14ac:dyDescent="0.55000000000000004">
      <c r="A1360" s="3">
        <v>33</v>
      </c>
      <c r="B1360" s="3" t="s">
        <v>51</v>
      </c>
      <c r="C1360" s="3" t="s">
        <v>50</v>
      </c>
      <c r="D1360" s="3" t="s">
        <v>9</v>
      </c>
      <c r="E1360" s="3" t="s">
        <v>28</v>
      </c>
      <c r="F1360" s="3">
        <v>58</v>
      </c>
      <c r="G1360" s="4">
        <v>28.5</v>
      </c>
      <c r="H1360" s="4">
        <v>125.6</v>
      </c>
      <c r="I1360" s="6">
        <v>9.2743093474162102</v>
      </c>
      <c r="J1360" s="5">
        <v>8.1000000000000003E-2</v>
      </c>
      <c r="K1360" s="4">
        <v>25</v>
      </c>
      <c r="L1360" s="4">
        <v>78.099999999999994</v>
      </c>
      <c r="M1360" s="6">
        <v>6.1459907234152862</v>
      </c>
      <c r="N1360" s="5">
        <v>6.5000000000000002E-2</v>
      </c>
      <c r="O1360" s="5">
        <v>3.128318624000924</v>
      </c>
      <c r="P1360" s="5">
        <v>3.128318624000924</v>
      </c>
      <c r="Q1360" s="8">
        <v>0.20833333333333334</v>
      </c>
      <c r="R1360" s="8">
        <v>0.88888888888888884</v>
      </c>
      <c r="S1360" s="6">
        <f t="shared" si="63"/>
        <v>16.333333333333332</v>
      </c>
      <c r="T1360" s="5">
        <f t="shared" si="64"/>
        <v>0.19152971167352598</v>
      </c>
      <c r="U1360" s="3">
        <v>2.21</v>
      </c>
      <c r="V1360" s="5">
        <f t="shared" si="65"/>
        <v>8.6665027906572836E-2</v>
      </c>
      <c r="W1360" s="3">
        <v>8.6665027906572836E-2</v>
      </c>
    </row>
    <row r="1361" spans="1:23" x14ac:dyDescent="0.55000000000000004">
      <c r="A1361" s="3">
        <v>47</v>
      </c>
      <c r="B1361" s="3" t="s">
        <v>52</v>
      </c>
      <c r="C1361" s="3" t="s">
        <v>50</v>
      </c>
      <c r="D1361" s="3" t="s">
        <v>12</v>
      </c>
      <c r="E1361" s="2" t="s">
        <v>25</v>
      </c>
      <c r="F1361" s="3">
        <v>47</v>
      </c>
      <c r="G1361" s="4">
        <v>28.7</v>
      </c>
      <c r="H1361" s="4">
        <v>82.4</v>
      </c>
      <c r="I1361" s="6">
        <v>6.062859674964824</v>
      </c>
      <c r="J1361" s="5">
        <v>6.6000000000000003E-2</v>
      </c>
      <c r="K1361" s="4">
        <v>25.5</v>
      </c>
      <c r="L1361" s="4">
        <v>37.200000000000003</v>
      </c>
      <c r="M1361" s="6">
        <v>2.9003729320540117</v>
      </c>
      <c r="N1361" s="5">
        <v>6.3E-2</v>
      </c>
      <c r="O1361" s="5">
        <v>3.1624867429108123</v>
      </c>
      <c r="P1361" s="5">
        <v>3.1624867429108123</v>
      </c>
      <c r="Q1361" s="8">
        <v>0.20833333333333334</v>
      </c>
      <c r="R1361" s="8">
        <v>0.89583333333333337</v>
      </c>
      <c r="S1361" s="6">
        <f t="shared" si="63"/>
        <v>16.5</v>
      </c>
      <c r="T1361" s="5">
        <f t="shared" si="64"/>
        <v>0.19166586320671589</v>
      </c>
      <c r="U1361" s="3">
        <v>2.21</v>
      </c>
      <c r="V1361" s="5">
        <f t="shared" si="65"/>
        <v>8.6726634935165567E-2</v>
      </c>
      <c r="W1361" s="3">
        <v>8.6726634935165567E-2</v>
      </c>
    </row>
    <row r="1362" spans="1:23" x14ac:dyDescent="0.55000000000000004">
      <c r="A1362" s="3">
        <v>24</v>
      </c>
      <c r="B1362" s="3" t="s">
        <v>52</v>
      </c>
      <c r="C1362" s="3" t="s">
        <v>49</v>
      </c>
      <c r="D1362" s="3" t="s">
        <v>40</v>
      </c>
      <c r="E1362" s="3" t="s">
        <v>26</v>
      </c>
      <c r="F1362" s="3">
        <v>51</v>
      </c>
      <c r="G1362" s="4">
        <v>23.3</v>
      </c>
      <c r="H1362" s="4">
        <v>99.5</v>
      </c>
      <c r="I1362" s="6">
        <v>8.0849271527021784</v>
      </c>
      <c r="J1362" s="5">
        <v>6.0999999999999999E-2</v>
      </c>
      <c r="K1362" s="4">
        <v>24.5</v>
      </c>
      <c r="L1362" s="4">
        <v>63.1</v>
      </c>
      <c r="M1362" s="6">
        <v>5.0121950678168226</v>
      </c>
      <c r="N1362" s="5">
        <v>5.8000000000000003E-2</v>
      </c>
      <c r="O1362" s="5">
        <v>3.0727320848853559</v>
      </c>
      <c r="P1362" s="5">
        <v>3.0727320848853559</v>
      </c>
      <c r="Q1362" s="8">
        <v>0.20833333333333334</v>
      </c>
      <c r="R1362" s="8">
        <v>0.875</v>
      </c>
      <c r="S1362" s="6">
        <f t="shared" si="63"/>
        <v>16</v>
      </c>
      <c r="T1362" s="5">
        <f t="shared" si="64"/>
        <v>0.19204575530533474</v>
      </c>
      <c r="U1362" s="3">
        <v>2.21</v>
      </c>
      <c r="V1362" s="5">
        <f t="shared" si="65"/>
        <v>8.689853181236866E-2</v>
      </c>
      <c r="W1362" s="3">
        <v>8.689853181236866E-2</v>
      </c>
    </row>
    <row r="1363" spans="1:23" x14ac:dyDescent="0.55000000000000004">
      <c r="A1363" s="3">
        <v>37</v>
      </c>
      <c r="B1363" s="3" t="s">
        <v>53</v>
      </c>
      <c r="C1363" s="3" t="s">
        <v>50</v>
      </c>
      <c r="D1363" s="3" t="s">
        <v>11</v>
      </c>
      <c r="E1363" s="3" t="s">
        <v>33</v>
      </c>
      <c r="F1363" s="3">
        <v>75</v>
      </c>
      <c r="G1363" s="4">
        <v>27.9</v>
      </c>
      <c r="H1363" s="4">
        <v>83.5</v>
      </c>
      <c r="I1363" s="6">
        <v>6.2320002261154821</v>
      </c>
      <c r="J1363" s="5">
        <v>5.3999999999999999E-2</v>
      </c>
      <c r="K1363" s="4">
        <v>24.3</v>
      </c>
      <c r="L1363" s="4">
        <v>39</v>
      </c>
      <c r="M1363" s="6">
        <v>3.1095259039983021</v>
      </c>
      <c r="N1363" s="5">
        <v>5.0999999999999997E-2</v>
      </c>
      <c r="O1363" s="5">
        <v>3.12247432211718</v>
      </c>
      <c r="P1363" s="5">
        <v>3.12247432211718</v>
      </c>
      <c r="Q1363" s="8">
        <v>0.20833333333333334</v>
      </c>
      <c r="R1363" s="8">
        <v>0.88541666666666663</v>
      </c>
      <c r="S1363" s="6">
        <f t="shared" si="63"/>
        <v>16.25</v>
      </c>
      <c r="T1363" s="5">
        <f t="shared" si="64"/>
        <v>0.19215226597644186</v>
      </c>
      <c r="U1363" s="3">
        <v>2.21</v>
      </c>
      <c r="V1363" s="5">
        <f t="shared" si="65"/>
        <v>8.6946726686172787E-2</v>
      </c>
      <c r="W1363" s="3">
        <v>8.6946726686172787E-2</v>
      </c>
    </row>
    <row r="1364" spans="1:23" x14ac:dyDescent="0.55000000000000004">
      <c r="A1364" s="3">
        <v>35</v>
      </c>
      <c r="B1364" s="3" t="s">
        <v>51</v>
      </c>
      <c r="C1364" s="3" t="s">
        <v>50</v>
      </c>
      <c r="D1364" s="3" t="s">
        <v>9</v>
      </c>
      <c r="E1364" s="2" t="s">
        <v>21</v>
      </c>
      <c r="F1364" s="3">
        <v>33</v>
      </c>
      <c r="G1364" s="4">
        <v>30.5</v>
      </c>
      <c r="H1364" s="4">
        <v>104.9</v>
      </c>
      <c r="I1364" s="6">
        <v>7.4787273730132453</v>
      </c>
      <c r="J1364" s="5">
        <v>5.3999999999999999E-2</v>
      </c>
      <c r="K1364" s="4">
        <v>26.7</v>
      </c>
      <c r="L1364" s="4">
        <v>57.2</v>
      </c>
      <c r="M1364" s="6">
        <v>4.3626051125784482</v>
      </c>
      <c r="N1364" s="5">
        <v>5.1999999999999998E-2</v>
      </c>
      <c r="O1364" s="5">
        <v>3.1161222604347971</v>
      </c>
      <c r="P1364" s="5">
        <v>3.1161222604347971</v>
      </c>
      <c r="Q1364" s="8">
        <v>0.20833333333333334</v>
      </c>
      <c r="R1364" s="8">
        <v>0.88194444444444453</v>
      </c>
      <c r="S1364" s="6">
        <f t="shared" si="63"/>
        <v>16.166666666666668</v>
      </c>
      <c r="T1364" s="5">
        <f t="shared" si="64"/>
        <v>0.19274983054235856</v>
      </c>
      <c r="U1364" s="3">
        <v>2.21</v>
      </c>
      <c r="V1364" s="5">
        <f t="shared" si="65"/>
        <v>8.7217117892469942E-2</v>
      </c>
      <c r="W1364" s="3">
        <v>8.7217117892469942E-2</v>
      </c>
    </row>
    <row r="1365" spans="1:23" x14ac:dyDescent="0.55000000000000004">
      <c r="A1365" s="3">
        <v>28</v>
      </c>
      <c r="B1365" s="3" t="s">
        <v>53</v>
      </c>
      <c r="C1365" s="3" t="s">
        <v>50</v>
      </c>
      <c r="D1365" s="3" t="s">
        <v>11</v>
      </c>
      <c r="E1365" s="3" t="s">
        <v>30</v>
      </c>
      <c r="F1365" s="3">
        <v>65</v>
      </c>
      <c r="G1365" s="4">
        <v>27.7</v>
      </c>
      <c r="H1365" s="4">
        <v>109</v>
      </c>
      <c r="I1365" s="6">
        <v>8.1644191417468388</v>
      </c>
      <c r="J1365" s="5">
        <v>6.8000000000000005E-2</v>
      </c>
      <c r="K1365" s="4">
        <v>23.4</v>
      </c>
      <c r="L1365" s="4">
        <v>62</v>
      </c>
      <c r="M1365" s="6">
        <v>5.0282535612659363</v>
      </c>
      <c r="N1365" s="5">
        <v>0.06</v>
      </c>
      <c r="O1365" s="5">
        <v>3.1361655804809025</v>
      </c>
      <c r="P1365" s="5">
        <v>3.1361655804809025</v>
      </c>
      <c r="Q1365" s="8">
        <v>0.20833333333333334</v>
      </c>
      <c r="R1365" s="8">
        <v>0.88541666666666663</v>
      </c>
      <c r="S1365" s="6">
        <f t="shared" si="63"/>
        <v>16.25</v>
      </c>
      <c r="T1365" s="5">
        <f t="shared" si="64"/>
        <v>0.19299480495267093</v>
      </c>
      <c r="U1365" s="3">
        <v>2.21</v>
      </c>
      <c r="V1365" s="5">
        <f t="shared" si="65"/>
        <v>8.7327966041932548E-2</v>
      </c>
      <c r="W1365" s="3">
        <v>8.7327966041932548E-2</v>
      </c>
    </row>
    <row r="1366" spans="1:23" x14ac:dyDescent="0.55000000000000004">
      <c r="A1366" s="3">
        <v>50</v>
      </c>
      <c r="B1366" s="3" t="s">
        <v>53</v>
      </c>
      <c r="C1366" s="3" t="s">
        <v>50</v>
      </c>
      <c r="D1366" s="3" t="s">
        <v>11</v>
      </c>
      <c r="E1366" s="3" t="s">
        <v>28</v>
      </c>
      <c r="F1366" s="3">
        <v>58</v>
      </c>
      <c r="G1366" s="4">
        <v>28.7</v>
      </c>
      <c r="H1366" s="4">
        <v>103.5</v>
      </c>
      <c r="I1366" s="6">
        <v>7.6153637907628546</v>
      </c>
      <c r="J1366" s="5">
        <v>4.2999999999999997E-2</v>
      </c>
      <c r="K1366" s="4">
        <v>24.4</v>
      </c>
      <c r="L1366" s="4">
        <v>56</v>
      </c>
      <c r="M1366" s="6">
        <v>4.456578391781326</v>
      </c>
      <c r="N1366" s="5">
        <v>4.1000000000000002E-2</v>
      </c>
      <c r="O1366" s="5">
        <v>3.1587853989815287</v>
      </c>
      <c r="P1366" s="5">
        <v>3.1587853989815287</v>
      </c>
      <c r="Q1366" s="8">
        <v>0.20833333333333334</v>
      </c>
      <c r="R1366" s="8">
        <v>0.88888888888888884</v>
      </c>
      <c r="S1366" s="6">
        <f t="shared" si="63"/>
        <v>16.333333333333332</v>
      </c>
      <c r="T1366" s="5">
        <f t="shared" si="64"/>
        <v>0.19339502442744055</v>
      </c>
      <c r="U1366" s="3">
        <v>2.21</v>
      </c>
      <c r="V1366" s="5">
        <f t="shared" si="65"/>
        <v>8.7509060826896176E-2</v>
      </c>
      <c r="W1366" s="3">
        <v>8.7509060826896176E-2</v>
      </c>
    </row>
    <row r="1367" spans="1:23" x14ac:dyDescent="0.55000000000000004">
      <c r="A1367" s="3">
        <v>39</v>
      </c>
      <c r="B1367" s="3" t="s">
        <v>51</v>
      </c>
      <c r="C1367" s="3" t="s">
        <v>50</v>
      </c>
      <c r="D1367" s="3" t="s">
        <v>9</v>
      </c>
      <c r="E1367" s="2" t="s">
        <v>22</v>
      </c>
      <c r="F1367" s="3">
        <v>37</v>
      </c>
      <c r="G1367" s="4">
        <v>30.7</v>
      </c>
      <c r="H1367" s="4">
        <v>109.6</v>
      </c>
      <c r="I1367" s="6">
        <v>7.7868170236537289</v>
      </c>
      <c r="J1367" s="5">
        <v>5.2999999999999999E-2</v>
      </c>
      <c r="K1367" s="4">
        <v>25.4</v>
      </c>
      <c r="L1367" s="4">
        <v>59</v>
      </c>
      <c r="M1367" s="6">
        <v>4.6085754872806328</v>
      </c>
      <c r="N1367" s="5">
        <v>4.7E-2</v>
      </c>
      <c r="O1367" s="5">
        <v>3.178241536373096</v>
      </c>
      <c r="P1367" s="5">
        <v>3.178241536373096</v>
      </c>
      <c r="Q1367" s="8">
        <v>0.20138888888888887</v>
      </c>
      <c r="R1367" s="8">
        <v>0.88541666666666663</v>
      </c>
      <c r="S1367" s="6">
        <f t="shared" si="63"/>
        <v>16.416666666666668</v>
      </c>
      <c r="T1367" s="5">
        <f t="shared" si="64"/>
        <v>0.19359846922069618</v>
      </c>
      <c r="U1367" s="3">
        <v>2.21</v>
      </c>
      <c r="V1367" s="5">
        <f t="shared" si="65"/>
        <v>8.7601117294432665E-2</v>
      </c>
      <c r="W1367" s="3">
        <v>8.7601117294432665E-2</v>
      </c>
    </row>
    <row r="1368" spans="1:23" x14ac:dyDescent="0.55000000000000004">
      <c r="A1368" s="3">
        <v>10</v>
      </c>
      <c r="B1368" s="3" t="s">
        <v>51</v>
      </c>
      <c r="C1368" s="3" t="s">
        <v>49</v>
      </c>
      <c r="D1368" s="3" t="s">
        <v>39</v>
      </c>
      <c r="E1368" s="3" t="s">
        <v>31</v>
      </c>
      <c r="F1368" s="3">
        <v>68</v>
      </c>
      <c r="G1368" s="4">
        <v>25.4</v>
      </c>
      <c r="H1368" s="4">
        <v>81.599999999999994</v>
      </c>
      <c r="I1368" s="6">
        <v>6.3738942332559247</v>
      </c>
      <c r="J1368" s="5">
        <v>5.0999999999999997E-2</v>
      </c>
      <c r="K1368" s="4">
        <v>24.1</v>
      </c>
      <c r="L1368" s="4">
        <v>40.200000000000003</v>
      </c>
      <c r="M1368" s="6">
        <v>3.2172968215484246</v>
      </c>
      <c r="N1368" s="5">
        <v>5.2999999999999999E-2</v>
      </c>
      <c r="O1368" s="5">
        <v>3.1565974117075002</v>
      </c>
      <c r="P1368" s="5">
        <v>3.1565974117075002</v>
      </c>
      <c r="Q1368" s="8">
        <v>0.20833333333333334</v>
      </c>
      <c r="R1368" s="8">
        <v>0.88541666666666663</v>
      </c>
      <c r="S1368" s="6">
        <f t="shared" si="63"/>
        <v>16.25</v>
      </c>
      <c r="T1368" s="5">
        <f t="shared" si="64"/>
        <v>0.19425214841276925</v>
      </c>
      <c r="U1368" s="3">
        <v>2.21</v>
      </c>
      <c r="V1368" s="5">
        <f t="shared" si="65"/>
        <v>8.7896899734284717E-2</v>
      </c>
      <c r="W1368" s="3">
        <v>8.7896899734284717E-2</v>
      </c>
    </row>
    <row r="1369" spans="1:23" x14ac:dyDescent="0.55000000000000004">
      <c r="A1369" s="3">
        <v>20</v>
      </c>
      <c r="B1369" s="3" t="s">
        <v>52</v>
      </c>
      <c r="C1369" s="3" t="s">
        <v>50</v>
      </c>
      <c r="D1369" s="3" t="s">
        <v>12</v>
      </c>
      <c r="E1369" s="2" t="s">
        <v>23</v>
      </c>
      <c r="F1369" s="3">
        <v>40</v>
      </c>
      <c r="G1369" s="4">
        <v>29.4</v>
      </c>
      <c r="H1369" s="4">
        <v>122.5</v>
      </c>
      <c r="I1369" s="6">
        <v>8.9027035220595536</v>
      </c>
      <c r="J1369" s="5">
        <v>4.1000000000000002E-2</v>
      </c>
      <c r="K1369" s="4">
        <v>24.8</v>
      </c>
      <c r="L1369" s="4">
        <v>72.400000000000006</v>
      </c>
      <c r="M1369" s="6">
        <v>5.7187244612193844</v>
      </c>
      <c r="N1369" s="5">
        <v>3.6999999999999998E-2</v>
      </c>
      <c r="O1369" s="5">
        <v>3.1839790608401692</v>
      </c>
      <c r="P1369" s="5">
        <v>3.1839790608401692</v>
      </c>
      <c r="Q1369" s="8">
        <v>0.20833333333333334</v>
      </c>
      <c r="R1369" s="8">
        <v>0.89027777777777783</v>
      </c>
      <c r="S1369" s="6">
        <f t="shared" si="63"/>
        <v>16.366666666666667</v>
      </c>
      <c r="T1369" s="5">
        <f t="shared" si="64"/>
        <v>0.19454047214909384</v>
      </c>
      <c r="U1369" s="3">
        <v>2.21</v>
      </c>
      <c r="V1369" s="5">
        <f t="shared" si="65"/>
        <v>8.8027362963390879E-2</v>
      </c>
      <c r="W1369" s="3">
        <v>8.8027362963390879E-2</v>
      </c>
    </row>
    <row r="1370" spans="1:23" x14ac:dyDescent="0.55000000000000004">
      <c r="A1370" s="3">
        <v>8</v>
      </c>
      <c r="B1370" s="3" t="s">
        <v>51</v>
      </c>
      <c r="C1370" s="3" t="s">
        <v>50</v>
      </c>
      <c r="D1370" s="3" t="s">
        <v>9</v>
      </c>
      <c r="E1370" s="3" t="s">
        <v>31</v>
      </c>
      <c r="F1370" s="3">
        <v>68</v>
      </c>
      <c r="G1370" s="4">
        <v>25.5</v>
      </c>
      <c r="H1370" s="4">
        <v>85.5</v>
      </c>
      <c r="I1370" s="6">
        <v>6.6661797228660751</v>
      </c>
      <c r="J1370" s="5">
        <v>4.3999999999999997E-2</v>
      </c>
      <c r="K1370" s="4">
        <v>24</v>
      </c>
      <c r="L1370" s="4">
        <v>43.7</v>
      </c>
      <c r="M1370" s="6">
        <v>3.5040151612492378</v>
      </c>
      <c r="N1370" s="5">
        <v>4.2999999999999997E-2</v>
      </c>
      <c r="O1370" s="5">
        <v>3.1621645616168372</v>
      </c>
      <c r="P1370" s="5">
        <v>3.1621645616168372</v>
      </c>
      <c r="Q1370" s="8">
        <v>0.20833333333333334</v>
      </c>
      <c r="R1370" s="8">
        <v>0.88541666666666663</v>
      </c>
      <c r="S1370" s="6">
        <f t="shared" si="63"/>
        <v>16.25</v>
      </c>
      <c r="T1370" s="5">
        <f t="shared" si="64"/>
        <v>0.19459474225334383</v>
      </c>
      <c r="U1370" s="3">
        <v>2.21</v>
      </c>
      <c r="V1370" s="5">
        <f t="shared" si="65"/>
        <v>8.805191957164879E-2</v>
      </c>
      <c r="W1370" s="3">
        <v>8.805191957164879E-2</v>
      </c>
    </row>
    <row r="1371" spans="1:23" x14ac:dyDescent="0.55000000000000004">
      <c r="A1371" s="3">
        <v>18</v>
      </c>
      <c r="B1371" s="3" t="s">
        <v>51</v>
      </c>
      <c r="C1371" s="3" t="s">
        <v>50</v>
      </c>
      <c r="D1371" s="3" t="s">
        <v>9</v>
      </c>
      <c r="E1371" s="3" t="s">
        <v>32</v>
      </c>
      <c r="F1371" s="3">
        <v>72</v>
      </c>
      <c r="G1371" s="4">
        <v>30</v>
      </c>
      <c r="H1371" s="4">
        <v>124.7</v>
      </c>
      <c r="I1371" s="6">
        <v>8.9679311027090769</v>
      </c>
      <c r="J1371" s="5">
        <v>6.7000000000000004E-2</v>
      </c>
      <c r="K1371" s="4">
        <v>25.4</v>
      </c>
      <c r="L1371" s="4">
        <v>74.2</v>
      </c>
      <c r="M1371" s="6">
        <v>5.7958695111224223</v>
      </c>
      <c r="N1371" s="5">
        <v>5.8999999999999997E-2</v>
      </c>
      <c r="O1371" s="5">
        <v>3.1720615915866546</v>
      </c>
      <c r="P1371" s="5">
        <v>3.1720615915866546</v>
      </c>
      <c r="Q1371" s="8">
        <v>0.20833333333333334</v>
      </c>
      <c r="R1371" s="8">
        <v>0.88541666666666663</v>
      </c>
      <c r="S1371" s="6">
        <f t="shared" si="63"/>
        <v>16.25</v>
      </c>
      <c r="T1371" s="5">
        <f t="shared" si="64"/>
        <v>0.19520379025148643</v>
      </c>
      <c r="U1371" s="3">
        <v>2.21</v>
      </c>
      <c r="V1371" s="5">
        <f t="shared" si="65"/>
        <v>8.8327506901125091E-2</v>
      </c>
      <c r="W1371" s="3">
        <v>8.8327506901125091E-2</v>
      </c>
    </row>
    <row r="1372" spans="1:23" x14ac:dyDescent="0.55000000000000004">
      <c r="A1372" s="3">
        <v>29</v>
      </c>
      <c r="B1372" s="3" t="s">
        <v>52</v>
      </c>
      <c r="C1372" s="3" t="s">
        <v>50</v>
      </c>
      <c r="D1372" s="3" t="s">
        <v>12</v>
      </c>
      <c r="E1372" s="2" t="s">
        <v>22</v>
      </c>
      <c r="F1372" s="3">
        <v>37</v>
      </c>
      <c r="G1372" s="4">
        <v>30.4</v>
      </c>
      <c r="H1372" s="4">
        <v>113.5</v>
      </c>
      <c r="I1372" s="6">
        <v>8.105893468703643</v>
      </c>
      <c r="J1372" s="5">
        <v>7.1999999999999995E-2</v>
      </c>
      <c r="K1372" s="4">
        <v>25.4</v>
      </c>
      <c r="L1372" s="4">
        <v>62.7</v>
      </c>
      <c r="M1372" s="6">
        <v>4.897587848347384</v>
      </c>
      <c r="N1372" s="5">
        <v>6.7000000000000004E-2</v>
      </c>
      <c r="O1372" s="5">
        <v>3.208305620356259</v>
      </c>
      <c r="P1372" s="5">
        <v>3.208305620356259</v>
      </c>
      <c r="Q1372" s="8">
        <v>0.20138888888888887</v>
      </c>
      <c r="R1372" s="8">
        <v>0.88541666666666663</v>
      </c>
      <c r="S1372" s="6">
        <f t="shared" si="63"/>
        <v>16.416666666666668</v>
      </c>
      <c r="T1372" s="5">
        <f t="shared" si="64"/>
        <v>0.1954297839810919</v>
      </c>
      <c r="U1372" s="3">
        <v>2.21</v>
      </c>
      <c r="V1372" s="5">
        <f t="shared" si="65"/>
        <v>8.8429766507281404E-2</v>
      </c>
      <c r="W1372" s="3">
        <v>8.8429766507281404E-2</v>
      </c>
    </row>
    <row r="1373" spans="1:23" x14ac:dyDescent="0.55000000000000004">
      <c r="A1373" s="3">
        <v>34</v>
      </c>
      <c r="B1373" s="3" t="s">
        <v>48</v>
      </c>
      <c r="C1373" s="3" t="s">
        <v>50</v>
      </c>
      <c r="D1373" s="3" t="s">
        <v>10</v>
      </c>
      <c r="E1373" s="2" t="s">
        <v>24</v>
      </c>
      <c r="F1373" s="3">
        <v>44</v>
      </c>
      <c r="G1373" s="4">
        <v>23.9</v>
      </c>
      <c r="H1373" s="4">
        <v>105.7</v>
      </c>
      <c r="I1373" s="6">
        <v>8.4914163297386605</v>
      </c>
      <c r="J1373" s="5">
        <v>7.4999999999999997E-2</v>
      </c>
      <c r="K1373" s="4">
        <v>20.9</v>
      </c>
      <c r="L1373" s="4">
        <v>61.1</v>
      </c>
      <c r="M1373" s="6">
        <v>5.2013326086236642</v>
      </c>
      <c r="N1373" s="5">
        <v>6.8000000000000005E-2</v>
      </c>
      <c r="O1373" s="5">
        <v>3.2900837211149963</v>
      </c>
      <c r="P1373" s="5">
        <v>3.2900837211149963</v>
      </c>
      <c r="Q1373" s="8">
        <v>0.20277777777777781</v>
      </c>
      <c r="R1373" s="8">
        <v>0.90277777777777779</v>
      </c>
      <c r="S1373" s="6">
        <f t="shared" si="63"/>
        <v>16.799999999999997</v>
      </c>
      <c r="T1373" s="5">
        <f t="shared" si="64"/>
        <v>0.19583831673303553</v>
      </c>
      <c r="U1373" s="3">
        <v>2.21</v>
      </c>
      <c r="V1373" s="5">
        <f t="shared" si="65"/>
        <v>8.861462295612467E-2</v>
      </c>
      <c r="W1373" s="3">
        <v>8.861462295612467E-2</v>
      </c>
    </row>
    <row r="1374" spans="1:23" x14ac:dyDescent="0.55000000000000004">
      <c r="A1374" s="3">
        <v>40</v>
      </c>
      <c r="B1374" s="3" t="s">
        <v>48</v>
      </c>
      <c r="C1374" s="3" t="s">
        <v>50</v>
      </c>
      <c r="D1374" s="3" t="s">
        <v>10</v>
      </c>
      <c r="E1374" s="2" t="s">
        <v>23</v>
      </c>
      <c r="F1374" s="3">
        <v>40</v>
      </c>
      <c r="G1374" s="4">
        <v>28.8</v>
      </c>
      <c r="H1374" s="4">
        <v>111.2</v>
      </c>
      <c r="I1374" s="6">
        <v>8.1674365894311265</v>
      </c>
      <c r="J1374" s="5">
        <v>5.1999999999999998E-2</v>
      </c>
      <c r="K1374" s="4">
        <v>24.2</v>
      </c>
      <c r="L1374" s="4">
        <v>62</v>
      </c>
      <c r="M1374" s="6">
        <v>4.952659204451126</v>
      </c>
      <c r="N1374" s="5">
        <v>5.1999999999999998E-2</v>
      </c>
      <c r="O1374" s="5">
        <v>3.2147773849800005</v>
      </c>
      <c r="P1374" s="5">
        <v>3.2147773849800005</v>
      </c>
      <c r="Q1374" s="8">
        <v>0.20833333333333334</v>
      </c>
      <c r="R1374" s="8">
        <v>0.89027777777777783</v>
      </c>
      <c r="S1374" s="6">
        <f t="shared" si="63"/>
        <v>16.366666666666667</v>
      </c>
      <c r="T1374" s="5">
        <f t="shared" si="64"/>
        <v>0.19642224348146642</v>
      </c>
      <c r="U1374" s="3">
        <v>2.21</v>
      </c>
      <c r="V1374" s="5">
        <f t="shared" si="65"/>
        <v>8.887884320428345E-2</v>
      </c>
      <c r="W1374" s="3">
        <v>8.887884320428345E-2</v>
      </c>
    </row>
    <row r="1375" spans="1:23" x14ac:dyDescent="0.55000000000000004">
      <c r="A1375" s="3">
        <v>12</v>
      </c>
      <c r="B1375" s="3" t="s">
        <v>53</v>
      </c>
      <c r="C1375" s="3" t="s">
        <v>50</v>
      </c>
      <c r="D1375" s="3" t="s">
        <v>11</v>
      </c>
      <c r="E1375" s="3" t="s">
        <v>27</v>
      </c>
      <c r="F1375" s="3">
        <v>54</v>
      </c>
      <c r="G1375" s="4">
        <v>27.7</v>
      </c>
      <c r="H1375" s="4">
        <v>100.8</v>
      </c>
      <c r="I1375" s="6">
        <v>7.5502151329181766</v>
      </c>
      <c r="J1375" s="5">
        <v>5.0999999999999997E-2</v>
      </c>
      <c r="K1375" s="4">
        <v>24.6</v>
      </c>
      <c r="L1375" s="4">
        <v>54.2</v>
      </c>
      <c r="M1375" s="6">
        <v>4.2971855058621644</v>
      </c>
      <c r="N1375" s="5">
        <v>0.05</v>
      </c>
      <c r="O1375" s="5">
        <v>3.2530296270560122</v>
      </c>
      <c r="P1375" s="5">
        <v>3.2530296270560122</v>
      </c>
      <c r="Q1375" s="8">
        <v>0.20833333333333334</v>
      </c>
      <c r="R1375" s="8">
        <v>0.89583333333333337</v>
      </c>
      <c r="S1375" s="6">
        <f t="shared" si="63"/>
        <v>16.5</v>
      </c>
      <c r="T1375" s="5">
        <f t="shared" si="64"/>
        <v>0.19715331073066741</v>
      </c>
      <c r="U1375" s="3">
        <v>2.21</v>
      </c>
      <c r="V1375" s="5">
        <f t="shared" si="65"/>
        <v>8.9209642864555391E-2</v>
      </c>
      <c r="W1375" s="3">
        <v>8.9209642864555391E-2</v>
      </c>
    </row>
    <row r="1376" spans="1:23" x14ac:dyDescent="0.55000000000000004">
      <c r="A1376" s="3">
        <v>41</v>
      </c>
      <c r="B1376" s="3" t="s">
        <v>51</v>
      </c>
      <c r="C1376" s="3" t="s">
        <v>50</v>
      </c>
      <c r="D1376" s="3" t="s">
        <v>9</v>
      </c>
      <c r="E1376" s="3" t="s">
        <v>30</v>
      </c>
      <c r="F1376" s="3">
        <v>65</v>
      </c>
      <c r="G1376" s="4">
        <v>27.7</v>
      </c>
      <c r="H1376" s="4">
        <v>117.1</v>
      </c>
      <c r="I1376" s="6">
        <v>8.7711328577849059</v>
      </c>
      <c r="J1376" s="5">
        <v>5.8000000000000003E-2</v>
      </c>
      <c r="K1376" s="4">
        <v>23.7</v>
      </c>
      <c r="L1376" s="4">
        <v>69</v>
      </c>
      <c r="M1376" s="6">
        <v>5.5641509298762477</v>
      </c>
      <c r="N1376" s="5">
        <v>4.3999999999999997E-2</v>
      </c>
      <c r="O1376" s="5">
        <v>3.2069819279086582</v>
      </c>
      <c r="P1376" s="5">
        <v>3.2069819279086582</v>
      </c>
      <c r="Q1376" s="8">
        <v>0.20833333333333334</v>
      </c>
      <c r="R1376" s="8">
        <v>0.88541666666666663</v>
      </c>
      <c r="S1376" s="6">
        <f t="shared" si="63"/>
        <v>16.25</v>
      </c>
      <c r="T1376" s="5">
        <f t="shared" si="64"/>
        <v>0.19735273402514819</v>
      </c>
      <c r="U1376" s="3">
        <v>2.21</v>
      </c>
      <c r="V1376" s="5">
        <f t="shared" si="65"/>
        <v>8.929987964938832E-2</v>
      </c>
      <c r="W1376" s="3">
        <v>8.929987964938832E-2</v>
      </c>
    </row>
    <row r="1377" spans="1:23" x14ac:dyDescent="0.55000000000000004">
      <c r="A1377" s="3">
        <v>29</v>
      </c>
      <c r="B1377" s="3" t="s">
        <v>52</v>
      </c>
      <c r="C1377" s="3" t="s">
        <v>50</v>
      </c>
      <c r="D1377" s="3" t="s">
        <v>12</v>
      </c>
      <c r="E1377" s="3" t="s">
        <v>31</v>
      </c>
      <c r="F1377" s="3">
        <v>68</v>
      </c>
      <c r="G1377" s="4">
        <v>25.2</v>
      </c>
      <c r="H1377" s="4">
        <v>94.5</v>
      </c>
      <c r="I1377" s="6">
        <v>7.4089622146121492</v>
      </c>
      <c r="J1377" s="5">
        <v>5.6000000000000001E-2</v>
      </c>
      <c r="K1377" s="4">
        <v>24.3</v>
      </c>
      <c r="L1377" s="4">
        <v>52.6</v>
      </c>
      <c r="M1377" s="6">
        <v>4.1938733987259154</v>
      </c>
      <c r="N1377" s="5">
        <v>5.6000000000000001E-2</v>
      </c>
      <c r="O1377" s="5">
        <v>3.2150888158862339</v>
      </c>
      <c r="P1377" s="5">
        <v>3.2150888158862339</v>
      </c>
      <c r="Q1377" s="8">
        <v>0.20833333333333334</v>
      </c>
      <c r="R1377" s="8">
        <v>0.88541666666666663</v>
      </c>
      <c r="S1377" s="6">
        <f t="shared" si="63"/>
        <v>16.25</v>
      </c>
      <c r="T1377" s="5">
        <f t="shared" si="64"/>
        <v>0.19785161943915286</v>
      </c>
      <c r="U1377" s="3">
        <v>2.21</v>
      </c>
      <c r="V1377" s="5">
        <f t="shared" si="65"/>
        <v>8.952561965572528E-2</v>
      </c>
      <c r="W1377" s="3">
        <v>8.952561965572528E-2</v>
      </c>
    </row>
    <row r="1378" spans="1:23" x14ac:dyDescent="0.55000000000000004">
      <c r="A1378" s="3">
        <v>61</v>
      </c>
      <c r="B1378" s="3" t="s">
        <v>53</v>
      </c>
      <c r="C1378" s="3" t="s">
        <v>50</v>
      </c>
      <c r="D1378" s="3" t="s">
        <v>11</v>
      </c>
      <c r="E1378" s="2" t="s">
        <v>22</v>
      </c>
      <c r="F1378" s="3">
        <v>37</v>
      </c>
      <c r="G1378" s="4">
        <v>30.8</v>
      </c>
      <c r="H1378" s="4">
        <v>107.6</v>
      </c>
      <c r="I1378" s="6">
        <v>7.6315314757311254</v>
      </c>
      <c r="J1378" s="5">
        <v>6.5000000000000002E-2</v>
      </c>
      <c r="K1378" s="4">
        <v>25.7</v>
      </c>
      <c r="L1378" s="4">
        <v>56.4</v>
      </c>
      <c r="M1378" s="6">
        <v>4.3811256336121174</v>
      </c>
      <c r="N1378" s="5">
        <v>0.06</v>
      </c>
      <c r="O1378" s="5">
        <v>3.2504058421190081</v>
      </c>
      <c r="P1378" s="5">
        <v>3.2504058421190081</v>
      </c>
      <c r="Q1378" s="8">
        <v>0.20138888888888887</v>
      </c>
      <c r="R1378" s="8">
        <v>0.88541666666666663</v>
      </c>
      <c r="S1378" s="6">
        <f t="shared" si="63"/>
        <v>16.416666666666668</v>
      </c>
      <c r="T1378" s="5">
        <f t="shared" si="64"/>
        <v>0.19799426449455884</v>
      </c>
      <c r="U1378" s="3">
        <v>2.21</v>
      </c>
      <c r="V1378" s="5">
        <f t="shared" si="65"/>
        <v>8.9590164929664637E-2</v>
      </c>
      <c r="W1378" s="3">
        <v>8.9590164929664637E-2</v>
      </c>
    </row>
    <row r="1379" spans="1:23" x14ac:dyDescent="0.55000000000000004">
      <c r="A1379" s="3">
        <v>24</v>
      </c>
      <c r="B1379" s="3" t="s">
        <v>52</v>
      </c>
      <c r="C1379" s="3" t="s">
        <v>49</v>
      </c>
      <c r="D1379" s="3" t="s">
        <v>40</v>
      </c>
      <c r="E1379" s="3" t="s">
        <v>29</v>
      </c>
      <c r="F1379" s="3">
        <v>61</v>
      </c>
      <c r="G1379" s="4">
        <v>29.9</v>
      </c>
      <c r="H1379" s="4">
        <v>111.5</v>
      </c>
      <c r="I1379" s="6">
        <v>8.0326392661470489</v>
      </c>
      <c r="J1379" s="5">
        <v>6.2E-2</v>
      </c>
      <c r="K1379" s="4">
        <v>25.5</v>
      </c>
      <c r="L1379" s="4">
        <v>61.1</v>
      </c>
      <c r="M1379" s="6">
        <v>4.7637845738844113</v>
      </c>
      <c r="N1379" s="5">
        <v>5.7000000000000002E-2</v>
      </c>
      <c r="O1379" s="5">
        <v>3.2688546922626376</v>
      </c>
      <c r="P1379" s="5">
        <v>3.2688546922626376</v>
      </c>
      <c r="Q1379" s="8">
        <v>0.19791666666666666</v>
      </c>
      <c r="R1379" s="8">
        <v>0.88541666666666663</v>
      </c>
      <c r="S1379" s="6">
        <f t="shared" si="63"/>
        <v>16.5</v>
      </c>
      <c r="T1379" s="5">
        <f t="shared" si="64"/>
        <v>0.19811240559167501</v>
      </c>
      <c r="U1379" s="3">
        <v>2.21</v>
      </c>
      <c r="V1379" s="5">
        <f t="shared" si="65"/>
        <v>8.9643622439671944E-2</v>
      </c>
      <c r="W1379" s="3">
        <v>8.9643622439671944E-2</v>
      </c>
    </row>
    <row r="1380" spans="1:23" x14ac:dyDescent="0.55000000000000004">
      <c r="A1380" s="3">
        <v>13</v>
      </c>
      <c r="B1380" s="3" t="s">
        <v>53</v>
      </c>
      <c r="C1380" s="3" t="s">
        <v>50</v>
      </c>
      <c r="D1380" s="3" t="s">
        <v>11</v>
      </c>
      <c r="E1380" s="2" t="s">
        <v>24</v>
      </c>
      <c r="F1380" s="3">
        <v>44</v>
      </c>
      <c r="G1380" s="4">
        <v>25.7</v>
      </c>
      <c r="H1380" s="4">
        <v>113.2</v>
      </c>
      <c r="I1380" s="6">
        <v>8.7933230802285767</v>
      </c>
      <c r="J1380" s="5">
        <v>0.05</v>
      </c>
      <c r="K1380" s="4">
        <v>21.7</v>
      </c>
      <c r="L1380" s="4">
        <v>65.2</v>
      </c>
      <c r="M1380" s="6">
        <v>5.4639021953724667</v>
      </c>
      <c r="N1380" s="5">
        <v>4.2999999999999997E-2</v>
      </c>
      <c r="O1380" s="5">
        <v>3.32942088485611</v>
      </c>
      <c r="P1380" s="5">
        <v>3.32942088485611</v>
      </c>
      <c r="Q1380" s="8">
        <v>0.20277777777777781</v>
      </c>
      <c r="R1380" s="8">
        <v>0.90277777777777779</v>
      </c>
      <c r="S1380" s="6">
        <f t="shared" si="63"/>
        <v>16.799999999999997</v>
      </c>
      <c r="T1380" s="5">
        <f t="shared" si="64"/>
        <v>0.19817981457476849</v>
      </c>
      <c r="U1380" s="3">
        <v>2.21</v>
      </c>
      <c r="V1380" s="5">
        <f t="shared" si="65"/>
        <v>8.9674124241976697E-2</v>
      </c>
      <c r="W1380" s="3">
        <v>8.9674124241976697E-2</v>
      </c>
    </row>
    <row r="1381" spans="1:23" x14ac:dyDescent="0.55000000000000004">
      <c r="A1381" s="3">
        <v>43</v>
      </c>
      <c r="B1381" s="3" t="s">
        <v>51</v>
      </c>
      <c r="C1381" s="3" t="s">
        <v>50</v>
      </c>
      <c r="D1381" s="3" t="s">
        <v>9</v>
      </c>
      <c r="E1381" s="3" t="s">
        <v>30</v>
      </c>
      <c r="F1381" s="3">
        <v>65</v>
      </c>
      <c r="G1381" s="4">
        <v>27.6</v>
      </c>
      <c r="H1381" s="4">
        <v>114.8</v>
      </c>
      <c r="I1381" s="6">
        <v>8.6143224525890822</v>
      </c>
      <c r="J1381" s="5">
        <v>4.9000000000000002E-2</v>
      </c>
      <c r="K1381" s="4">
        <v>23.4</v>
      </c>
      <c r="L1381" s="4">
        <v>66.400000000000006</v>
      </c>
      <c r="M1381" s="6">
        <v>5.3850973623880352</v>
      </c>
      <c r="N1381" s="5">
        <v>3.5000000000000003E-2</v>
      </c>
      <c r="O1381" s="5">
        <v>3.2292250902010471</v>
      </c>
      <c r="P1381" s="5">
        <v>3.2292250902010471</v>
      </c>
      <c r="Q1381" s="8">
        <v>0.20833333333333334</v>
      </c>
      <c r="R1381" s="8">
        <v>0.88541666666666663</v>
      </c>
      <c r="S1381" s="6">
        <f t="shared" si="63"/>
        <v>16.25</v>
      </c>
      <c r="T1381" s="5">
        <f t="shared" si="64"/>
        <v>0.19872154401237213</v>
      </c>
      <c r="U1381" s="3">
        <v>2.21</v>
      </c>
      <c r="V1381" s="5">
        <f t="shared" si="65"/>
        <v>8.9919250684331278E-2</v>
      </c>
      <c r="W1381" s="3">
        <v>8.9919250684331278E-2</v>
      </c>
    </row>
    <row r="1382" spans="1:23" x14ac:dyDescent="0.55000000000000004">
      <c r="A1382" s="3">
        <v>61</v>
      </c>
      <c r="B1382" s="3" t="s">
        <v>53</v>
      </c>
      <c r="C1382" s="3" t="s">
        <v>50</v>
      </c>
      <c r="D1382" s="3" t="s">
        <v>11</v>
      </c>
      <c r="E1382" s="2" t="s">
        <v>18</v>
      </c>
      <c r="F1382" s="3">
        <v>24</v>
      </c>
      <c r="G1382" s="4">
        <v>22.5</v>
      </c>
      <c r="H1382" s="4">
        <v>116</v>
      </c>
      <c r="I1382" s="6">
        <v>9.5713636811217473</v>
      </c>
      <c r="J1382" s="5">
        <v>4.5999999999999999E-2</v>
      </c>
      <c r="K1382" s="4">
        <v>20.100000000000001</v>
      </c>
      <c r="L1382" s="4">
        <v>73.7</v>
      </c>
      <c r="M1382" s="6">
        <v>6.3744038839589621</v>
      </c>
      <c r="N1382" s="5">
        <v>4.2999999999999997E-2</v>
      </c>
      <c r="O1382" s="5">
        <v>3.1969597971627852</v>
      </c>
      <c r="P1382" s="5">
        <v>3.1969597971627852</v>
      </c>
      <c r="Q1382" s="8">
        <v>0.21180555555555555</v>
      </c>
      <c r="R1382" s="8">
        <v>0.88194444444444453</v>
      </c>
      <c r="S1382" s="6">
        <f t="shared" si="63"/>
        <v>16.083333333333336</v>
      </c>
      <c r="T1382" s="5">
        <f t="shared" si="64"/>
        <v>0.1987747024142664</v>
      </c>
      <c r="U1382" s="3">
        <v>2.21</v>
      </c>
      <c r="V1382" s="5">
        <f t="shared" si="65"/>
        <v>8.9943304259849047E-2</v>
      </c>
      <c r="W1382" s="3">
        <v>8.9943304259849047E-2</v>
      </c>
    </row>
    <row r="1383" spans="1:23" x14ac:dyDescent="0.55000000000000004">
      <c r="A1383" s="3">
        <v>55</v>
      </c>
      <c r="B1383" s="3" t="s">
        <v>52</v>
      </c>
      <c r="C1383" s="3" t="s">
        <v>49</v>
      </c>
      <c r="D1383" s="3" t="s">
        <v>40</v>
      </c>
      <c r="E1383" s="3" t="s">
        <v>32</v>
      </c>
      <c r="F1383" s="3">
        <v>72</v>
      </c>
      <c r="G1383" s="4">
        <v>29.1</v>
      </c>
      <c r="H1383" s="4">
        <v>102.6</v>
      </c>
      <c r="I1383" s="6">
        <v>7.4959439744611025</v>
      </c>
      <c r="J1383" s="5">
        <v>5.8999999999999997E-2</v>
      </c>
      <c r="K1383" s="4">
        <v>24.7</v>
      </c>
      <c r="L1383" s="4">
        <v>53.9</v>
      </c>
      <c r="M1383" s="6">
        <v>4.2654113021969557</v>
      </c>
      <c r="N1383" s="5">
        <v>5.3999999999999999E-2</v>
      </c>
      <c r="O1383" s="5">
        <v>3.2305326722641468</v>
      </c>
      <c r="P1383" s="5">
        <v>3.2305326722641468</v>
      </c>
      <c r="Q1383" s="8">
        <v>0.20833333333333334</v>
      </c>
      <c r="R1383" s="8">
        <v>0.88541666666666663</v>
      </c>
      <c r="S1383" s="6">
        <f t="shared" si="63"/>
        <v>16.25</v>
      </c>
      <c r="T1383" s="5">
        <f t="shared" si="64"/>
        <v>0.19880201060087058</v>
      </c>
      <c r="U1383" s="3">
        <v>2.21</v>
      </c>
      <c r="V1383" s="5">
        <f t="shared" si="65"/>
        <v>8.9955660905371299E-2</v>
      </c>
      <c r="W1383" s="3">
        <v>8.9955660905371299E-2</v>
      </c>
    </row>
    <row r="1384" spans="1:23" x14ac:dyDescent="0.55000000000000004">
      <c r="A1384" s="3">
        <v>26</v>
      </c>
      <c r="B1384" s="3" t="s">
        <v>52</v>
      </c>
      <c r="C1384" s="3" t="s">
        <v>50</v>
      </c>
      <c r="D1384" s="3" t="s">
        <v>12</v>
      </c>
      <c r="E1384" s="2" t="s">
        <v>22</v>
      </c>
      <c r="F1384" s="3">
        <v>37</v>
      </c>
      <c r="G1384" s="4">
        <v>30.6</v>
      </c>
      <c r="H1384" s="4">
        <v>108.6</v>
      </c>
      <c r="I1384" s="6">
        <v>7.7291221037770104</v>
      </c>
      <c r="J1384" s="5">
        <v>5.3999999999999999E-2</v>
      </c>
      <c r="K1384" s="4">
        <v>25.6</v>
      </c>
      <c r="L1384" s="4">
        <v>57.3</v>
      </c>
      <c r="M1384" s="6">
        <v>4.4592603570851557</v>
      </c>
      <c r="N1384" s="5">
        <v>0.05</v>
      </c>
      <c r="O1384" s="5">
        <v>3.2698617466918547</v>
      </c>
      <c r="P1384" s="5">
        <v>3.2698617466918547</v>
      </c>
      <c r="Q1384" s="8">
        <v>0.20138888888888887</v>
      </c>
      <c r="R1384" s="8">
        <v>0.88541666666666663</v>
      </c>
      <c r="S1384" s="6">
        <f t="shared" si="63"/>
        <v>16.416666666666668</v>
      </c>
      <c r="T1384" s="5">
        <f t="shared" si="64"/>
        <v>0.1991793957375749</v>
      </c>
      <c r="U1384" s="3">
        <v>2.21</v>
      </c>
      <c r="V1384" s="5">
        <f t="shared" si="65"/>
        <v>9.0126423410667372E-2</v>
      </c>
      <c r="W1384" s="3">
        <v>9.0126423410667372E-2</v>
      </c>
    </row>
    <row r="1385" spans="1:23" x14ac:dyDescent="0.55000000000000004">
      <c r="A1385" s="3">
        <v>47</v>
      </c>
      <c r="B1385" s="3" t="s">
        <v>52</v>
      </c>
      <c r="C1385" s="3" t="s">
        <v>50</v>
      </c>
      <c r="D1385" s="3" t="s">
        <v>12</v>
      </c>
      <c r="E1385" s="2" t="s">
        <v>22</v>
      </c>
      <c r="F1385" s="3">
        <v>37</v>
      </c>
      <c r="G1385" s="4">
        <v>30.4</v>
      </c>
      <c r="H1385" s="4">
        <v>115.2</v>
      </c>
      <c r="I1385" s="6">
        <v>8.2273033268251954</v>
      </c>
      <c r="J1385" s="5">
        <v>6.9000000000000006E-2</v>
      </c>
      <c r="K1385" s="4">
        <v>25.3</v>
      </c>
      <c r="L1385" s="4">
        <v>63.3</v>
      </c>
      <c r="M1385" s="6">
        <v>4.9536268891104482</v>
      </c>
      <c r="N1385" s="5">
        <v>6.6000000000000003E-2</v>
      </c>
      <c r="O1385" s="5">
        <v>3.2736764377147471</v>
      </c>
      <c r="P1385" s="5">
        <v>3.2736764377147471</v>
      </c>
      <c r="Q1385" s="8">
        <v>0.20138888888888887</v>
      </c>
      <c r="R1385" s="8">
        <v>0.88541666666666663</v>
      </c>
      <c r="S1385" s="6">
        <f t="shared" si="63"/>
        <v>16.416666666666668</v>
      </c>
      <c r="T1385" s="5">
        <f t="shared" si="64"/>
        <v>0.19941176270343636</v>
      </c>
      <c r="U1385" s="3">
        <v>2.21</v>
      </c>
      <c r="V1385" s="5">
        <f t="shared" si="65"/>
        <v>9.0231566834134108E-2</v>
      </c>
      <c r="W1385" s="3">
        <v>9.0231566834134108E-2</v>
      </c>
    </row>
    <row r="1386" spans="1:23" x14ac:dyDescent="0.55000000000000004">
      <c r="A1386" s="3">
        <v>8</v>
      </c>
      <c r="B1386" s="3" t="s">
        <v>51</v>
      </c>
      <c r="C1386" s="3" t="s">
        <v>50</v>
      </c>
      <c r="D1386" s="3" t="s">
        <v>9</v>
      </c>
      <c r="E1386" s="3" t="s">
        <v>29</v>
      </c>
      <c r="F1386" s="3">
        <v>61</v>
      </c>
      <c r="G1386" s="4">
        <v>29.3</v>
      </c>
      <c r="H1386" s="4">
        <v>102.7</v>
      </c>
      <c r="I1386" s="6">
        <v>7.4768672263375882</v>
      </c>
      <c r="J1386" s="5">
        <v>4.5999999999999999E-2</v>
      </c>
      <c r="K1386" s="4">
        <v>24.9</v>
      </c>
      <c r="L1386" s="4">
        <v>53.1</v>
      </c>
      <c r="M1386" s="6">
        <v>4.1864383493049271</v>
      </c>
      <c r="N1386" s="5">
        <v>4.2000000000000003E-2</v>
      </c>
      <c r="O1386" s="5">
        <v>3.2904288770326611</v>
      </c>
      <c r="P1386" s="5">
        <v>3.2904288770326611</v>
      </c>
      <c r="Q1386" s="8">
        <v>0.19791666666666666</v>
      </c>
      <c r="R1386" s="8">
        <v>0.88541666666666663</v>
      </c>
      <c r="S1386" s="6">
        <f t="shared" si="63"/>
        <v>16.5</v>
      </c>
      <c r="T1386" s="5">
        <f t="shared" si="64"/>
        <v>0.19941993194137339</v>
      </c>
      <c r="U1386" s="3">
        <v>2.21</v>
      </c>
      <c r="V1386" s="5">
        <f t="shared" si="65"/>
        <v>9.0235263321888415E-2</v>
      </c>
      <c r="W1386" s="3">
        <v>9.0235263321888415E-2</v>
      </c>
    </row>
    <row r="1387" spans="1:23" x14ac:dyDescent="0.55000000000000004">
      <c r="A1387" s="3">
        <v>9</v>
      </c>
      <c r="B1387" s="3" t="s">
        <v>48</v>
      </c>
      <c r="C1387" s="3" t="s">
        <v>50</v>
      </c>
      <c r="D1387" s="3" t="s">
        <v>10</v>
      </c>
      <c r="E1387" s="2" t="s">
        <v>25</v>
      </c>
      <c r="F1387" s="3">
        <v>47</v>
      </c>
      <c r="G1387" s="4">
        <v>29.3</v>
      </c>
      <c r="H1387" s="4">
        <v>113.9</v>
      </c>
      <c r="I1387" s="6">
        <v>8.2922607310598941</v>
      </c>
      <c r="J1387" s="5">
        <v>7.9000000000000001E-2</v>
      </c>
      <c r="K1387" s="4">
        <v>25.4</v>
      </c>
      <c r="L1387" s="4">
        <v>64</v>
      </c>
      <c r="M1387" s="6">
        <v>4.9991327319654317</v>
      </c>
      <c r="N1387" s="5">
        <v>7.1999999999999995E-2</v>
      </c>
      <c r="O1387" s="5">
        <v>3.2931279990944624</v>
      </c>
      <c r="P1387" s="5">
        <v>3.2931279990944624</v>
      </c>
      <c r="Q1387" s="8">
        <v>0.20833333333333334</v>
      </c>
      <c r="R1387" s="8">
        <v>0.89583333333333337</v>
      </c>
      <c r="S1387" s="6">
        <f t="shared" si="63"/>
        <v>16.5</v>
      </c>
      <c r="T1387" s="5">
        <f t="shared" si="64"/>
        <v>0.19958351509663408</v>
      </c>
      <c r="U1387" s="3">
        <v>2.21</v>
      </c>
      <c r="V1387" s="5">
        <f t="shared" si="65"/>
        <v>9.0309282849155695E-2</v>
      </c>
      <c r="W1387" s="3">
        <v>9.0309282849155695E-2</v>
      </c>
    </row>
    <row r="1388" spans="1:23" x14ac:dyDescent="0.55000000000000004">
      <c r="A1388" s="3">
        <v>50</v>
      </c>
      <c r="B1388" s="3" t="s">
        <v>53</v>
      </c>
      <c r="C1388" s="3" t="s">
        <v>50</v>
      </c>
      <c r="D1388" s="3" t="s">
        <v>11</v>
      </c>
      <c r="E1388" s="3" t="s">
        <v>26</v>
      </c>
      <c r="F1388" s="3">
        <v>51</v>
      </c>
      <c r="G1388" s="4">
        <v>27.5</v>
      </c>
      <c r="H1388" s="4">
        <v>102.1</v>
      </c>
      <c r="I1388" s="6">
        <v>7.6751425276900429</v>
      </c>
      <c r="J1388" s="5">
        <v>4.8000000000000001E-2</v>
      </c>
      <c r="K1388" s="4">
        <v>24.8</v>
      </c>
      <c r="L1388" s="4">
        <v>56.7</v>
      </c>
      <c r="M1388" s="6">
        <v>4.4786143225295456</v>
      </c>
      <c r="N1388" s="5">
        <v>4.4999999999999998E-2</v>
      </c>
      <c r="O1388" s="5">
        <v>3.1965282051604973</v>
      </c>
      <c r="P1388" s="5">
        <v>3.1965282051604973</v>
      </c>
      <c r="Q1388" s="8">
        <v>0.20833333333333334</v>
      </c>
      <c r="R1388" s="8">
        <v>0.875</v>
      </c>
      <c r="S1388" s="6">
        <f t="shared" si="63"/>
        <v>16</v>
      </c>
      <c r="T1388" s="5">
        <f t="shared" si="64"/>
        <v>0.19978301282253108</v>
      </c>
      <c r="U1388" s="3">
        <v>2.21</v>
      </c>
      <c r="V1388" s="5">
        <f t="shared" si="65"/>
        <v>9.0399553313362482E-2</v>
      </c>
      <c r="W1388" s="3">
        <v>9.0399553313362482E-2</v>
      </c>
    </row>
    <row r="1389" spans="1:23" x14ac:dyDescent="0.55000000000000004">
      <c r="A1389" s="3">
        <v>19</v>
      </c>
      <c r="B1389" s="3" t="s">
        <v>53</v>
      </c>
      <c r="C1389" s="3" t="s">
        <v>49</v>
      </c>
      <c r="D1389" s="3" t="s">
        <v>41</v>
      </c>
      <c r="E1389" s="3" t="s">
        <v>32</v>
      </c>
      <c r="F1389" s="3">
        <v>72</v>
      </c>
      <c r="G1389" s="4">
        <v>29.5</v>
      </c>
      <c r="H1389" s="4">
        <v>115.3</v>
      </c>
      <c r="I1389" s="6">
        <v>8.3647449379002143</v>
      </c>
      <c r="J1389" s="5">
        <v>5.5E-2</v>
      </c>
      <c r="K1389" s="4">
        <v>25</v>
      </c>
      <c r="L1389" s="4">
        <v>65</v>
      </c>
      <c r="M1389" s="6">
        <v>5.1151011142380751</v>
      </c>
      <c r="N1389" s="5">
        <v>4.9000000000000002E-2</v>
      </c>
      <c r="O1389" s="5">
        <v>3.2496438236621392</v>
      </c>
      <c r="P1389" s="5">
        <v>3.2496438236621392</v>
      </c>
      <c r="Q1389" s="8">
        <v>0.20833333333333334</v>
      </c>
      <c r="R1389" s="8">
        <v>0.88541666666666663</v>
      </c>
      <c r="S1389" s="6">
        <f t="shared" si="63"/>
        <v>16.25</v>
      </c>
      <c r="T1389" s="5">
        <f t="shared" si="64"/>
        <v>0.19997808145613163</v>
      </c>
      <c r="U1389" s="3">
        <v>2.21</v>
      </c>
      <c r="V1389" s="5">
        <f t="shared" si="65"/>
        <v>9.0487819663407992E-2</v>
      </c>
      <c r="W1389" s="3">
        <v>9.0487819663407992E-2</v>
      </c>
    </row>
    <row r="1390" spans="1:23" x14ac:dyDescent="0.55000000000000004">
      <c r="A1390" s="3">
        <v>26</v>
      </c>
      <c r="B1390" s="3" t="s">
        <v>52</v>
      </c>
      <c r="C1390" s="3" t="s">
        <v>50</v>
      </c>
      <c r="D1390" s="3" t="s">
        <v>12</v>
      </c>
      <c r="E1390" s="3" t="s">
        <v>31</v>
      </c>
      <c r="F1390" s="3">
        <v>68</v>
      </c>
      <c r="G1390" s="4">
        <v>25.7</v>
      </c>
      <c r="H1390" s="4">
        <v>75.2</v>
      </c>
      <c r="I1390" s="6">
        <v>5.8415008448161565</v>
      </c>
      <c r="J1390" s="5">
        <v>0.04</v>
      </c>
      <c r="K1390" s="4">
        <v>24.3</v>
      </c>
      <c r="L1390" s="4">
        <v>32.5</v>
      </c>
      <c r="M1390" s="6">
        <v>2.5912715866652518</v>
      </c>
      <c r="N1390" s="5">
        <v>3.7999999999999999E-2</v>
      </c>
      <c r="O1390" s="5">
        <v>3.2502292581509047</v>
      </c>
      <c r="P1390" s="5">
        <v>3.2502292581509047</v>
      </c>
      <c r="Q1390" s="8">
        <v>0.20833333333333334</v>
      </c>
      <c r="R1390" s="8">
        <v>0.88541666666666663</v>
      </c>
      <c r="S1390" s="6">
        <f t="shared" si="63"/>
        <v>16.25</v>
      </c>
      <c r="T1390" s="5">
        <f t="shared" si="64"/>
        <v>0.20001410819390184</v>
      </c>
      <c r="U1390" s="3">
        <v>2.21</v>
      </c>
      <c r="V1390" s="5">
        <f t="shared" si="65"/>
        <v>9.0504121354706701E-2</v>
      </c>
      <c r="W1390" s="3">
        <v>9.0504121354706701E-2</v>
      </c>
    </row>
    <row r="1391" spans="1:23" x14ac:dyDescent="0.55000000000000004">
      <c r="A1391" s="3">
        <v>18</v>
      </c>
      <c r="B1391" s="3" t="s">
        <v>51</v>
      </c>
      <c r="C1391" s="3" t="s">
        <v>50</v>
      </c>
      <c r="D1391" s="3" t="s">
        <v>9</v>
      </c>
      <c r="E1391" s="3" t="s">
        <v>30</v>
      </c>
      <c r="F1391" s="3">
        <v>65</v>
      </c>
      <c r="G1391" s="4">
        <v>28.4</v>
      </c>
      <c r="H1391" s="4">
        <v>142.30000000000001</v>
      </c>
      <c r="I1391" s="6">
        <v>10.526140366997303</v>
      </c>
      <c r="J1391" s="5">
        <v>6.7000000000000004E-2</v>
      </c>
      <c r="K1391" s="4">
        <v>24</v>
      </c>
      <c r="L1391" s="4">
        <v>90.7</v>
      </c>
      <c r="M1391" s="6">
        <v>7.2726355863914378</v>
      </c>
      <c r="N1391" s="5">
        <v>5.5E-2</v>
      </c>
      <c r="O1391" s="5">
        <v>3.2535047806058657</v>
      </c>
      <c r="P1391" s="5">
        <v>3.2535047806058657</v>
      </c>
      <c r="Q1391" s="8">
        <v>0.20833333333333334</v>
      </c>
      <c r="R1391" s="8">
        <v>0.88541666666666663</v>
      </c>
      <c r="S1391" s="6">
        <f t="shared" si="63"/>
        <v>16.25</v>
      </c>
      <c r="T1391" s="5">
        <f t="shared" si="64"/>
        <v>0.20021567880651481</v>
      </c>
      <c r="U1391" s="3">
        <v>2.21</v>
      </c>
      <c r="V1391" s="5">
        <f t="shared" si="65"/>
        <v>9.0595329776703537E-2</v>
      </c>
      <c r="W1391" s="3">
        <v>9.0595329776703537E-2</v>
      </c>
    </row>
    <row r="1392" spans="1:23" x14ac:dyDescent="0.55000000000000004">
      <c r="A1392" s="3">
        <v>16</v>
      </c>
      <c r="B1392" s="3" t="s">
        <v>52</v>
      </c>
      <c r="C1392" s="3" t="s">
        <v>50</v>
      </c>
      <c r="D1392" s="3" t="s">
        <v>12</v>
      </c>
      <c r="E1392" s="3" t="s">
        <v>32</v>
      </c>
      <c r="F1392" s="3">
        <v>72</v>
      </c>
      <c r="G1392" s="4">
        <v>29.1</v>
      </c>
      <c r="H1392" s="4">
        <v>91.7</v>
      </c>
      <c r="I1392" s="6">
        <v>6.6995912520281014</v>
      </c>
      <c r="J1392" s="5">
        <v>6.7000000000000004E-2</v>
      </c>
      <c r="K1392" s="4">
        <v>24.5</v>
      </c>
      <c r="L1392" s="4">
        <v>43.3</v>
      </c>
      <c r="M1392" s="6">
        <v>3.4394302129392775</v>
      </c>
      <c r="N1392" s="5">
        <v>6.5000000000000002E-2</v>
      </c>
      <c r="O1392" s="5">
        <v>3.2601610390888238</v>
      </c>
      <c r="P1392" s="5">
        <v>3.2601610390888238</v>
      </c>
      <c r="Q1392" s="8">
        <v>0.20833333333333334</v>
      </c>
      <c r="R1392" s="8">
        <v>0.88541666666666663</v>
      </c>
      <c r="S1392" s="6">
        <f t="shared" si="63"/>
        <v>16.25</v>
      </c>
      <c r="T1392" s="5">
        <f t="shared" si="64"/>
        <v>0.20062529471315838</v>
      </c>
      <c r="U1392" s="3">
        <v>2.21</v>
      </c>
      <c r="V1392" s="5">
        <f t="shared" si="65"/>
        <v>9.078067634079566E-2</v>
      </c>
      <c r="W1392" s="3">
        <v>9.078067634079566E-2</v>
      </c>
    </row>
    <row r="1393" spans="1:23" x14ac:dyDescent="0.55000000000000004">
      <c r="A1393" s="3">
        <v>25</v>
      </c>
      <c r="B1393" s="3" t="s">
        <v>53</v>
      </c>
      <c r="C1393" s="3" t="s">
        <v>49</v>
      </c>
      <c r="D1393" s="3" t="s">
        <v>41</v>
      </c>
      <c r="E1393" s="3" t="s">
        <v>32</v>
      </c>
      <c r="F1393" s="3">
        <v>72</v>
      </c>
      <c r="G1393" s="4">
        <v>28</v>
      </c>
      <c r="H1393" s="4">
        <v>75.8</v>
      </c>
      <c r="I1393" s="6">
        <v>5.6471954262303869</v>
      </c>
      <c r="J1393" s="5">
        <v>6.5000000000000002E-2</v>
      </c>
      <c r="K1393" s="4">
        <v>23.7</v>
      </c>
      <c r="L1393" s="4">
        <v>29.6</v>
      </c>
      <c r="M1393" s="6">
        <v>2.3869401090483615</v>
      </c>
      <c r="N1393" s="5">
        <v>6.0999999999999999E-2</v>
      </c>
      <c r="O1393" s="5">
        <v>3.2602553171820254</v>
      </c>
      <c r="P1393" s="5">
        <v>3.2602553171820254</v>
      </c>
      <c r="Q1393" s="8">
        <v>0.20833333333333334</v>
      </c>
      <c r="R1393" s="8">
        <v>0.88541666666666663</v>
      </c>
      <c r="S1393" s="6">
        <f t="shared" si="63"/>
        <v>16.25</v>
      </c>
      <c r="T1393" s="5">
        <f t="shared" si="64"/>
        <v>0.2006310964419708</v>
      </c>
      <c r="U1393" s="3">
        <v>2.21</v>
      </c>
      <c r="V1393" s="5">
        <f t="shared" si="65"/>
        <v>9.0783301557452845E-2</v>
      </c>
      <c r="W1393" s="3">
        <v>9.0783301557452845E-2</v>
      </c>
    </row>
    <row r="1394" spans="1:23" x14ac:dyDescent="0.55000000000000004">
      <c r="A1394" s="3">
        <v>8</v>
      </c>
      <c r="B1394" s="3" t="s">
        <v>51</v>
      </c>
      <c r="C1394" s="3" t="s">
        <v>50</v>
      </c>
      <c r="D1394" s="3" t="s">
        <v>9</v>
      </c>
      <c r="E1394" s="2" t="s">
        <v>21</v>
      </c>
      <c r="F1394" s="3">
        <v>33</v>
      </c>
      <c r="G1394" s="4">
        <v>30.1</v>
      </c>
      <c r="H1394" s="4">
        <v>112</v>
      </c>
      <c r="I1394" s="6">
        <v>8.0405768086527836</v>
      </c>
      <c r="J1394" s="5">
        <v>4.7E-2</v>
      </c>
      <c r="K1394" s="4">
        <v>26.2</v>
      </c>
      <c r="L1394" s="4">
        <v>62.3</v>
      </c>
      <c r="M1394" s="6">
        <v>4.795157589779528</v>
      </c>
      <c r="N1394" s="5">
        <v>4.3999999999999997E-2</v>
      </c>
      <c r="O1394" s="5">
        <v>3.2454192188732556</v>
      </c>
      <c r="P1394" s="5">
        <v>3.2454192188732556</v>
      </c>
      <c r="Q1394" s="8">
        <v>0.20833333333333334</v>
      </c>
      <c r="R1394" s="8">
        <v>0.88194444444444453</v>
      </c>
      <c r="S1394" s="6">
        <f t="shared" si="63"/>
        <v>16.166666666666668</v>
      </c>
      <c r="T1394" s="5">
        <f t="shared" si="64"/>
        <v>0.20074758054886116</v>
      </c>
      <c r="U1394" s="3">
        <v>2.21</v>
      </c>
      <c r="V1394" s="5">
        <f t="shared" si="65"/>
        <v>9.0836009298127227E-2</v>
      </c>
      <c r="W1394" s="3">
        <v>9.0836009298127227E-2</v>
      </c>
    </row>
    <row r="1395" spans="1:23" x14ac:dyDescent="0.55000000000000004">
      <c r="A1395" s="3">
        <v>34</v>
      </c>
      <c r="B1395" s="3" t="s">
        <v>48</v>
      </c>
      <c r="C1395" s="3" t="s">
        <v>50</v>
      </c>
      <c r="D1395" s="3" t="s">
        <v>10</v>
      </c>
      <c r="E1395" s="3" t="s">
        <v>32</v>
      </c>
      <c r="F1395" s="3">
        <v>72</v>
      </c>
      <c r="G1395" s="4">
        <v>28.6</v>
      </c>
      <c r="H1395" s="4">
        <v>101.7</v>
      </c>
      <c r="I1395" s="6">
        <v>7.4962070744868754</v>
      </c>
      <c r="J1395" s="5">
        <v>6.4000000000000001E-2</v>
      </c>
      <c r="K1395" s="4">
        <v>24.4</v>
      </c>
      <c r="L1395" s="4">
        <v>53.2</v>
      </c>
      <c r="M1395" s="6">
        <v>4.2337494721922599</v>
      </c>
      <c r="N1395" s="5">
        <v>6.0999999999999999E-2</v>
      </c>
      <c r="O1395" s="5">
        <v>3.2624576022946155</v>
      </c>
      <c r="P1395" s="5">
        <v>3.2624576022946155</v>
      </c>
      <c r="Q1395" s="8">
        <v>0.20833333333333334</v>
      </c>
      <c r="R1395" s="8">
        <v>0.88541666666666663</v>
      </c>
      <c r="S1395" s="6">
        <f t="shared" si="63"/>
        <v>16.25</v>
      </c>
      <c r="T1395" s="5">
        <f t="shared" si="64"/>
        <v>0.20076662167966863</v>
      </c>
      <c r="U1395" s="3">
        <v>2.21</v>
      </c>
      <c r="V1395" s="5">
        <f t="shared" si="65"/>
        <v>9.08446251944202E-2</v>
      </c>
      <c r="W1395" s="3">
        <v>9.08446251944202E-2</v>
      </c>
    </row>
    <row r="1396" spans="1:23" x14ac:dyDescent="0.55000000000000004">
      <c r="A1396" s="3">
        <v>45</v>
      </c>
      <c r="B1396" s="3" t="s">
        <v>48</v>
      </c>
      <c r="C1396" s="3" t="s">
        <v>50</v>
      </c>
      <c r="D1396" s="3" t="s">
        <v>10</v>
      </c>
      <c r="E1396" s="3" t="s">
        <v>32</v>
      </c>
      <c r="F1396" s="3">
        <v>72</v>
      </c>
      <c r="G1396" s="4">
        <v>28.8</v>
      </c>
      <c r="H1396" s="4">
        <v>102.4</v>
      </c>
      <c r="I1396" s="6">
        <v>7.5210926866703893</v>
      </c>
      <c r="J1396" s="5">
        <v>5.7000000000000002E-2</v>
      </c>
      <c r="K1396" s="4">
        <v>24.2</v>
      </c>
      <c r="L1396" s="4">
        <v>53.3</v>
      </c>
      <c r="M1396" s="6">
        <v>4.257689283826533</v>
      </c>
      <c r="N1396" s="5">
        <v>5.1999999999999998E-2</v>
      </c>
      <c r="O1396" s="5">
        <v>3.2634034028438563</v>
      </c>
      <c r="P1396" s="5">
        <v>3.2634034028438563</v>
      </c>
      <c r="Q1396" s="8">
        <v>0.20833333333333334</v>
      </c>
      <c r="R1396" s="8">
        <v>0.88541666666666663</v>
      </c>
      <c r="S1396" s="6">
        <f t="shared" si="63"/>
        <v>16.25</v>
      </c>
      <c r="T1396" s="5">
        <f t="shared" si="64"/>
        <v>0.20082482479039115</v>
      </c>
      <c r="U1396" s="3">
        <v>2.21</v>
      </c>
      <c r="V1396" s="5">
        <f t="shared" si="65"/>
        <v>9.0870961443615908E-2</v>
      </c>
      <c r="W1396" s="3">
        <v>9.0870961443615908E-2</v>
      </c>
    </row>
    <row r="1397" spans="1:23" x14ac:dyDescent="0.55000000000000004">
      <c r="A1397" s="3">
        <v>41</v>
      </c>
      <c r="B1397" s="3" t="s">
        <v>51</v>
      </c>
      <c r="C1397" s="3" t="s">
        <v>50</v>
      </c>
      <c r="D1397" s="3" t="s">
        <v>9</v>
      </c>
      <c r="E1397" s="3" t="s">
        <v>29</v>
      </c>
      <c r="F1397" s="3">
        <v>61</v>
      </c>
      <c r="G1397" s="4">
        <v>30.6</v>
      </c>
      <c r="H1397" s="4">
        <v>106.1</v>
      </c>
      <c r="I1397" s="6">
        <v>7.5511957201725668</v>
      </c>
      <c r="J1397" s="5">
        <v>6.2E-2</v>
      </c>
      <c r="K1397" s="4">
        <v>26.3</v>
      </c>
      <c r="L1397" s="4">
        <v>54.9</v>
      </c>
      <c r="M1397" s="6">
        <v>4.2178590074522351</v>
      </c>
      <c r="N1397" s="5">
        <v>0.05</v>
      </c>
      <c r="O1397" s="5">
        <v>3.3333367127203317</v>
      </c>
      <c r="P1397" s="5">
        <v>3.3333367127203317</v>
      </c>
      <c r="Q1397" s="8">
        <v>0.19791666666666666</v>
      </c>
      <c r="R1397" s="8">
        <v>0.88541666666666663</v>
      </c>
      <c r="S1397" s="6">
        <f t="shared" si="63"/>
        <v>16.5</v>
      </c>
      <c r="T1397" s="5">
        <f t="shared" si="64"/>
        <v>0.20202040683153524</v>
      </c>
      <c r="U1397" s="3">
        <v>2.21</v>
      </c>
      <c r="V1397" s="5">
        <f t="shared" si="65"/>
        <v>9.1411948792549894E-2</v>
      </c>
      <c r="W1397" s="3">
        <v>9.1411948792549894E-2</v>
      </c>
    </row>
    <row r="1398" spans="1:23" x14ac:dyDescent="0.55000000000000004">
      <c r="A1398" s="3">
        <v>10</v>
      </c>
      <c r="B1398" s="3" t="s">
        <v>51</v>
      </c>
      <c r="C1398" s="3" t="s">
        <v>49</v>
      </c>
      <c r="D1398" s="3" t="s">
        <v>39</v>
      </c>
      <c r="E1398" s="2" t="s">
        <v>25</v>
      </c>
      <c r="F1398" s="3">
        <v>47</v>
      </c>
      <c r="G1398" s="4">
        <v>29</v>
      </c>
      <c r="H1398" s="4">
        <v>118.5</v>
      </c>
      <c r="I1398" s="6">
        <v>8.6728866508499962</v>
      </c>
      <c r="J1398" s="5">
        <v>0.08</v>
      </c>
      <c r="K1398" s="4">
        <v>25.2</v>
      </c>
      <c r="L1398" s="4">
        <v>68.099999999999994</v>
      </c>
      <c r="M1398" s="6">
        <v>5.339156897514151</v>
      </c>
      <c r="N1398" s="5">
        <v>6.7000000000000004E-2</v>
      </c>
      <c r="O1398" s="5">
        <v>3.3337297533358452</v>
      </c>
      <c r="P1398" s="5">
        <v>3.3337297533358452</v>
      </c>
      <c r="Q1398" s="8">
        <v>0.20833333333333334</v>
      </c>
      <c r="R1398" s="8">
        <v>0.89583333333333337</v>
      </c>
      <c r="S1398" s="6">
        <f t="shared" si="63"/>
        <v>16.5</v>
      </c>
      <c r="T1398" s="5">
        <f t="shared" si="64"/>
        <v>0.2020442274748997</v>
      </c>
      <c r="U1398" s="3">
        <v>2.21</v>
      </c>
      <c r="V1398" s="5">
        <f t="shared" si="65"/>
        <v>9.1422727364208006E-2</v>
      </c>
      <c r="W1398" s="3">
        <v>9.1422727364208006E-2</v>
      </c>
    </row>
    <row r="1399" spans="1:23" x14ac:dyDescent="0.55000000000000004">
      <c r="A1399" s="3">
        <v>39</v>
      </c>
      <c r="B1399" s="3" t="s">
        <v>51</v>
      </c>
      <c r="C1399" s="3" t="s">
        <v>50</v>
      </c>
      <c r="D1399" s="3" t="s">
        <v>9</v>
      </c>
      <c r="E1399" s="3" t="s">
        <v>26</v>
      </c>
      <c r="F1399" s="3">
        <v>51</v>
      </c>
      <c r="G1399" s="4">
        <v>27.4</v>
      </c>
      <c r="H1399" s="4">
        <v>111.7</v>
      </c>
      <c r="I1399" s="6">
        <v>8.4119441914375326</v>
      </c>
      <c r="J1399" s="5">
        <v>0.04</v>
      </c>
      <c r="K1399" s="4">
        <v>24.6</v>
      </c>
      <c r="L1399" s="4">
        <v>65.3</v>
      </c>
      <c r="M1399" s="6">
        <v>5.1772364120442687</v>
      </c>
      <c r="N1399" s="5">
        <v>3.5999999999999997E-2</v>
      </c>
      <c r="O1399" s="5">
        <v>3.2347077793932639</v>
      </c>
      <c r="P1399" s="5">
        <v>3.2347077793932639</v>
      </c>
      <c r="Q1399" s="8">
        <v>0.20833333333333334</v>
      </c>
      <c r="R1399" s="8">
        <v>0.875</v>
      </c>
      <c r="S1399" s="6">
        <f t="shared" si="63"/>
        <v>16</v>
      </c>
      <c r="T1399" s="5">
        <f t="shared" si="64"/>
        <v>0.202169236212079</v>
      </c>
      <c r="U1399" s="3">
        <v>2.21</v>
      </c>
      <c r="V1399" s="5">
        <f t="shared" si="65"/>
        <v>9.1479292403655654E-2</v>
      </c>
      <c r="W1399" s="3">
        <v>9.1479292403655654E-2</v>
      </c>
    </row>
    <row r="1400" spans="1:23" x14ac:dyDescent="0.55000000000000004">
      <c r="A1400" s="3">
        <v>23</v>
      </c>
      <c r="B1400" s="3" t="s">
        <v>52</v>
      </c>
      <c r="C1400" s="3" t="s">
        <v>49</v>
      </c>
      <c r="D1400" s="3" t="s">
        <v>40</v>
      </c>
      <c r="E1400" s="3" t="s">
        <v>32</v>
      </c>
      <c r="F1400" s="3">
        <v>72</v>
      </c>
      <c r="G1400" s="4">
        <v>27.5</v>
      </c>
      <c r="H1400" s="4">
        <v>83</v>
      </c>
      <c r="I1400" s="6">
        <v>6.2393421135971945</v>
      </c>
      <c r="J1400" s="5">
        <v>6.6000000000000003E-2</v>
      </c>
      <c r="K1400" s="4">
        <v>23.6</v>
      </c>
      <c r="L1400" s="4">
        <v>36.5</v>
      </c>
      <c r="M1400" s="6">
        <v>2.9489454481978354</v>
      </c>
      <c r="N1400" s="5">
        <v>6.2E-2</v>
      </c>
      <c r="O1400" s="5">
        <v>3.290396665399359</v>
      </c>
      <c r="P1400" s="5">
        <v>3.290396665399359</v>
      </c>
      <c r="Q1400" s="8">
        <v>0.20833333333333334</v>
      </c>
      <c r="R1400" s="8">
        <v>0.88541666666666663</v>
      </c>
      <c r="S1400" s="6">
        <f t="shared" si="63"/>
        <v>16.25</v>
      </c>
      <c r="T1400" s="5">
        <f t="shared" si="64"/>
        <v>0.20248594863996056</v>
      </c>
      <c r="U1400" s="3">
        <v>2.21</v>
      </c>
      <c r="V1400" s="5">
        <f t="shared" si="65"/>
        <v>9.1622601194552289E-2</v>
      </c>
      <c r="W1400" s="3">
        <v>9.1622601194552289E-2</v>
      </c>
    </row>
    <row r="1401" spans="1:23" x14ac:dyDescent="0.55000000000000004">
      <c r="A1401" s="3">
        <v>14</v>
      </c>
      <c r="B1401" s="3" t="s">
        <v>48</v>
      </c>
      <c r="C1401" s="3" t="s">
        <v>50</v>
      </c>
      <c r="D1401" s="3" t="s">
        <v>10</v>
      </c>
      <c r="E1401" s="3" t="s">
        <v>30</v>
      </c>
      <c r="F1401" s="3">
        <v>65</v>
      </c>
      <c r="G1401" s="4">
        <v>28.3</v>
      </c>
      <c r="H1401" s="4">
        <v>133.1</v>
      </c>
      <c r="I1401" s="6">
        <v>9.863149957826403</v>
      </c>
      <c r="J1401" s="5">
        <v>6.7000000000000004E-2</v>
      </c>
      <c r="K1401" s="4">
        <v>23.2</v>
      </c>
      <c r="L1401" s="4">
        <v>80.7</v>
      </c>
      <c r="M1401" s="6">
        <v>6.5698474359144914</v>
      </c>
      <c r="N1401" s="5">
        <v>5.0999999999999997E-2</v>
      </c>
      <c r="O1401" s="5">
        <v>3.2933025219119116</v>
      </c>
      <c r="P1401" s="5">
        <v>3.2933025219119116</v>
      </c>
      <c r="Q1401" s="8">
        <v>0.20833333333333334</v>
      </c>
      <c r="R1401" s="8">
        <v>0.88541666666666663</v>
      </c>
      <c r="S1401" s="6">
        <f t="shared" si="63"/>
        <v>16.25</v>
      </c>
      <c r="T1401" s="5">
        <f t="shared" si="64"/>
        <v>0.20266477057919458</v>
      </c>
      <c r="U1401" s="3">
        <v>2.21</v>
      </c>
      <c r="V1401" s="5">
        <f t="shared" si="65"/>
        <v>9.1703516099183063E-2</v>
      </c>
      <c r="W1401" s="3">
        <v>9.1703516099183063E-2</v>
      </c>
    </row>
    <row r="1402" spans="1:23" x14ac:dyDescent="0.55000000000000004">
      <c r="A1402" s="3">
        <v>37</v>
      </c>
      <c r="B1402" s="3" t="s">
        <v>53</v>
      </c>
      <c r="C1402" s="3" t="s">
        <v>50</v>
      </c>
      <c r="D1402" s="3" t="s">
        <v>11</v>
      </c>
      <c r="E1402" s="3" t="s">
        <v>31</v>
      </c>
      <c r="F1402" s="3">
        <v>68</v>
      </c>
      <c r="G1402" s="4">
        <v>25.1</v>
      </c>
      <c r="H1402" s="4">
        <v>71.7</v>
      </c>
      <c r="I1402" s="6">
        <v>5.6318596168477972</v>
      </c>
      <c r="J1402" s="5">
        <v>5.1999999999999998E-2</v>
      </c>
      <c r="K1402" s="4">
        <v>24.2</v>
      </c>
      <c r="L1402" s="4">
        <v>29.2</v>
      </c>
      <c r="M1402" s="6">
        <v>2.3325427220963366</v>
      </c>
      <c r="N1402" s="5">
        <v>5.3999999999999999E-2</v>
      </c>
      <c r="O1402" s="5">
        <v>3.2993168947514606</v>
      </c>
      <c r="P1402" s="5">
        <v>3.2993168947514606</v>
      </c>
      <c r="Q1402" s="8">
        <v>0.20833333333333334</v>
      </c>
      <c r="R1402" s="8">
        <v>0.88541666666666663</v>
      </c>
      <c r="S1402" s="6">
        <f t="shared" si="63"/>
        <v>16.25</v>
      </c>
      <c r="T1402" s="5">
        <f t="shared" si="64"/>
        <v>0.2030348858308591</v>
      </c>
      <c r="U1402" s="3">
        <v>2.21</v>
      </c>
      <c r="V1402" s="5">
        <f t="shared" si="65"/>
        <v>9.1870989063737168E-2</v>
      </c>
      <c r="W1402" s="3">
        <v>9.1870989063737168E-2</v>
      </c>
    </row>
    <row r="1403" spans="1:23" x14ac:dyDescent="0.55000000000000004">
      <c r="A1403" s="3">
        <v>10</v>
      </c>
      <c r="B1403" s="3" t="s">
        <v>51</v>
      </c>
      <c r="C1403" s="3" t="s">
        <v>49</v>
      </c>
      <c r="D1403" s="3" t="s">
        <v>39</v>
      </c>
      <c r="E1403" s="3" t="s">
        <v>26</v>
      </c>
      <c r="F1403" s="3">
        <v>51</v>
      </c>
      <c r="G1403" s="4">
        <v>27.9</v>
      </c>
      <c r="H1403" s="4">
        <v>124</v>
      </c>
      <c r="I1403" s="6">
        <v>9.2547069226146093</v>
      </c>
      <c r="J1403" s="5">
        <v>7.4999999999999997E-2</v>
      </c>
      <c r="K1403" s="4">
        <v>24.8</v>
      </c>
      <c r="L1403" s="4">
        <v>76</v>
      </c>
      <c r="M1403" s="6">
        <v>6.0030809261418945</v>
      </c>
      <c r="N1403" s="5">
        <v>6.5000000000000002E-2</v>
      </c>
      <c r="O1403" s="5">
        <v>3.2516259964727148</v>
      </c>
      <c r="P1403" s="5">
        <v>3.2516259964727148</v>
      </c>
      <c r="Q1403" s="8">
        <v>0.20833333333333334</v>
      </c>
      <c r="R1403" s="8">
        <v>0.875</v>
      </c>
      <c r="S1403" s="6">
        <f t="shared" si="63"/>
        <v>16</v>
      </c>
      <c r="T1403" s="5">
        <f t="shared" si="64"/>
        <v>0.20322662477954467</v>
      </c>
      <c r="U1403" s="3">
        <v>2.21</v>
      </c>
      <c r="V1403" s="5">
        <f t="shared" si="65"/>
        <v>9.1957748769024739E-2</v>
      </c>
      <c r="W1403" s="3">
        <v>9.1957748769024739E-2</v>
      </c>
    </row>
    <row r="1404" spans="1:23" x14ac:dyDescent="0.55000000000000004">
      <c r="A1404" s="3">
        <v>14</v>
      </c>
      <c r="B1404" s="3" t="s">
        <v>48</v>
      </c>
      <c r="C1404" s="3" t="s">
        <v>50</v>
      </c>
      <c r="D1404" s="3" t="s">
        <v>10</v>
      </c>
      <c r="E1404" s="3" t="s">
        <v>26</v>
      </c>
      <c r="F1404" s="3">
        <v>51</v>
      </c>
      <c r="G1404" s="4">
        <v>27.2</v>
      </c>
      <c r="H1404" s="4">
        <v>109.8</v>
      </c>
      <c r="I1404" s="6">
        <v>8.2987687441925981</v>
      </c>
      <c r="J1404" s="5">
        <v>6.5000000000000002E-2</v>
      </c>
      <c r="K1404" s="4">
        <v>24.3</v>
      </c>
      <c r="L1404" s="4">
        <v>63.3</v>
      </c>
      <c r="M1404" s="6">
        <v>5.0469997364895516</v>
      </c>
      <c r="N1404" s="5">
        <v>6.0999999999999999E-2</v>
      </c>
      <c r="O1404" s="5">
        <v>3.2517690077030466</v>
      </c>
      <c r="P1404" s="5">
        <v>3.2517690077030466</v>
      </c>
      <c r="Q1404" s="8">
        <v>0.20833333333333334</v>
      </c>
      <c r="R1404" s="8">
        <v>0.875</v>
      </c>
      <c r="S1404" s="6">
        <f t="shared" si="63"/>
        <v>16</v>
      </c>
      <c r="T1404" s="5">
        <f t="shared" si="64"/>
        <v>0.20323556298144041</v>
      </c>
      <c r="U1404" s="3">
        <v>2.21</v>
      </c>
      <c r="V1404" s="5">
        <f t="shared" si="65"/>
        <v>9.1961793204271683E-2</v>
      </c>
      <c r="W1404" s="3">
        <v>9.1961793204271683E-2</v>
      </c>
    </row>
    <row r="1405" spans="1:23" x14ac:dyDescent="0.55000000000000004">
      <c r="A1405" s="3">
        <v>13</v>
      </c>
      <c r="B1405" s="3" t="s">
        <v>53</v>
      </c>
      <c r="C1405" s="3" t="s">
        <v>50</v>
      </c>
      <c r="D1405" s="3" t="s">
        <v>11</v>
      </c>
      <c r="E1405" s="3" t="s">
        <v>34</v>
      </c>
      <c r="F1405" s="3">
        <v>79</v>
      </c>
      <c r="G1405" s="4">
        <v>29</v>
      </c>
      <c r="H1405" s="4">
        <v>88</v>
      </c>
      <c r="I1405" s="6">
        <v>6.4406246858632876</v>
      </c>
      <c r="J1405" s="5">
        <v>5.3999999999999999E-2</v>
      </c>
      <c r="K1405" s="4">
        <v>25.5</v>
      </c>
      <c r="L1405" s="4">
        <v>40.1</v>
      </c>
      <c r="M1405" s="6">
        <v>3.1264772735313402</v>
      </c>
      <c r="N1405" s="5">
        <v>5.2999999999999999E-2</v>
      </c>
      <c r="O1405" s="5">
        <v>3.3141474123319474</v>
      </c>
      <c r="P1405" s="5">
        <v>3.3141474123319474</v>
      </c>
      <c r="Q1405" s="8">
        <v>0.20833333333333334</v>
      </c>
      <c r="R1405" s="8">
        <v>0.88541666666666663</v>
      </c>
      <c r="S1405" s="6">
        <f t="shared" si="63"/>
        <v>16.25</v>
      </c>
      <c r="T1405" s="5">
        <f t="shared" si="64"/>
        <v>0.20394753306658139</v>
      </c>
      <c r="U1405" s="3">
        <v>2.21</v>
      </c>
      <c r="V1405" s="5">
        <f t="shared" si="65"/>
        <v>9.2283951613837734E-2</v>
      </c>
      <c r="W1405" s="3">
        <v>9.2283951613837734E-2</v>
      </c>
    </row>
    <row r="1406" spans="1:23" x14ac:dyDescent="0.55000000000000004">
      <c r="A1406" s="3">
        <v>19</v>
      </c>
      <c r="B1406" s="3" t="s">
        <v>53</v>
      </c>
      <c r="C1406" s="3" t="s">
        <v>49</v>
      </c>
      <c r="D1406" s="3" t="s">
        <v>41</v>
      </c>
      <c r="E1406" s="3" t="s">
        <v>29</v>
      </c>
      <c r="F1406" s="3">
        <v>61</v>
      </c>
      <c r="G1406" s="4">
        <v>30.3</v>
      </c>
      <c r="H1406" s="4">
        <v>112.5</v>
      </c>
      <c r="I1406" s="6">
        <v>8.0484327165778602</v>
      </c>
      <c r="J1406" s="5">
        <v>6.5000000000000002E-2</v>
      </c>
      <c r="K1406" s="4">
        <v>25.7</v>
      </c>
      <c r="L1406" s="4">
        <v>60.2</v>
      </c>
      <c r="M1406" s="6">
        <v>4.6763078571533594</v>
      </c>
      <c r="N1406" s="5">
        <v>0.06</v>
      </c>
      <c r="O1406" s="5">
        <v>3.3721248594245008</v>
      </c>
      <c r="P1406" s="5">
        <v>3.3721248594245008</v>
      </c>
      <c r="Q1406" s="8">
        <v>0.19791666666666666</v>
      </c>
      <c r="R1406" s="8">
        <v>0.88541666666666663</v>
      </c>
      <c r="S1406" s="6">
        <f t="shared" si="63"/>
        <v>16.5</v>
      </c>
      <c r="T1406" s="5">
        <f t="shared" si="64"/>
        <v>0.20437120360148489</v>
      </c>
      <c r="U1406" s="3">
        <v>2.21</v>
      </c>
      <c r="V1406" s="5">
        <f t="shared" si="65"/>
        <v>9.2475657738228453E-2</v>
      </c>
      <c r="W1406" s="3">
        <v>9.2475657738228453E-2</v>
      </c>
    </row>
    <row r="1407" spans="1:23" x14ac:dyDescent="0.55000000000000004">
      <c r="A1407" s="3">
        <v>13</v>
      </c>
      <c r="B1407" s="3" t="s">
        <v>53</v>
      </c>
      <c r="C1407" s="3" t="s">
        <v>50</v>
      </c>
      <c r="D1407" s="3" t="s">
        <v>11</v>
      </c>
      <c r="E1407" s="3" t="s">
        <v>31</v>
      </c>
      <c r="F1407" s="3">
        <v>68</v>
      </c>
      <c r="G1407" s="4">
        <v>25.5</v>
      </c>
      <c r="H1407" s="4">
        <v>88.9</v>
      </c>
      <c r="I1407" s="6">
        <v>6.9312675714946685</v>
      </c>
      <c r="J1407" s="5">
        <v>4.9000000000000002E-2</v>
      </c>
      <c r="K1407" s="4">
        <v>24.1</v>
      </c>
      <c r="L1407" s="4">
        <v>45.1</v>
      </c>
      <c r="M1407" s="6">
        <v>3.6094548918366649</v>
      </c>
      <c r="N1407" s="5">
        <v>5.1999999999999998E-2</v>
      </c>
      <c r="O1407" s="5">
        <v>3.3218126796580036</v>
      </c>
      <c r="P1407" s="5">
        <v>3.3218126796580036</v>
      </c>
      <c r="Q1407" s="8">
        <v>0.20833333333333334</v>
      </c>
      <c r="R1407" s="8">
        <v>0.88541666666666663</v>
      </c>
      <c r="S1407" s="6">
        <f t="shared" si="63"/>
        <v>16.25</v>
      </c>
      <c r="T1407" s="5">
        <f t="shared" si="64"/>
        <v>0.20441924182510793</v>
      </c>
      <c r="U1407" s="3">
        <v>2.21</v>
      </c>
      <c r="V1407" s="5">
        <f t="shared" si="65"/>
        <v>9.2497394490999058E-2</v>
      </c>
      <c r="W1407" s="3">
        <v>9.2497394490999058E-2</v>
      </c>
    </row>
    <row r="1408" spans="1:23" x14ac:dyDescent="0.55000000000000004">
      <c r="A1408" s="3">
        <v>36</v>
      </c>
      <c r="B1408" s="3" t="s">
        <v>52</v>
      </c>
      <c r="C1408" s="3" t="s">
        <v>50</v>
      </c>
      <c r="D1408" s="3" t="s">
        <v>12</v>
      </c>
      <c r="E1408" s="3" t="s">
        <v>31</v>
      </c>
      <c r="F1408" s="3">
        <v>68</v>
      </c>
      <c r="G1408" s="4">
        <v>25.8</v>
      </c>
      <c r="H1408" s="4">
        <v>78.400000000000006</v>
      </c>
      <c r="I1408" s="6">
        <v>6.0788601137758773</v>
      </c>
      <c r="J1408" s="5">
        <v>5.8000000000000003E-2</v>
      </c>
      <c r="K1408" s="4">
        <v>24.2</v>
      </c>
      <c r="L1408" s="4">
        <v>34.5</v>
      </c>
      <c r="M1408" s="6">
        <v>2.7559152024768361</v>
      </c>
      <c r="N1408" s="5">
        <v>6.0999999999999999E-2</v>
      </c>
      <c r="O1408" s="5">
        <v>3.3229449112990412</v>
      </c>
      <c r="P1408" s="5">
        <v>3.3229449112990412</v>
      </c>
      <c r="Q1408" s="8">
        <v>0.20833333333333334</v>
      </c>
      <c r="R1408" s="8">
        <v>0.88541666666666663</v>
      </c>
      <c r="S1408" s="6">
        <f t="shared" si="63"/>
        <v>16.25</v>
      </c>
      <c r="T1408" s="5">
        <f t="shared" si="64"/>
        <v>0.20448891761840254</v>
      </c>
      <c r="U1408" s="3">
        <v>2.21</v>
      </c>
      <c r="V1408" s="5">
        <f t="shared" si="65"/>
        <v>9.2528921999277161E-2</v>
      </c>
      <c r="W1408" s="3">
        <v>9.2528921999277161E-2</v>
      </c>
    </row>
    <row r="1409" spans="1:23" x14ac:dyDescent="0.55000000000000004">
      <c r="A1409" s="3">
        <v>13</v>
      </c>
      <c r="B1409" s="3" t="s">
        <v>53</v>
      </c>
      <c r="C1409" s="3" t="s">
        <v>50</v>
      </c>
      <c r="D1409" s="3" t="s">
        <v>11</v>
      </c>
      <c r="E1409" s="3" t="s">
        <v>32</v>
      </c>
      <c r="F1409" s="3">
        <v>72</v>
      </c>
      <c r="G1409" s="4">
        <v>29.6</v>
      </c>
      <c r="H1409" s="4">
        <v>107.2</v>
      </c>
      <c r="I1409" s="6">
        <v>7.7634851710889441</v>
      </c>
      <c r="J1409" s="5">
        <v>6.3E-2</v>
      </c>
      <c r="K1409" s="4">
        <v>24.9</v>
      </c>
      <c r="L1409" s="4">
        <v>56.3</v>
      </c>
      <c r="M1409" s="6">
        <v>4.4387284193195367</v>
      </c>
      <c r="N1409" s="5">
        <v>4.8000000000000001E-2</v>
      </c>
      <c r="O1409" s="5">
        <v>3.3247567517694074</v>
      </c>
      <c r="P1409" s="5">
        <v>3.3247567517694074</v>
      </c>
      <c r="Q1409" s="8">
        <v>0.20833333333333334</v>
      </c>
      <c r="R1409" s="8">
        <v>0.88541666666666663</v>
      </c>
      <c r="S1409" s="6">
        <f t="shared" si="63"/>
        <v>16.25</v>
      </c>
      <c r="T1409" s="5">
        <f t="shared" si="64"/>
        <v>0.204600415493502</v>
      </c>
      <c r="U1409" s="3">
        <v>2.21</v>
      </c>
      <c r="V1409" s="5">
        <f t="shared" si="65"/>
        <v>9.2579373526471484E-2</v>
      </c>
      <c r="W1409" s="3">
        <v>9.2579373526471484E-2</v>
      </c>
    </row>
    <row r="1410" spans="1:23" x14ac:dyDescent="0.55000000000000004">
      <c r="A1410" s="3">
        <v>19</v>
      </c>
      <c r="B1410" s="3" t="s">
        <v>53</v>
      </c>
      <c r="C1410" s="3" t="s">
        <v>49</v>
      </c>
      <c r="D1410" s="3" t="s">
        <v>41</v>
      </c>
      <c r="E1410" s="3" t="s">
        <v>26</v>
      </c>
      <c r="F1410" s="3">
        <v>51</v>
      </c>
      <c r="G1410" s="4">
        <v>27.9</v>
      </c>
      <c r="H1410" s="4">
        <v>115.7</v>
      </c>
      <c r="I1410" s="6">
        <v>8.6352386366654041</v>
      </c>
      <c r="J1410" s="5">
        <v>6.5000000000000002E-2</v>
      </c>
      <c r="K1410" s="4">
        <v>25</v>
      </c>
      <c r="L1410" s="4">
        <v>68.099999999999994</v>
      </c>
      <c r="M1410" s="6">
        <v>5.3590520904555818</v>
      </c>
      <c r="N1410" s="5">
        <v>0.06</v>
      </c>
      <c r="O1410" s="5">
        <v>3.2761865462098223</v>
      </c>
      <c r="P1410" s="5">
        <v>3.2761865462098223</v>
      </c>
      <c r="Q1410" s="8">
        <v>0.20833333333333334</v>
      </c>
      <c r="R1410" s="8">
        <v>0.875</v>
      </c>
      <c r="S1410" s="6">
        <f t="shared" ref="S1410:S1473" si="66">(R1410-Q1410)*24</f>
        <v>16</v>
      </c>
      <c r="T1410" s="5">
        <f t="shared" ref="T1410:T1473" si="67">P1410/S1410</f>
        <v>0.20476165913811389</v>
      </c>
      <c r="U1410" s="3">
        <v>2.21</v>
      </c>
      <c r="V1410" s="5">
        <f t="shared" ref="V1410:V1473" si="68">(I1410-M1410)/U1410/S1410</f>
        <v>9.2652334451635246E-2</v>
      </c>
      <c r="W1410" s="3">
        <v>9.2652334451635246E-2</v>
      </c>
    </row>
    <row r="1411" spans="1:23" x14ac:dyDescent="0.55000000000000004">
      <c r="A1411" s="3">
        <v>30</v>
      </c>
      <c r="B1411" s="3" t="s">
        <v>52</v>
      </c>
      <c r="C1411" s="3" t="s">
        <v>49</v>
      </c>
      <c r="D1411" s="3" t="s">
        <v>40</v>
      </c>
      <c r="E1411" s="3" t="s">
        <v>29</v>
      </c>
      <c r="F1411" s="3">
        <v>61</v>
      </c>
      <c r="G1411" s="4">
        <v>29.3</v>
      </c>
      <c r="H1411" s="4">
        <v>116.7</v>
      </c>
      <c r="I1411" s="6">
        <v>8.4961091072404731</v>
      </c>
      <c r="J1411" s="5">
        <v>8.2000000000000003E-2</v>
      </c>
      <c r="K1411" s="4">
        <v>25</v>
      </c>
      <c r="L1411" s="4">
        <v>65</v>
      </c>
      <c r="M1411" s="6">
        <v>5.1151011142380751</v>
      </c>
      <c r="N1411" s="5">
        <v>7.2999999999999995E-2</v>
      </c>
      <c r="O1411" s="5">
        <v>3.381007993002398</v>
      </c>
      <c r="P1411" s="5">
        <v>3.381007993002398</v>
      </c>
      <c r="Q1411" s="8">
        <v>0.19791666666666666</v>
      </c>
      <c r="R1411" s="8">
        <v>0.88541666666666663</v>
      </c>
      <c r="S1411" s="6">
        <f t="shared" si="66"/>
        <v>16.5</v>
      </c>
      <c r="T1411" s="5">
        <f t="shared" si="67"/>
        <v>0.20490957533347867</v>
      </c>
      <c r="U1411" s="3">
        <v>2.21</v>
      </c>
      <c r="V1411" s="5">
        <f t="shared" si="68"/>
        <v>9.2719264856777686E-2</v>
      </c>
      <c r="W1411" s="3">
        <v>9.2719264856777686E-2</v>
      </c>
    </row>
    <row r="1412" spans="1:23" x14ac:dyDescent="0.55000000000000004">
      <c r="A1412" s="3">
        <v>64</v>
      </c>
      <c r="B1412" s="3" t="s">
        <v>53</v>
      </c>
      <c r="C1412" s="3" t="s">
        <v>50</v>
      </c>
      <c r="D1412" s="3" t="s">
        <v>11</v>
      </c>
      <c r="E1412" s="2" t="s">
        <v>21</v>
      </c>
      <c r="F1412" s="3">
        <v>33</v>
      </c>
      <c r="G1412" s="4">
        <v>30.6</v>
      </c>
      <c r="H1412" s="4">
        <v>96.7</v>
      </c>
      <c r="I1412" s="6">
        <v>6.8821925178198615</v>
      </c>
      <c r="J1412" s="5">
        <v>7.8E-2</v>
      </c>
      <c r="K1412" s="4">
        <v>26.5</v>
      </c>
      <c r="L1412" s="4">
        <v>46.6</v>
      </c>
      <c r="M1412" s="6">
        <v>3.5671271165382348</v>
      </c>
      <c r="N1412" s="5">
        <v>7.8E-2</v>
      </c>
      <c r="O1412" s="5">
        <v>3.3150654012816267</v>
      </c>
      <c r="P1412" s="5">
        <v>3.3150654012816267</v>
      </c>
      <c r="Q1412" s="8">
        <v>0.20833333333333334</v>
      </c>
      <c r="R1412" s="8">
        <v>0.88194444444444453</v>
      </c>
      <c r="S1412" s="6">
        <f t="shared" si="66"/>
        <v>16.166666666666668</v>
      </c>
      <c r="T1412" s="5">
        <f t="shared" si="67"/>
        <v>0.20505559183185318</v>
      </c>
      <c r="U1412" s="3">
        <v>2.21</v>
      </c>
      <c r="V1412" s="5">
        <f t="shared" si="68"/>
        <v>9.2785335670521801E-2</v>
      </c>
      <c r="W1412" s="3">
        <v>9.2785335670521801E-2</v>
      </c>
    </row>
    <row r="1413" spans="1:23" x14ac:dyDescent="0.55000000000000004">
      <c r="A1413" s="3">
        <v>14</v>
      </c>
      <c r="B1413" s="3" t="s">
        <v>48</v>
      </c>
      <c r="C1413" s="3" t="s">
        <v>50</v>
      </c>
      <c r="D1413" s="3" t="s">
        <v>10</v>
      </c>
      <c r="E1413" s="2" t="s">
        <v>21</v>
      </c>
      <c r="F1413" s="3">
        <v>33</v>
      </c>
      <c r="G1413" s="4">
        <v>30.1</v>
      </c>
      <c r="H1413" s="4">
        <v>114.5</v>
      </c>
      <c r="I1413" s="6">
        <v>8.2200539695602117</v>
      </c>
      <c r="J1413" s="5">
        <v>5.5E-2</v>
      </c>
      <c r="K1413" s="4">
        <v>26.3</v>
      </c>
      <c r="L1413" s="4">
        <v>63.7</v>
      </c>
      <c r="M1413" s="6">
        <v>4.8939456971713549</v>
      </c>
      <c r="N1413" s="5">
        <v>5.5E-2</v>
      </c>
      <c r="O1413" s="5">
        <v>3.3261082723888569</v>
      </c>
      <c r="P1413" s="5">
        <v>3.3261082723888569</v>
      </c>
      <c r="Q1413" s="8">
        <v>0.20833333333333334</v>
      </c>
      <c r="R1413" s="8">
        <v>0.88194444444444453</v>
      </c>
      <c r="S1413" s="6">
        <f t="shared" si="66"/>
        <v>16.166666666666668</v>
      </c>
      <c r="T1413" s="5">
        <f t="shared" si="67"/>
        <v>0.20573865602405297</v>
      </c>
      <c r="U1413" s="3">
        <v>2.21</v>
      </c>
      <c r="V1413" s="5">
        <f t="shared" si="68"/>
        <v>9.3094414490521721E-2</v>
      </c>
      <c r="W1413" s="3">
        <v>9.3094414490521721E-2</v>
      </c>
    </row>
    <row r="1414" spans="1:23" x14ac:dyDescent="0.55000000000000004">
      <c r="A1414" s="3">
        <v>33</v>
      </c>
      <c r="B1414" s="3" t="s">
        <v>51</v>
      </c>
      <c r="C1414" s="3" t="s">
        <v>50</v>
      </c>
      <c r="D1414" s="3" t="s">
        <v>9</v>
      </c>
      <c r="E1414" s="3" t="s">
        <v>27</v>
      </c>
      <c r="F1414" s="3">
        <v>54</v>
      </c>
      <c r="G1414" s="4">
        <v>27.9</v>
      </c>
      <c r="H1414" s="4">
        <v>120.6</v>
      </c>
      <c r="I1414" s="6">
        <v>9.0009488295751741</v>
      </c>
      <c r="J1414" s="5">
        <v>7.5999999999999998E-2</v>
      </c>
      <c r="K1414" s="4">
        <v>25.3</v>
      </c>
      <c r="L1414" s="4">
        <v>71.599999999999994</v>
      </c>
      <c r="M1414" s="6">
        <v>5.6031545854709019</v>
      </c>
      <c r="N1414" s="5">
        <v>6.2E-2</v>
      </c>
      <c r="O1414" s="5">
        <v>3.3977942441042721</v>
      </c>
      <c r="P1414" s="5">
        <v>3.3977942441042721</v>
      </c>
      <c r="Q1414" s="8">
        <v>0.20833333333333334</v>
      </c>
      <c r="R1414" s="8">
        <v>0.89583333333333337</v>
      </c>
      <c r="S1414" s="6">
        <f t="shared" si="66"/>
        <v>16.5</v>
      </c>
      <c r="T1414" s="5">
        <f t="shared" si="67"/>
        <v>0.20592692388510739</v>
      </c>
      <c r="U1414" s="3">
        <v>2.21</v>
      </c>
      <c r="V1414" s="5">
        <f t="shared" si="68"/>
        <v>9.3179603567921904E-2</v>
      </c>
      <c r="W1414" s="3">
        <v>9.3179603567921904E-2</v>
      </c>
    </row>
    <row r="1415" spans="1:23" x14ac:dyDescent="0.55000000000000004">
      <c r="A1415" s="3">
        <v>26</v>
      </c>
      <c r="B1415" s="3" t="s">
        <v>52</v>
      </c>
      <c r="C1415" s="3" t="s">
        <v>50</v>
      </c>
      <c r="D1415" s="3" t="s">
        <v>12</v>
      </c>
      <c r="E1415" s="3" t="s">
        <v>34</v>
      </c>
      <c r="F1415" s="3">
        <v>79</v>
      </c>
      <c r="G1415" s="4">
        <v>29.1</v>
      </c>
      <c r="H1415" s="4">
        <v>87.9</v>
      </c>
      <c r="I1415" s="6">
        <v>6.4219636974184313</v>
      </c>
      <c r="J1415" s="5">
        <v>4.3999999999999997E-2</v>
      </c>
      <c r="K1415" s="4">
        <v>25.6</v>
      </c>
      <c r="L1415" s="4">
        <v>39.5</v>
      </c>
      <c r="M1415" s="6">
        <v>3.0740101938021578</v>
      </c>
      <c r="N1415" s="5">
        <v>4.2999999999999997E-2</v>
      </c>
      <c r="O1415" s="5">
        <v>3.3479535036162735</v>
      </c>
      <c r="P1415" s="5">
        <v>3.3479535036162735</v>
      </c>
      <c r="Q1415" s="8">
        <v>0.20833333333333334</v>
      </c>
      <c r="R1415" s="8">
        <v>0.88541666666666663</v>
      </c>
      <c r="S1415" s="6">
        <f t="shared" si="66"/>
        <v>16.25</v>
      </c>
      <c r="T1415" s="5">
        <f t="shared" si="67"/>
        <v>0.2060279079148476</v>
      </c>
      <c r="U1415" s="3">
        <v>2.21</v>
      </c>
      <c r="V1415" s="5">
        <f t="shared" si="68"/>
        <v>9.3225297699026072E-2</v>
      </c>
      <c r="W1415" s="3">
        <v>9.3225297699026072E-2</v>
      </c>
    </row>
    <row r="1416" spans="1:23" x14ac:dyDescent="0.55000000000000004">
      <c r="A1416" s="3">
        <v>37</v>
      </c>
      <c r="B1416" s="3" t="s">
        <v>53</v>
      </c>
      <c r="C1416" s="3" t="s">
        <v>50</v>
      </c>
      <c r="D1416" s="3" t="s">
        <v>11</v>
      </c>
      <c r="E1416" s="2" t="s">
        <v>22</v>
      </c>
      <c r="F1416" s="3">
        <v>37</v>
      </c>
      <c r="G1416" s="4">
        <v>30.4</v>
      </c>
      <c r="H1416" s="4">
        <v>129.80000000000001</v>
      </c>
      <c r="I1416" s="6">
        <v>9.2699997553985281</v>
      </c>
      <c r="J1416" s="5">
        <v>6.3E-2</v>
      </c>
      <c r="K1416" s="4">
        <v>25.4</v>
      </c>
      <c r="L1416" s="4">
        <v>75.3</v>
      </c>
      <c r="M1416" s="6">
        <v>5.8817921049530772</v>
      </c>
      <c r="N1416" s="5">
        <v>0.05</v>
      </c>
      <c r="O1416" s="5">
        <v>3.3882076504454508</v>
      </c>
      <c r="P1416" s="5">
        <v>3.3882076504454508</v>
      </c>
      <c r="Q1416" s="8">
        <v>0.20138888888888887</v>
      </c>
      <c r="R1416" s="8">
        <v>0.88541666666666663</v>
      </c>
      <c r="S1416" s="6">
        <f t="shared" si="66"/>
        <v>16.416666666666668</v>
      </c>
      <c r="T1416" s="5">
        <f t="shared" si="67"/>
        <v>0.206388283275865</v>
      </c>
      <c r="U1416" s="3">
        <v>2.21</v>
      </c>
      <c r="V1416" s="5">
        <f t="shared" si="68"/>
        <v>9.3388363473242086E-2</v>
      </c>
      <c r="W1416" s="3">
        <v>9.3388363473242086E-2</v>
      </c>
    </row>
    <row r="1417" spans="1:23" x14ac:dyDescent="0.55000000000000004">
      <c r="A1417" s="3">
        <v>33</v>
      </c>
      <c r="B1417" s="3" t="s">
        <v>51</v>
      </c>
      <c r="C1417" s="3" t="s">
        <v>50</v>
      </c>
      <c r="D1417" s="3" t="s">
        <v>9</v>
      </c>
      <c r="E1417" s="2" t="s">
        <v>23</v>
      </c>
      <c r="F1417" s="3">
        <v>40</v>
      </c>
      <c r="G1417" s="4">
        <v>29.3</v>
      </c>
      <c r="H1417" s="4">
        <v>120.5</v>
      </c>
      <c r="I1417" s="6">
        <v>8.7727604749141115</v>
      </c>
      <c r="J1417" s="5">
        <v>6.9000000000000006E-2</v>
      </c>
      <c r="K1417" s="4">
        <v>24.6</v>
      </c>
      <c r="L1417" s="4">
        <v>68</v>
      </c>
      <c r="M1417" s="6">
        <v>5.391302848683158</v>
      </c>
      <c r="N1417" s="5">
        <v>6.0999999999999999E-2</v>
      </c>
      <c r="O1417" s="5">
        <v>3.3814576262309535</v>
      </c>
      <c r="P1417" s="5">
        <v>3.3814576262309535</v>
      </c>
      <c r="Q1417" s="8">
        <v>0.20833333333333334</v>
      </c>
      <c r="R1417" s="8">
        <v>0.89027777777777783</v>
      </c>
      <c r="S1417" s="6">
        <f t="shared" si="66"/>
        <v>16.366666666666667</v>
      </c>
      <c r="T1417" s="5">
        <f t="shared" si="67"/>
        <v>0.20660637227480366</v>
      </c>
      <c r="U1417" s="3">
        <v>2.21</v>
      </c>
      <c r="V1417" s="5">
        <f t="shared" si="68"/>
        <v>9.348704627819171E-2</v>
      </c>
      <c r="W1417" s="3">
        <v>9.348704627819171E-2</v>
      </c>
    </row>
    <row r="1418" spans="1:23" x14ac:dyDescent="0.55000000000000004">
      <c r="A1418" s="3">
        <v>47</v>
      </c>
      <c r="B1418" s="3" t="s">
        <v>52</v>
      </c>
      <c r="C1418" s="3" t="s">
        <v>50</v>
      </c>
      <c r="D1418" s="3" t="s">
        <v>12</v>
      </c>
      <c r="E1418" s="2" t="s">
        <v>23</v>
      </c>
      <c r="F1418" s="3">
        <v>40</v>
      </c>
      <c r="G1418" s="4">
        <v>29.2</v>
      </c>
      <c r="H1418" s="4">
        <v>105.4</v>
      </c>
      <c r="I1418" s="6">
        <v>7.6869528624109833</v>
      </c>
      <c r="J1418" s="5">
        <v>6.2E-2</v>
      </c>
      <c r="K1418" s="4">
        <v>24.4</v>
      </c>
      <c r="L1418" s="4">
        <v>54.1</v>
      </c>
      <c r="M1418" s="6">
        <v>4.3053730534887453</v>
      </c>
      <c r="N1418" s="5">
        <v>5.8999999999999997E-2</v>
      </c>
      <c r="O1418" s="5">
        <v>3.381579808922238</v>
      </c>
      <c r="P1418" s="5">
        <v>3.381579808922238</v>
      </c>
      <c r="Q1418" s="8">
        <v>0.20833333333333334</v>
      </c>
      <c r="R1418" s="8">
        <v>0.89027777777777783</v>
      </c>
      <c r="S1418" s="6">
        <f t="shared" si="66"/>
        <v>16.366666666666667</v>
      </c>
      <c r="T1418" s="5">
        <f t="shared" si="67"/>
        <v>0.20661383761235669</v>
      </c>
      <c r="U1418" s="3">
        <v>2.21</v>
      </c>
      <c r="V1418" s="5">
        <f t="shared" si="68"/>
        <v>9.3490424258984933E-2</v>
      </c>
      <c r="W1418" s="3">
        <v>9.3490424258984933E-2</v>
      </c>
    </row>
    <row r="1419" spans="1:23" x14ac:dyDescent="0.55000000000000004">
      <c r="A1419" s="3">
        <v>12</v>
      </c>
      <c r="B1419" s="3" t="s">
        <v>53</v>
      </c>
      <c r="C1419" s="3" t="s">
        <v>50</v>
      </c>
      <c r="D1419" s="3" t="s">
        <v>11</v>
      </c>
      <c r="E1419" s="3" t="s">
        <v>31</v>
      </c>
      <c r="F1419" s="3">
        <v>68</v>
      </c>
      <c r="G1419" s="4">
        <v>25.5</v>
      </c>
      <c r="H1419" s="4">
        <v>85.6</v>
      </c>
      <c r="I1419" s="6">
        <v>6.6739764242963266</v>
      </c>
      <c r="J1419" s="5">
        <v>4.4999999999999998E-2</v>
      </c>
      <c r="K1419" s="4">
        <v>24.2</v>
      </c>
      <c r="L1419" s="4">
        <v>41.5</v>
      </c>
      <c r="M1419" s="6">
        <v>3.3150864029793827</v>
      </c>
      <c r="N1419" s="5">
        <v>4.8000000000000001E-2</v>
      </c>
      <c r="O1419" s="5">
        <v>3.3588900213169439</v>
      </c>
      <c r="P1419" s="5">
        <v>3.3588900213169439</v>
      </c>
      <c r="Q1419" s="8">
        <v>0.20833333333333334</v>
      </c>
      <c r="R1419" s="8">
        <v>0.88541666666666663</v>
      </c>
      <c r="S1419" s="6">
        <f t="shared" si="66"/>
        <v>16.25</v>
      </c>
      <c r="T1419" s="5">
        <f t="shared" si="67"/>
        <v>0.206700924388735</v>
      </c>
      <c r="U1419" s="3">
        <v>2.21</v>
      </c>
      <c r="V1419" s="5">
        <f t="shared" si="68"/>
        <v>9.3529830040151599E-2</v>
      </c>
      <c r="W1419" s="3">
        <v>9.3529830040151599E-2</v>
      </c>
    </row>
    <row r="1420" spans="1:23" x14ac:dyDescent="0.55000000000000004">
      <c r="A1420" s="3">
        <v>43</v>
      </c>
      <c r="B1420" s="3" t="s">
        <v>51</v>
      </c>
      <c r="C1420" s="3" t="s">
        <v>50</v>
      </c>
      <c r="D1420" s="3" t="s">
        <v>9</v>
      </c>
      <c r="E1420" s="3" t="s">
        <v>26</v>
      </c>
      <c r="F1420" s="3">
        <v>51</v>
      </c>
      <c r="G1420" s="4">
        <v>27.1</v>
      </c>
      <c r="H1420" s="4">
        <v>99.5</v>
      </c>
      <c r="I1420" s="6">
        <v>7.5339029177674561</v>
      </c>
      <c r="J1420" s="5">
        <v>0.04</v>
      </c>
      <c r="K1420" s="4">
        <v>24.5</v>
      </c>
      <c r="L1420" s="4">
        <v>53.2</v>
      </c>
      <c r="M1420" s="6">
        <v>4.2258126403780505</v>
      </c>
      <c r="N1420" s="5">
        <v>3.9E-2</v>
      </c>
      <c r="O1420" s="5">
        <v>3.3080902773894056</v>
      </c>
      <c r="P1420" s="5">
        <v>3.3080902773894056</v>
      </c>
      <c r="Q1420" s="8">
        <v>0.20833333333333334</v>
      </c>
      <c r="R1420" s="8">
        <v>0.875</v>
      </c>
      <c r="S1420" s="6">
        <f t="shared" si="66"/>
        <v>16</v>
      </c>
      <c r="T1420" s="5">
        <f t="shared" si="67"/>
        <v>0.20675564233683785</v>
      </c>
      <c r="U1420" s="3">
        <v>2.21</v>
      </c>
      <c r="V1420" s="5">
        <f t="shared" si="68"/>
        <v>9.3554589292686813E-2</v>
      </c>
      <c r="W1420" s="3">
        <v>9.3554589292686813E-2</v>
      </c>
    </row>
    <row r="1421" spans="1:23" x14ac:dyDescent="0.55000000000000004">
      <c r="A1421" s="3">
        <v>41</v>
      </c>
      <c r="B1421" s="3" t="s">
        <v>51</v>
      </c>
      <c r="C1421" s="3" t="s">
        <v>50</v>
      </c>
      <c r="D1421" s="3" t="s">
        <v>9</v>
      </c>
      <c r="E1421" s="3" t="s">
        <v>34</v>
      </c>
      <c r="F1421" s="3">
        <v>79</v>
      </c>
      <c r="G1421" s="4">
        <v>29.2</v>
      </c>
      <c r="H1421" s="4">
        <v>93.2</v>
      </c>
      <c r="I1421" s="6">
        <v>6.7971917151489905</v>
      </c>
      <c r="J1421" s="5">
        <v>0.06</v>
      </c>
      <c r="K1421" s="4">
        <v>25.8</v>
      </c>
      <c r="L1421" s="4">
        <v>44.3</v>
      </c>
      <c r="M1421" s="6">
        <v>3.4348661102075422</v>
      </c>
      <c r="N1421" s="5">
        <v>5.3999999999999999E-2</v>
      </c>
      <c r="O1421" s="5">
        <v>3.3623256049414483</v>
      </c>
      <c r="P1421" s="5">
        <v>3.3623256049414483</v>
      </c>
      <c r="Q1421" s="8">
        <v>0.20833333333333334</v>
      </c>
      <c r="R1421" s="8">
        <v>0.88541666666666663</v>
      </c>
      <c r="S1421" s="6">
        <f t="shared" si="66"/>
        <v>16.25</v>
      </c>
      <c r="T1421" s="5">
        <f t="shared" si="67"/>
        <v>0.20691234491947375</v>
      </c>
      <c r="U1421" s="3">
        <v>2.21</v>
      </c>
      <c r="V1421" s="5">
        <f t="shared" si="68"/>
        <v>9.3625495438675904E-2</v>
      </c>
      <c r="W1421" s="3">
        <v>9.3625495438675904E-2</v>
      </c>
    </row>
    <row r="1422" spans="1:23" x14ac:dyDescent="0.55000000000000004">
      <c r="A1422" s="3">
        <v>36</v>
      </c>
      <c r="B1422" s="3" t="s">
        <v>52</v>
      </c>
      <c r="C1422" s="3" t="s">
        <v>50</v>
      </c>
      <c r="D1422" s="3" t="s">
        <v>12</v>
      </c>
      <c r="E1422" s="2" t="s">
        <v>23</v>
      </c>
      <c r="F1422" s="3">
        <v>40</v>
      </c>
      <c r="G1422" s="4">
        <v>28.4</v>
      </c>
      <c r="H1422" s="4">
        <v>117.7</v>
      </c>
      <c r="I1422" s="6">
        <v>8.7064421728431665</v>
      </c>
      <c r="J1422" s="5">
        <v>5.6000000000000001E-2</v>
      </c>
      <c r="K1422" s="4">
        <v>24.1</v>
      </c>
      <c r="L1422" s="4">
        <v>66.400000000000006</v>
      </c>
      <c r="M1422" s="6">
        <v>5.3141420137018747</v>
      </c>
      <c r="N1422" s="5">
        <v>5.2999999999999999E-2</v>
      </c>
      <c r="O1422" s="5">
        <v>3.3923001591412918</v>
      </c>
      <c r="P1422" s="5">
        <v>3.3923001591412918</v>
      </c>
      <c r="Q1422" s="8">
        <v>0.20833333333333334</v>
      </c>
      <c r="R1422" s="8">
        <v>0.89027777777777783</v>
      </c>
      <c r="S1422" s="6">
        <f t="shared" si="66"/>
        <v>16.366666666666667</v>
      </c>
      <c r="T1422" s="5">
        <f t="shared" si="67"/>
        <v>0.20726884882737018</v>
      </c>
      <c r="U1422" s="3">
        <v>2.21</v>
      </c>
      <c r="V1422" s="5">
        <f t="shared" si="68"/>
        <v>9.3786809424149395E-2</v>
      </c>
      <c r="W1422" s="3">
        <v>9.3786809424149395E-2</v>
      </c>
    </row>
    <row r="1423" spans="1:23" x14ac:dyDescent="0.55000000000000004">
      <c r="A1423" s="3">
        <v>57</v>
      </c>
      <c r="B1423" s="3" t="s">
        <v>52</v>
      </c>
      <c r="C1423" s="3" t="s">
        <v>50</v>
      </c>
      <c r="D1423" s="3" t="s">
        <v>12</v>
      </c>
      <c r="E1423" s="2" t="s">
        <v>23</v>
      </c>
      <c r="F1423" s="3">
        <v>40</v>
      </c>
      <c r="G1423" s="4">
        <v>28.9</v>
      </c>
      <c r="H1423" s="4">
        <v>108.6</v>
      </c>
      <c r="I1423" s="6">
        <v>7.9623723342734563</v>
      </c>
      <c r="J1423" s="5">
        <v>5.2999999999999999E-2</v>
      </c>
      <c r="K1423" s="4">
        <v>24.4</v>
      </c>
      <c r="L1423" s="4">
        <v>57.4</v>
      </c>
      <c r="M1423" s="6">
        <v>4.567992851575859</v>
      </c>
      <c r="N1423" s="5">
        <v>5.0999999999999997E-2</v>
      </c>
      <c r="O1423" s="5">
        <v>3.3943794826975973</v>
      </c>
      <c r="P1423" s="5">
        <v>3.3943794826975973</v>
      </c>
      <c r="Q1423" s="8">
        <v>0.20833333333333334</v>
      </c>
      <c r="R1423" s="8">
        <v>0.89027777777777783</v>
      </c>
      <c r="S1423" s="6">
        <f t="shared" si="66"/>
        <v>16.366666666666667</v>
      </c>
      <c r="T1423" s="5">
        <f t="shared" si="67"/>
        <v>0.20739589507317294</v>
      </c>
      <c r="U1423" s="3">
        <v>2.21</v>
      </c>
      <c r="V1423" s="5">
        <f t="shared" si="68"/>
        <v>9.3844296413200426E-2</v>
      </c>
      <c r="W1423" s="3">
        <v>9.3844296413200426E-2</v>
      </c>
    </row>
    <row r="1424" spans="1:23" x14ac:dyDescent="0.55000000000000004">
      <c r="A1424" s="3">
        <v>26</v>
      </c>
      <c r="B1424" s="3" t="s">
        <v>52</v>
      </c>
      <c r="C1424" s="3" t="s">
        <v>50</v>
      </c>
      <c r="D1424" s="3" t="s">
        <v>12</v>
      </c>
      <c r="E1424" s="3" t="s">
        <v>26</v>
      </c>
      <c r="F1424" s="3">
        <v>51</v>
      </c>
      <c r="G1424" s="4">
        <v>27.6</v>
      </c>
      <c r="H1424" s="4">
        <v>101.8</v>
      </c>
      <c r="I1424" s="6">
        <v>7.6388329762505975</v>
      </c>
      <c r="J1424" s="5">
        <v>4.5999999999999999E-2</v>
      </c>
      <c r="K1424" s="4">
        <v>25.1</v>
      </c>
      <c r="L1424" s="4">
        <v>54.9</v>
      </c>
      <c r="M1424" s="6">
        <v>4.3122607108081459</v>
      </c>
      <c r="N1424" s="5">
        <v>4.3999999999999997E-2</v>
      </c>
      <c r="O1424" s="5">
        <v>3.3265722654424517</v>
      </c>
      <c r="P1424" s="5">
        <v>3.3265722654424517</v>
      </c>
      <c r="Q1424" s="8">
        <v>0.20833333333333334</v>
      </c>
      <c r="R1424" s="8">
        <v>0.875</v>
      </c>
      <c r="S1424" s="6">
        <f t="shared" si="66"/>
        <v>16</v>
      </c>
      <c r="T1424" s="5">
        <f t="shared" si="67"/>
        <v>0.20791076659015323</v>
      </c>
      <c r="U1424" s="3">
        <v>2.21</v>
      </c>
      <c r="V1424" s="5">
        <f t="shared" si="68"/>
        <v>9.4077269950295583E-2</v>
      </c>
      <c r="W1424" s="3">
        <v>9.4077269950295583E-2</v>
      </c>
    </row>
    <row r="1425" spans="1:23" x14ac:dyDescent="0.55000000000000004">
      <c r="A1425" s="3">
        <v>34</v>
      </c>
      <c r="B1425" s="3" t="s">
        <v>48</v>
      </c>
      <c r="C1425" s="3" t="s">
        <v>50</v>
      </c>
      <c r="D1425" s="3" t="s">
        <v>10</v>
      </c>
      <c r="E1425" s="3" t="s">
        <v>29</v>
      </c>
      <c r="F1425" s="3">
        <v>61</v>
      </c>
      <c r="G1425" s="4">
        <v>29.3</v>
      </c>
      <c r="H1425" s="4">
        <v>105.5</v>
      </c>
      <c r="I1425" s="6">
        <v>7.6807156025181644</v>
      </c>
      <c r="J1425" s="5">
        <v>0.08</v>
      </c>
      <c r="K1425" s="4">
        <v>25.1</v>
      </c>
      <c r="L1425" s="4">
        <v>54.1</v>
      </c>
      <c r="M1425" s="6">
        <v>4.249422667663401</v>
      </c>
      <c r="N1425" s="5">
        <v>7.4999999999999997E-2</v>
      </c>
      <c r="O1425" s="5">
        <v>3.4312929348547634</v>
      </c>
      <c r="P1425" s="5">
        <v>3.4312929348547634</v>
      </c>
      <c r="Q1425" s="8">
        <v>0.19791666666666666</v>
      </c>
      <c r="R1425" s="8">
        <v>0.88541666666666663</v>
      </c>
      <c r="S1425" s="6">
        <f t="shared" si="66"/>
        <v>16.5</v>
      </c>
      <c r="T1425" s="5">
        <f t="shared" si="67"/>
        <v>0.20795714756695535</v>
      </c>
      <c r="U1425" s="3">
        <v>2.21</v>
      </c>
      <c r="V1425" s="5">
        <f t="shared" si="68"/>
        <v>9.409825681762686E-2</v>
      </c>
      <c r="W1425" s="3">
        <v>9.409825681762686E-2</v>
      </c>
    </row>
    <row r="1426" spans="1:23" x14ac:dyDescent="0.55000000000000004">
      <c r="A1426" s="3">
        <v>26</v>
      </c>
      <c r="B1426" s="3" t="s">
        <v>52</v>
      </c>
      <c r="C1426" s="3" t="s">
        <v>50</v>
      </c>
      <c r="D1426" s="3" t="s">
        <v>12</v>
      </c>
      <c r="E1426" s="3" t="s">
        <v>30</v>
      </c>
      <c r="F1426" s="3">
        <v>65</v>
      </c>
      <c r="G1426" s="4">
        <v>27.9</v>
      </c>
      <c r="H1426" s="4">
        <v>116</v>
      </c>
      <c r="I1426" s="6">
        <v>8.6576290566394718</v>
      </c>
      <c r="J1426" s="5">
        <v>4.2000000000000003E-2</v>
      </c>
      <c r="K1426" s="4">
        <v>23.8</v>
      </c>
      <c r="L1426" s="4">
        <v>65.5</v>
      </c>
      <c r="M1426" s="6">
        <v>5.2719126194972201</v>
      </c>
      <c r="N1426" s="5">
        <v>3.6999999999999998E-2</v>
      </c>
      <c r="O1426" s="5">
        <v>3.3857164371422517</v>
      </c>
      <c r="P1426" s="5">
        <v>3.3857164371422517</v>
      </c>
      <c r="Q1426" s="8">
        <v>0.20833333333333334</v>
      </c>
      <c r="R1426" s="8">
        <v>0.88541666666666663</v>
      </c>
      <c r="S1426" s="6">
        <f t="shared" si="66"/>
        <v>16.25</v>
      </c>
      <c r="T1426" s="5">
        <f t="shared" si="67"/>
        <v>0.2083517807472155</v>
      </c>
      <c r="U1426" s="3">
        <v>2.21</v>
      </c>
      <c r="V1426" s="5">
        <f t="shared" si="68"/>
        <v>9.4276823867518331E-2</v>
      </c>
      <c r="W1426" s="3">
        <v>9.4276823867518331E-2</v>
      </c>
    </row>
    <row r="1427" spans="1:23" x14ac:dyDescent="0.55000000000000004">
      <c r="A1427" s="3">
        <v>61</v>
      </c>
      <c r="B1427" s="3" t="s">
        <v>53</v>
      </c>
      <c r="C1427" s="3" t="s">
        <v>50</v>
      </c>
      <c r="D1427" s="3" t="s">
        <v>11</v>
      </c>
      <c r="E1427" s="2" t="s">
        <v>24</v>
      </c>
      <c r="F1427" s="3">
        <v>44</v>
      </c>
      <c r="G1427" s="4">
        <v>26</v>
      </c>
      <c r="H1427" s="4">
        <v>116.7</v>
      </c>
      <c r="I1427" s="6">
        <v>9.0152787912691394</v>
      </c>
      <c r="J1427" s="5">
        <v>5.8000000000000003E-2</v>
      </c>
      <c r="K1427" s="4">
        <v>21.5</v>
      </c>
      <c r="L1427" s="4">
        <v>65.5</v>
      </c>
      <c r="M1427" s="6">
        <v>5.5105341708081879</v>
      </c>
      <c r="N1427" s="5">
        <v>0.05</v>
      </c>
      <c r="O1427" s="5">
        <v>3.5047446204609516</v>
      </c>
      <c r="P1427" s="5">
        <v>3.5047446204609516</v>
      </c>
      <c r="Q1427" s="8">
        <v>0.20277777777777781</v>
      </c>
      <c r="R1427" s="8">
        <v>0.90277777777777779</v>
      </c>
      <c r="S1427" s="6">
        <f t="shared" si="66"/>
        <v>16.799999999999997</v>
      </c>
      <c r="T1427" s="5">
        <f t="shared" si="67"/>
        <v>0.20861575121791381</v>
      </c>
      <c r="U1427" s="3">
        <v>2.21</v>
      </c>
      <c r="V1427" s="5">
        <f t="shared" si="68"/>
        <v>9.4396267519418015E-2</v>
      </c>
      <c r="W1427" s="3">
        <v>9.4396267519418015E-2</v>
      </c>
    </row>
    <row r="1428" spans="1:23" x14ac:dyDescent="0.55000000000000004">
      <c r="A1428" s="3">
        <v>10</v>
      </c>
      <c r="B1428" s="3" t="s">
        <v>51</v>
      </c>
      <c r="C1428" s="3" t="s">
        <v>49</v>
      </c>
      <c r="D1428" s="3" t="s">
        <v>39</v>
      </c>
      <c r="E1428" s="3" t="s">
        <v>30</v>
      </c>
      <c r="F1428" s="3">
        <v>65</v>
      </c>
      <c r="G1428" s="4">
        <v>28.1</v>
      </c>
      <c r="H1428" s="4">
        <v>120.7</v>
      </c>
      <c r="I1428" s="6">
        <v>8.9762414292273238</v>
      </c>
      <c r="J1428" s="5">
        <v>5.8000000000000003E-2</v>
      </c>
      <c r="K1428" s="4">
        <v>23.5</v>
      </c>
      <c r="L1428" s="4">
        <v>69</v>
      </c>
      <c r="M1428" s="6">
        <v>5.5853216292101164</v>
      </c>
      <c r="N1428" s="5">
        <v>4.9000000000000002E-2</v>
      </c>
      <c r="O1428" s="5">
        <v>3.3909198000172074</v>
      </c>
      <c r="P1428" s="5">
        <v>3.3909198000172074</v>
      </c>
      <c r="Q1428" s="8">
        <v>0.20833333333333334</v>
      </c>
      <c r="R1428" s="8">
        <v>0.88541666666666663</v>
      </c>
      <c r="S1428" s="6">
        <f t="shared" si="66"/>
        <v>16.25</v>
      </c>
      <c r="T1428" s="5">
        <f t="shared" si="67"/>
        <v>0.20867198769336662</v>
      </c>
      <c r="U1428" s="3">
        <v>2.21</v>
      </c>
      <c r="V1428" s="5">
        <f t="shared" si="68"/>
        <v>9.4421713888401176E-2</v>
      </c>
      <c r="W1428" s="3">
        <v>9.4421713888401176E-2</v>
      </c>
    </row>
    <row r="1429" spans="1:23" x14ac:dyDescent="0.55000000000000004">
      <c r="A1429" s="3">
        <v>49</v>
      </c>
      <c r="B1429" s="3" t="s">
        <v>51</v>
      </c>
      <c r="C1429" s="3" t="s">
        <v>49</v>
      </c>
      <c r="D1429" s="3" t="s">
        <v>39</v>
      </c>
      <c r="E1429" s="3" t="s">
        <v>29</v>
      </c>
      <c r="F1429" s="3">
        <v>61</v>
      </c>
      <c r="G1429" s="4">
        <v>30.4</v>
      </c>
      <c r="H1429" s="4">
        <v>115.4</v>
      </c>
      <c r="I1429" s="6">
        <v>8.2415868395453771</v>
      </c>
      <c r="J1429" s="5">
        <v>6.4000000000000001E-2</v>
      </c>
      <c r="K1429" s="4">
        <v>26</v>
      </c>
      <c r="L1429" s="4">
        <v>62.1</v>
      </c>
      <c r="M1429" s="6">
        <v>4.7973334441972026</v>
      </c>
      <c r="N1429" s="5">
        <v>5.6000000000000001E-2</v>
      </c>
      <c r="O1429" s="5">
        <v>3.4442533953481744</v>
      </c>
      <c r="P1429" s="5">
        <v>3.4442533953481744</v>
      </c>
      <c r="Q1429" s="8">
        <v>0.19791666666666666</v>
      </c>
      <c r="R1429" s="8">
        <v>0.88541666666666663</v>
      </c>
      <c r="S1429" s="6">
        <f t="shared" si="66"/>
        <v>16.5</v>
      </c>
      <c r="T1429" s="5">
        <f t="shared" si="67"/>
        <v>0.20874263002110149</v>
      </c>
      <c r="U1429" s="3">
        <v>2.21</v>
      </c>
      <c r="V1429" s="5">
        <f t="shared" si="68"/>
        <v>9.4453678742579858E-2</v>
      </c>
      <c r="W1429" s="3">
        <v>9.4453678742579858E-2</v>
      </c>
    </row>
    <row r="1430" spans="1:23" x14ac:dyDescent="0.55000000000000004">
      <c r="A1430" s="3">
        <v>12</v>
      </c>
      <c r="B1430" s="3" t="s">
        <v>53</v>
      </c>
      <c r="C1430" s="3" t="s">
        <v>50</v>
      </c>
      <c r="D1430" s="3" t="s">
        <v>11</v>
      </c>
      <c r="E1430" s="3" t="s">
        <v>34</v>
      </c>
      <c r="F1430" s="3">
        <v>79</v>
      </c>
      <c r="G1430" s="4">
        <v>29.1</v>
      </c>
      <c r="H1430" s="4">
        <v>86.3</v>
      </c>
      <c r="I1430" s="6">
        <v>6.3050678849512005</v>
      </c>
      <c r="J1430" s="5">
        <v>5.3999999999999999E-2</v>
      </c>
      <c r="K1430" s="4">
        <v>25.6</v>
      </c>
      <c r="L1430" s="4">
        <v>37.4</v>
      </c>
      <c r="M1430" s="6">
        <v>2.9105818037519162</v>
      </c>
      <c r="N1430" s="5">
        <v>5.0999999999999997E-2</v>
      </c>
      <c r="O1430" s="5">
        <v>3.3944860811992843</v>
      </c>
      <c r="P1430" s="5">
        <v>3.3944860811992843</v>
      </c>
      <c r="Q1430" s="8">
        <v>0.20833333333333334</v>
      </c>
      <c r="R1430" s="8">
        <v>0.88541666666666663</v>
      </c>
      <c r="S1430" s="6">
        <f t="shared" si="66"/>
        <v>16.25</v>
      </c>
      <c r="T1430" s="5">
        <f t="shared" si="67"/>
        <v>0.20889145115072519</v>
      </c>
      <c r="U1430" s="3">
        <v>2.21</v>
      </c>
      <c r="V1430" s="5">
        <f t="shared" si="68"/>
        <v>9.4521018620237651E-2</v>
      </c>
      <c r="W1430" s="3">
        <v>9.4521018620237651E-2</v>
      </c>
    </row>
    <row r="1431" spans="1:23" x14ac:dyDescent="0.55000000000000004">
      <c r="A1431" s="3">
        <v>49</v>
      </c>
      <c r="B1431" s="3" t="s">
        <v>51</v>
      </c>
      <c r="C1431" s="3" t="s">
        <v>49</v>
      </c>
      <c r="D1431" s="3" t="s">
        <v>39</v>
      </c>
      <c r="E1431" s="3" t="s">
        <v>34</v>
      </c>
      <c r="F1431" s="3">
        <v>79</v>
      </c>
      <c r="G1431" s="4">
        <v>28.6</v>
      </c>
      <c r="H1431" s="4">
        <v>97.4</v>
      </c>
      <c r="I1431" s="6">
        <v>7.1792582994594065</v>
      </c>
      <c r="J1431" s="5">
        <v>5.1999999999999998E-2</v>
      </c>
      <c r="K1431" s="4">
        <v>25.4</v>
      </c>
      <c r="L1431" s="4">
        <v>48.3</v>
      </c>
      <c r="M1431" s="6">
        <v>3.7727829836551616</v>
      </c>
      <c r="N1431" s="5">
        <v>4.5999999999999999E-2</v>
      </c>
      <c r="O1431" s="5">
        <v>3.4064753158042449</v>
      </c>
      <c r="P1431" s="5">
        <v>3.4064753158042449</v>
      </c>
      <c r="Q1431" s="8">
        <v>0.20833333333333334</v>
      </c>
      <c r="R1431" s="8">
        <v>0.88541666666666663</v>
      </c>
      <c r="S1431" s="6">
        <f t="shared" si="66"/>
        <v>16.25</v>
      </c>
      <c r="T1431" s="5">
        <f t="shared" si="67"/>
        <v>0.20962925020333814</v>
      </c>
      <c r="U1431" s="3">
        <v>2.21</v>
      </c>
      <c r="V1431" s="5">
        <f t="shared" si="68"/>
        <v>9.4854864345401871E-2</v>
      </c>
      <c r="W1431" s="3">
        <v>9.4854864345401871E-2</v>
      </c>
    </row>
    <row r="1432" spans="1:23" x14ac:dyDescent="0.55000000000000004">
      <c r="A1432" s="3">
        <v>38</v>
      </c>
      <c r="B1432" s="3" t="s">
        <v>51</v>
      </c>
      <c r="C1432" s="3" t="s">
        <v>49</v>
      </c>
      <c r="D1432" s="3" t="s">
        <v>39</v>
      </c>
      <c r="E1432" s="3" t="s">
        <v>34</v>
      </c>
      <c r="F1432" s="3">
        <v>79</v>
      </c>
      <c r="G1432" s="4">
        <v>28.7</v>
      </c>
      <c r="H1432" s="4">
        <v>92.4</v>
      </c>
      <c r="I1432" s="6">
        <v>6.7986436161013311</v>
      </c>
      <c r="J1432" s="5">
        <v>4.5999999999999999E-2</v>
      </c>
      <c r="K1432" s="4">
        <v>25.4</v>
      </c>
      <c r="L1432" s="4">
        <v>43.4</v>
      </c>
      <c r="M1432" s="6">
        <v>3.3900368838640582</v>
      </c>
      <c r="N1432" s="5">
        <v>0.04</v>
      </c>
      <c r="O1432" s="5">
        <v>3.4086067322372728</v>
      </c>
      <c r="P1432" s="5">
        <v>3.4086067322372728</v>
      </c>
      <c r="Q1432" s="8">
        <v>0.20833333333333334</v>
      </c>
      <c r="R1432" s="8">
        <v>0.88541666666666663</v>
      </c>
      <c r="S1432" s="6">
        <f t="shared" si="66"/>
        <v>16.25</v>
      </c>
      <c r="T1432" s="5">
        <f t="shared" si="67"/>
        <v>0.20976041429152448</v>
      </c>
      <c r="U1432" s="3">
        <v>2.21</v>
      </c>
      <c r="V1432" s="5">
        <f t="shared" si="68"/>
        <v>9.4914214611549544E-2</v>
      </c>
      <c r="W1432" s="3">
        <v>9.4914214611549544E-2</v>
      </c>
    </row>
    <row r="1433" spans="1:23" x14ac:dyDescent="0.55000000000000004">
      <c r="A1433" s="3">
        <v>28</v>
      </c>
      <c r="B1433" s="3" t="s">
        <v>53</v>
      </c>
      <c r="C1433" s="3" t="s">
        <v>50</v>
      </c>
      <c r="D1433" s="3" t="s">
        <v>11</v>
      </c>
      <c r="E1433" s="2" t="s">
        <v>25</v>
      </c>
      <c r="F1433" s="3">
        <v>47</v>
      </c>
      <c r="G1433" s="4">
        <v>29.4</v>
      </c>
      <c r="H1433" s="4">
        <v>107.8</v>
      </c>
      <c r="I1433" s="6">
        <v>7.8343790994124074</v>
      </c>
      <c r="J1433" s="5">
        <v>6.3E-2</v>
      </c>
      <c r="K1433" s="4">
        <v>26.1</v>
      </c>
      <c r="L1433" s="4">
        <v>56.7</v>
      </c>
      <c r="M1433" s="6">
        <v>4.3721403315485698</v>
      </c>
      <c r="N1433" s="5">
        <v>5.8999999999999997E-2</v>
      </c>
      <c r="O1433" s="5">
        <v>3.4622387678638376</v>
      </c>
      <c r="P1433" s="5">
        <v>3.4622387678638376</v>
      </c>
      <c r="Q1433" s="8">
        <v>0.20833333333333334</v>
      </c>
      <c r="R1433" s="8">
        <v>0.89583333333333337</v>
      </c>
      <c r="S1433" s="6">
        <f t="shared" si="66"/>
        <v>16.5</v>
      </c>
      <c r="T1433" s="5">
        <f t="shared" si="67"/>
        <v>0.20983265259780834</v>
      </c>
      <c r="U1433" s="3">
        <v>2.21</v>
      </c>
      <c r="V1433" s="5">
        <f t="shared" si="68"/>
        <v>9.4946901627967567E-2</v>
      </c>
      <c r="W1433" s="3">
        <v>9.4946901627967567E-2</v>
      </c>
    </row>
    <row r="1434" spans="1:23" x14ac:dyDescent="0.55000000000000004">
      <c r="A1434" s="3">
        <v>61</v>
      </c>
      <c r="B1434" s="3" t="s">
        <v>53</v>
      </c>
      <c r="C1434" s="3" t="s">
        <v>50</v>
      </c>
      <c r="D1434" s="3" t="s">
        <v>11</v>
      </c>
      <c r="E1434" s="2" t="s">
        <v>23</v>
      </c>
      <c r="F1434" s="3">
        <v>40</v>
      </c>
      <c r="G1434" s="4">
        <v>29.9</v>
      </c>
      <c r="H1434" s="4">
        <v>112.9</v>
      </c>
      <c r="I1434" s="6">
        <v>8.1334975170224375</v>
      </c>
      <c r="J1434" s="5">
        <v>5.8000000000000003E-2</v>
      </c>
      <c r="K1434" s="4">
        <v>24.9</v>
      </c>
      <c r="L1434" s="4">
        <v>59.6</v>
      </c>
      <c r="M1434" s="6">
        <v>4.6989025540221032</v>
      </c>
      <c r="N1434" s="5">
        <v>5.1999999999999998E-2</v>
      </c>
      <c r="O1434" s="5">
        <v>3.4345949630003343</v>
      </c>
      <c r="P1434" s="5">
        <v>3.4345949630003343</v>
      </c>
      <c r="Q1434" s="8">
        <v>0.20833333333333334</v>
      </c>
      <c r="R1434" s="8">
        <v>0.89027777777777783</v>
      </c>
      <c r="S1434" s="6">
        <f t="shared" si="66"/>
        <v>16.366666666666667</v>
      </c>
      <c r="T1434" s="5">
        <f t="shared" si="67"/>
        <v>0.20985305272914465</v>
      </c>
      <c r="U1434" s="3">
        <v>2.21</v>
      </c>
      <c r="V1434" s="5">
        <f t="shared" si="68"/>
        <v>9.4956132456626541E-2</v>
      </c>
      <c r="W1434" s="3">
        <v>9.4956132456626541E-2</v>
      </c>
    </row>
    <row r="1435" spans="1:23" x14ac:dyDescent="0.55000000000000004">
      <c r="A1435" s="3">
        <v>29</v>
      </c>
      <c r="B1435" s="3" t="s">
        <v>52</v>
      </c>
      <c r="C1435" s="3" t="s">
        <v>50</v>
      </c>
      <c r="D1435" s="3" t="s">
        <v>12</v>
      </c>
      <c r="E1435" s="3" t="s">
        <v>34</v>
      </c>
      <c r="F1435" s="3">
        <v>79</v>
      </c>
      <c r="G1435" s="4">
        <v>28.9</v>
      </c>
      <c r="H1435" s="4">
        <v>87.6</v>
      </c>
      <c r="I1435" s="6">
        <v>6.4226870762647765</v>
      </c>
      <c r="J1435" s="5">
        <v>6.2E-2</v>
      </c>
      <c r="K1435" s="4">
        <v>25.5</v>
      </c>
      <c r="L1435" s="4">
        <v>38.6</v>
      </c>
      <c r="M1435" s="6">
        <v>3.0095267520775497</v>
      </c>
      <c r="N1435" s="5">
        <v>6.0999999999999999E-2</v>
      </c>
      <c r="O1435" s="5">
        <v>3.4131603241872268</v>
      </c>
      <c r="P1435" s="5">
        <v>3.4131603241872268</v>
      </c>
      <c r="Q1435" s="8">
        <v>0.20833333333333334</v>
      </c>
      <c r="R1435" s="8">
        <v>0.88541666666666663</v>
      </c>
      <c r="S1435" s="6">
        <f t="shared" si="66"/>
        <v>16.25</v>
      </c>
      <c r="T1435" s="5">
        <f t="shared" si="67"/>
        <v>0.21004063533459857</v>
      </c>
      <c r="U1435" s="3">
        <v>2.21</v>
      </c>
      <c r="V1435" s="5">
        <f t="shared" si="68"/>
        <v>9.5041011463619263E-2</v>
      </c>
      <c r="W1435" s="3">
        <v>9.5041011463619263E-2</v>
      </c>
    </row>
    <row r="1436" spans="1:23" x14ac:dyDescent="0.55000000000000004">
      <c r="A1436" s="3">
        <v>57</v>
      </c>
      <c r="B1436" s="3" t="s">
        <v>52</v>
      </c>
      <c r="C1436" s="3" t="s">
        <v>50</v>
      </c>
      <c r="D1436" s="3" t="s">
        <v>12</v>
      </c>
      <c r="E1436" s="2" t="s">
        <v>22</v>
      </c>
      <c r="F1436" s="3">
        <v>37</v>
      </c>
      <c r="G1436" s="4">
        <v>30.2</v>
      </c>
      <c r="H1436" s="4">
        <v>112.5</v>
      </c>
      <c r="I1436" s="6">
        <v>8.0624314333943623</v>
      </c>
      <c r="J1436" s="5">
        <v>6.6000000000000003E-2</v>
      </c>
      <c r="K1436" s="4">
        <v>25.1</v>
      </c>
      <c r="L1436" s="4">
        <v>58.7</v>
      </c>
      <c r="M1436" s="6">
        <v>4.6107414157456867</v>
      </c>
      <c r="N1436" s="5">
        <v>0.06</v>
      </c>
      <c r="O1436" s="5">
        <v>3.4516900176486756</v>
      </c>
      <c r="P1436" s="5">
        <v>3.4516900176486756</v>
      </c>
      <c r="Q1436" s="8">
        <v>0.20138888888888887</v>
      </c>
      <c r="R1436" s="8">
        <v>0.88541666666666663</v>
      </c>
      <c r="S1436" s="6">
        <f t="shared" si="66"/>
        <v>16.416666666666668</v>
      </c>
      <c r="T1436" s="5">
        <f t="shared" si="67"/>
        <v>0.21025522950144215</v>
      </c>
      <c r="U1436" s="3">
        <v>2.21</v>
      </c>
      <c r="V1436" s="5">
        <f t="shared" si="68"/>
        <v>9.5138112896580154E-2</v>
      </c>
      <c r="W1436" s="3">
        <v>9.5138112896580154E-2</v>
      </c>
    </row>
    <row r="1437" spans="1:23" x14ac:dyDescent="0.55000000000000004">
      <c r="A1437" s="3">
        <v>50</v>
      </c>
      <c r="B1437" s="3" t="s">
        <v>53</v>
      </c>
      <c r="C1437" s="3" t="s">
        <v>50</v>
      </c>
      <c r="D1437" s="3" t="s">
        <v>11</v>
      </c>
      <c r="E1437" s="2" t="s">
        <v>23</v>
      </c>
      <c r="F1437" s="3">
        <v>40</v>
      </c>
      <c r="G1437" s="4">
        <v>29.4</v>
      </c>
      <c r="H1437" s="4">
        <v>114.3</v>
      </c>
      <c r="I1437" s="6">
        <v>8.3067674495625052</v>
      </c>
      <c r="J1437" s="5">
        <v>4.9000000000000002E-2</v>
      </c>
      <c r="K1437" s="4">
        <v>24.9</v>
      </c>
      <c r="L1437" s="4">
        <v>61.7</v>
      </c>
      <c r="M1437" s="6">
        <v>4.8644679124691912</v>
      </c>
      <c r="N1437" s="5">
        <v>4.2000000000000003E-2</v>
      </c>
      <c r="O1437" s="5">
        <v>3.442299537093314</v>
      </c>
      <c r="P1437" s="5">
        <v>3.442299537093314</v>
      </c>
      <c r="Q1437" s="8">
        <v>0.20833333333333334</v>
      </c>
      <c r="R1437" s="8">
        <v>0.89027777777777783</v>
      </c>
      <c r="S1437" s="6">
        <f t="shared" si="66"/>
        <v>16.366666666666667</v>
      </c>
      <c r="T1437" s="5">
        <f t="shared" si="67"/>
        <v>0.21032380063706602</v>
      </c>
      <c r="U1437" s="3">
        <v>2.21</v>
      </c>
      <c r="V1437" s="5">
        <f t="shared" si="68"/>
        <v>9.5169140559758378E-2</v>
      </c>
      <c r="W1437" s="3">
        <v>9.5169140559758378E-2</v>
      </c>
    </row>
    <row r="1438" spans="1:23" x14ac:dyDescent="0.55000000000000004">
      <c r="A1438" s="3">
        <v>41</v>
      </c>
      <c r="B1438" s="3" t="s">
        <v>51</v>
      </c>
      <c r="C1438" s="3" t="s">
        <v>50</v>
      </c>
      <c r="D1438" s="3" t="s">
        <v>9</v>
      </c>
      <c r="E1438" s="2" t="s">
        <v>25</v>
      </c>
      <c r="F1438" s="3">
        <v>47</v>
      </c>
      <c r="G1438" s="4">
        <v>29.5</v>
      </c>
      <c r="H1438" s="4">
        <v>97.3</v>
      </c>
      <c r="I1438" s="6">
        <v>7.0588870985055578</v>
      </c>
      <c r="J1438" s="5">
        <v>6.3E-2</v>
      </c>
      <c r="K1438" s="4">
        <v>26.3</v>
      </c>
      <c r="L1438" s="4">
        <v>46.7</v>
      </c>
      <c r="M1438" s="6">
        <v>3.5878691374866918</v>
      </c>
      <c r="N1438" s="5">
        <v>5.2999999999999999E-2</v>
      </c>
      <c r="O1438" s="5">
        <v>3.4710179610188661</v>
      </c>
      <c r="P1438" s="5">
        <v>3.4710179610188661</v>
      </c>
      <c r="Q1438" s="8">
        <v>0.20833333333333334</v>
      </c>
      <c r="R1438" s="8">
        <v>0.89583333333333337</v>
      </c>
      <c r="S1438" s="6">
        <f t="shared" si="66"/>
        <v>16.5</v>
      </c>
      <c r="T1438" s="5">
        <f t="shared" si="67"/>
        <v>0.21036472491023431</v>
      </c>
      <c r="U1438" s="3">
        <v>2.21</v>
      </c>
      <c r="V1438" s="5">
        <f t="shared" si="68"/>
        <v>9.5187658330422767E-2</v>
      </c>
      <c r="W1438" s="3">
        <v>9.5187658330422767E-2</v>
      </c>
    </row>
    <row r="1439" spans="1:23" x14ac:dyDescent="0.55000000000000004">
      <c r="A1439" s="3">
        <v>33</v>
      </c>
      <c r="B1439" s="3" t="s">
        <v>51</v>
      </c>
      <c r="C1439" s="3" t="s">
        <v>50</v>
      </c>
      <c r="D1439" s="3" t="s">
        <v>9</v>
      </c>
      <c r="E1439" s="3" t="s">
        <v>31</v>
      </c>
      <c r="F1439" s="3">
        <v>68</v>
      </c>
      <c r="G1439" s="4">
        <v>25.9</v>
      </c>
      <c r="H1439" s="4">
        <v>88.7</v>
      </c>
      <c r="I1439" s="6">
        <v>6.8648377185059353</v>
      </c>
      <c r="J1439" s="5">
        <v>7.0000000000000007E-2</v>
      </c>
      <c r="K1439" s="4">
        <v>24.7</v>
      </c>
      <c r="L1439" s="4">
        <v>43.5</v>
      </c>
      <c r="M1439" s="6">
        <v>3.4424005871162819</v>
      </c>
      <c r="N1439" s="5">
        <v>6.5000000000000002E-2</v>
      </c>
      <c r="O1439" s="5">
        <v>3.4224371313896533</v>
      </c>
      <c r="P1439" s="5">
        <v>3.4224371313896533</v>
      </c>
      <c r="Q1439" s="8">
        <v>0.20833333333333334</v>
      </c>
      <c r="R1439" s="8">
        <v>0.88541666666666663</v>
      </c>
      <c r="S1439" s="6">
        <f t="shared" si="66"/>
        <v>16.25</v>
      </c>
      <c r="T1439" s="5">
        <f t="shared" si="67"/>
        <v>0.21061151577782483</v>
      </c>
      <c r="U1439" s="3">
        <v>2.21</v>
      </c>
      <c r="V1439" s="5">
        <f t="shared" si="68"/>
        <v>9.5299328406255573E-2</v>
      </c>
      <c r="W1439" s="3">
        <v>9.5299328406255573E-2</v>
      </c>
    </row>
    <row r="1440" spans="1:23" x14ac:dyDescent="0.55000000000000004">
      <c r="A1440" s="3">
        <v>47</v>
      </c>
      <c r="B1440" s="3" t="s">
        <v>52</v>
      </c>
      <c r="C1440" s="3" t="s">
        <v>50</v>
      </c>
      <c r="D1440" s="3" t="s">
        <v>12</v>
      </c>
      <c r="E1440" s="3" t="s">
        <v>32</v>
      </c>
      <c r="F1440" s="3">
        <v>72</v>
      </c>
      <c r="G1440" s="4">
        <v>28.7</v>
      </c>
      <c r="H1440" s="4">
        <v>101.6</v>
      </c>
      <c r="I1440" s="6">
        <v>7.4755648419469169</v>
      </c>
      <c r="J1440" s="5">
        <v>5.8000000000000003E-2</v>
      </c>
      <c r="K1440" s="4">
        <v>24.3</v>
      </c>
      <c r="L1440" s="4">
        <v>50.7</v>
      </c>
      <c r="M1440" s="6">
        <v>4.0423836751977928</v>
      </c>
      <c r="N1440" s="5">
        <v>5.3999999999999999E-2</v>
      </c>
      <c r="O1440" s="5">
        <v>3.4331811667491241</v>
      </c>
      <c r="P1440" s="5">
        <v>3.4331811667491241</v>
      </c>
      <c r="Q1440" s="8">
        <v>0.20833333333333334</v>
      </c>
      <c r="R1440" s="8">
        <v>0.88541666666666663</v>
      </c>
      <c r="S1440" s="6">
        <f t="shared" si="66"/>
        <v>16.25</v>
      </c>
      <c r="T1440" s="5">
        <f t="shared" si="67"/>
        <v>0.21127268718456149</v>
      </c>
      <c r="U1440" s="3">
        <v>2.21</v>
      </c>
      <c r="V1440" s="5">
        <f t="shared" si="68"/>
        <v>9.5598500988489363E-2</v>
      </c>
      <c r="W1440" s="3">
        <v>9.5598500988489363E-2</v>
      </c>
    </row>
    <row r="1441" spans="1:23" x14ac:dyDescent="0.55000000000000004">
      <c r="A1441" s="3">
        <v>51</v>
      </c>
      <c r="B1441" s="3" t="s">
        <v>48</v>
      </c>
      <c r="C1441" s="3" t="s">
        <v>50</v>
      </c>
      <c r="D1441" s="3" t="s">
        <v>10</v>
      </c>
      <c r="E1441" s="3" t="s">
        <v>32</v>
      </c>
      <c r="F1441" s="3">
        <v>72</v>
      </c>
      <c r="G1441" s="4">
        <v>28.8</v>
      </c>
      <c r="H1441" s="4">
        <v>100.2</v>
      </c>
      <c r="I1441" s="6">
        <v>7.359506710980205</v>
      </c>
      <c r="J1441" s="5">
        <v>6.2E-2</v>
      </c>
      <c r="K1441" s="4">
        <v>24.3</v>
      </c>
      <c r="L1441" s="4">
        <v>49.2</v>
      </c>
      <c r="M1441" s="6">
        <v>3.9227865250440117</v>
      </c>
      <c r="N1441" s="5">
        <v>5.8000000000000003E-2</v>
      </c>
      <c r="O1441" s="5">
        <v>3.4367201859361933</v>
      </c>
      <c r="P1441" s="5">
        <v>3.4367201859361933</v>
      </c>
      <c r="Q1441" s="8">
        <v>0.20833333333333334</v>
      </c>
      <c r="R1441" s="8">
        <v>0.88541666666666663</v>
      </c>
      <c r="S1441" s="6">
        <f t="shared" si="66"/>
        <v>16.25</v>
      </c>
      <c r="T1441" s="5">
        <f t="shared" si="67"/>
        <v>0.21149047298068882</v>
      </c>
      <c r="U1441" s="3">
        <v>2.21</v>
      </c>
      <c r="V1441" s="5">
        <f t="shared" si="68"/>
        <v>9.5697046597596758E-2</v>
      </c>
      <c r="W1441" s="3">
        <v>9.5697046597596758E-2</v>
      </c>
    </row>
    <row r="1442" spans="1:23" x14ac:dyDescent="0.55000000000000004">
      <c r="A1442" s="3">
        <v>10</v>
      </c>
      <c r="B1442" s="3" t="s">
        <v>51</v>
      </c>
      <c r="C1442" s="3" t="s">
        <v>49</v>
      </c>
      <c r="D1442" s="3" t="s">
        <v>39</v>
      </c>
      <c r="E1442" s="3" t="s">
        <v>32</v>
      </c>
      <c r="F1442" s="3">
        <v>72</v>
      </c>
      <c r="G1442" s="4">
        <v>29.5</v>
      </c>
      <c r="H1442" s="4">
        <v>107.5</v>
      </c>
      <c r="I1442" s="6">
        <v>7.7988732074958627</v>
      </c>
      <c r="J1442" s="5">
        <v>5.8000000000000003E-2</v>
      </c>
      <c r="K1442" s="4">
        <v>25</v>
      </c>
      <c r="L1442" s="4">
        <v>55.4</v>
      </c>
      <c r="M1442" s="6">
        <v>4.3596400265967592</v>
      </c>
      <c r="N1442" s="5">
        <v>4.8000000000000001E-2</v>
      </c>
      <c r="O1442" s="5">
        <v>3.4392331808991035</v>
      </c>
      <c r="P1442" s="5">
        <v>3.4392331808991035</v>
      </c>
      <c r="Q1442" s="8">
        <v>0.20833333333333334</v>
      </c>
      <c r="R1442" s="8">
        <v>0.88541666666666663</v>
      </c>
      <c r="S1442" s="6">
        <f t="shared" si="66"/>
        <v>16.25</v>
      </c>
      <c r="T1442" s="5">
        <f t="shared" si="67"/>
        <v>0.21164511882456022</v>
      </c>
      <c r="U1442" s="3">
        <v>2.21</v>
      </c>
      <c r="V1442" s="5">
        <f t="shared" si="68"/>
        <v>9.5767022092561188E-2</v>
      </c>
      <c r="W1442" s="3">
        <v>9.5767022092561188E-2</v>
      </c>
    </row>
    <row r="1443" spans="1:23" x14ac:dyDescent="0.55000000000000004">
      <c r="A1443" s="3">
        <v>58</v>
      </c>
      <c r="B1443" s="3" t="s">
        <v>53</v>
      </c>
      <c r="C1443" s="3" t="s">
        <v>49</v>
      </c>
      <c r="D1443" s="3" t="s">
        <v>41</v>
      </c>
      <c r="E1443" s="3" t="s">
        <v>32</v>
      </c>
      <c r="F1443" s="3">
        <v>72</v>
      </c>
      <c r="G1443" s="4">
        <v>28.6</v>
      </c>
      <c r="H1443" s="4">
        <v>100.2</v>
      </c>
      <c r="I1443" s="6">
        <v>7.3856435483145022</v>
      </c>
      <c r="J1443" s="5">
        <v>5.5E-2</v>
      </c>
      <c r="K1443" s="4">
        <v>24</v>
      </c>
      <c r="L1443" s="4">
        <v>49.1</v>
      </c>
      <c r="M1443" s="6">
        <v>3.9370055930740859</v>
      </c>
      <c r="N1443" s="5">
        <v>5.3999999999999999E-2</v>
      </c>
      <c r="O1443" s="5">
        <v>3.4486379552404163</v>
      </c>
      <c r="P1443" s="5">
        <v>3.4486379552404163</v>
      </c>
      <c r="Q1443" s="8">
        <v>0.20833333333333334</v>
      </c>
      <c r="R1443" s="8">
        <v>0.88541666666666663</v>
      </c>
      <c r="S1443" s="6">
        <f t="shared" si="66"/>
        <v>16.25</v>
      </c>
      <c r="T1443" s="5">
        <f t="shared" si="67"/>
        <v>0.212223874168641</v>
      </c>
      <c r="U1443" s="3">
        <v>2.21</v>
      </c>
      <c r="V1443" s="5">
        <f t="shared" si="68"/>
        <v>9.6028902338751582E-2</v>
      </c>
      <c r="W1443" s="3">
        <v>9.6028902338751582E-2</v>
      </c>
    </row>
    <row r="1444" spans="1:23" x14ac:dyDescent="0.55000000000000004">
      <c r="A1444" s="3">
        <v>35</v>
      </c>
      <c r="B1444" s="3" t="s">
        <v>51</v>
      </c>
      <c r="C1444" s="3" t="s">
        <v>50</v>
      </c>
      <c r="D1444" s="3" t="s">
        <v>9</v>
      </c>
      <c r="E1444" s="2" t="s">
        <v>23</v>
      </c>
      <c r="F1444" s="3">
        <v>40</v>
      </c>
      <c r="G1444" s="4">
        <v>29.7</v>
      </c>
      <c r="H1444" s="4">
        <v>112.6</v>
      </c>
      <c r="I1444" s="6">
        <v>8.1402895057639117</v>
      </c>
      <c r="J1444" s="5">
        <v>0.05</v>
      </c>
      <c r="K1444" s="4">
        <v>24.9</v>
      </c>
      <c r="L1444" s="4">
        <v>59.1</v>
      </c>
      <c r="M1444" s="6">
        <v>4.65948223058232</v>
      </c>
      <c r="N1444" s="5">
        <v>4.8000000000000001E-2</v>
      </c>
      <c r="O1444" s="5">
        <v>3.4808072751815917</v>
      </c>
      <c r="P1444" s="5">
        <v>3.4808072751815917</v>
      </c>
      <c r="Q1444" s="8">
        <v>0.20833333333333334</v>
      </c>
      <c r="R1444" s="8">
        <v>0.89027777777777783</v>
      </c>
      <c r="S1444" s="6">
        <f t="shared" si="66"/>
        <v>16.366666666666667</v>
      </c>
      <c r="T1444" s="5">
        <f t="shared" si="67"/>
        <v>0.21267661559154327</v>
      </c>
      <c r="U1444" s="3">
        <v>2.21</v>
      </c>
      <c r="V1444" s="5">
        <f t="shared" si="68"/>
        <v>9.6233762711105564E-2</v>
      </c>
      <c r="W1444" s="3">
        <v>9.6233762711105564E-2</v>
      </c>
    </row>
    <row r="1445" spans="1:23" x14ac:dyDescent="0.55000000000000004">
      <c r="A1445" s="3">
        <v>37</v>
      </c>
      <c r="B1445" s="3" t="s">
        <v>53</v>
      </c>
      <c r="C1445" s="3" t="s">
        <v>50</v>
      </c>
      <c r="D1445" s="3" t="s">
        <v>11</v>
      </c>
      <c r="E1445" s="3" t="s">
        <v>34</v>
      </c>
      <c r="F1445" s="3">
        <v>79</v>
      </c>
      <c r="G1445" s="4">
        <v>28.7</v>
      </c>
      <c r="H1445" s="4">
        <v>81.099999999999994</v>
      </c>
      <c r="I1445" s="6">
        <v>5.9672077626170763</v>
      </c>
      <c r="J1445" s="5">
        <v>5.8000000000000003E-2</v>
      </c>
      <c r="K1445" s="4">
        <v>25.4</v>
      </c>
      <c r="L1445" s="4">
        <v>32</v>
      </c>
      <c r="M1445" s="6">
        <v>2.4995663659827159</v>
      </c>
      <c r="N1445" s="5">
        <v>5.6000000000000001E-2</v>
      </c>
      <c r="O1445" s="5">
        <v>3.4676413966343604</v>
      </c>
      <c r="P1445" s="5">
        <v>3.4676413966343604</v>
      </c>
      <c r="Q1445" s="8">
        <v>0.20833333333333334</v>
      </c>
      <c r="R1445" s="8">
        <v>0.88541666666666663</v>
      </c>
      <c r="S1445" s="6">
        <f t="shared" si="66"/>
        <v>16.25</v>
      </c>
      <c r="T1445" s="5">
        <f t="shared" si="67"/>
        <v>0.21339331671596065</v>
      </c>
      <c r="U1445" s="3">
        <v>2.21</v>
      </c>
      <c r="V1445" s="5">
        <f t="shared" si="68"/>
        <v>9.6558061862425631E-2</v>
      </c>
      <c r="W1445" s="3">
        <v>9.6558061862425631E-2</v>
      </c>
    </row>
    <row r="1446" spans="1:23" x14ac:dyDescent="0.55000000000000004">
      <c r="A1446" s="3">
        <v>13</v>
      </c>
      <c r="B1446" s="3" t="s">
        <v>53</v>
      </c>
      <c r="C1446" s="3" t="s">
        <v>50</v>
      </c>
      <c r="D1446" s="3" t="s">
        <v>11</v>
      </c>
      <c r="E1446" s="2" t="s">
        <v>23</v>
      </c>
      <c r="F1446" s="3">
        <v>40</v>
      </c>
      <c r="G1446" s="4">
        <v>29.2</v>
      </c>
      <c r="H1446" s="4">
        <v>120.8</v>
      </c>
      <c r="I1446" s="6">
        <v>8.8100939827253004</v>
      </c>
      <c r="J1446" s="5">
        <v>5.1999999999999998E-2</v>
      </c>
      <c r="K1446" s="4">
        <v>24.3</v>
      </c>
      <c r="L1446" s="4">
        <v>66.599999999999994</v>
      </c>
      <c r="M1446" s="6">
        <v>5.3101134668278691</v>
      </c>
      <c r="N1446" s="5">
        <v>4.5999999999999999E-2</v>
      </c>
      <c r="O1446" s="5">
        <v>3.4999805158974313</v>
      </c>
      <c r="P1446" s="5">
        <v>3.4999805158974313</v>
      </c>
      <c r="Q1446" s="8">
        <v>0.20833333333333334</v>
      </c>
      <c r="R1446" s="8">
        <v>0.89027777777777783</v>
      </c>
      <c r="S1446" s="6">
        <f t="shared" si="66"/>
        <v>16.366666666666667</v>
      </c>
      <c r="T1446" s="5">
        <f t="shared" si="67"/>
        <v>0.21384809669434407</v>
      </c>
      <c r="U1446" s="3">
        <v>2.21</v>
      </c>
      <c r="V1446" s="5">
        <f t="shared" si="68"/>
        <v>9.6763844658074236E-2</v>
      </c>
      <c r="W1446" s="3">
        <v>9.6763844658074236E-2</v>
      </c>
    </row>
    <row r="1447" spans="1:23" x14ac:dyDescent="0.55000000000000004">
      <c r="A1447" s="3">
        <v>33</v>
      </c>
      <c r="B1447" s="3" t="s">
        <v>51</v>
      </c>
      <c r="C1447" s="3" t="s">
        <v>50</v>
      </c>
      <c r="D1447" s="3" t="s">
        <v>9</v>
      </c>
      <c r="E1447" s="2" t="s">
        <v>22</v>
      </c>
      <c r="F1447" s="3">
        <v>37</v>
      </c>
      <c r="G1447" s="4">
        <v>30.9</v>
      </c>
      <c r="H1447" s="4">
        <v>108.4</v>
      </c>
      <c r="I1447" s="6">
        <v>7.6750225706994506</v>
      </c>
      <c r="J1447" s="5">
        <v>7.3999999999999996E-2</v>
      </c>
      <c r="K1447" s="4">
        <v>25.4</v>
      </c>
      <c r="L1447" s="4">
        <v>53.3</v>
      </c>
      <c r="M1447" s="6">
        <v>4.163340228339961</v>
      </c>
      <c r="N1447" s="5">
        <v>7.0000000000000007E-2</v>
      </c>
      <c r="O1447" s="5">
        <v>3.5116823423594896</v>
      </c>
      <c r="P1447" s="5">
        <v>3.5116823423594896</v>
      </c>
      <c r="Q1447" s="8">
        <v>0.20138888888888887</v>
      </c>
      <c r="R1447" s="8">
        <v>0.88541666666666663</v>
      </c>
      <c r="S1447" s="6">
        <f t="shared" si="66"/>
        <v>16.416666666666668</v>
      </c>
      <c r="T1447" s="5">
        <f t="shared" si="67"/>
        <v>0.21390958430616178</v>
      </c>
      <c r="U1447" s="3">
        <v>2.21</v>
      </c>
      <c r="V1447" s="5">
        <f t="shared" si="68"/>
        <v>9.6791667106860546E-2</v>
      </c>
      <c r="W1447" s="3">
        <v>9.6791667106860546E-2</v>
      </c>
    </row>
    <row r="1448" spans="1:23" x14ac:dyDescent="0.55000000000000004">
      <c r="A1448" s="3">
        <v>32</v>
      </c>
      <c r="B1448" s="3" t="s">
        <v>53</v>
      </c>
      <c r="C1448" s="3" t="s">
        <v>50</v>
      </c>
      <c r="D1448" s="3" t="s">
        <v>11</v>
      </c>
      <c r="E1448" s="3" t="s">
        <v>32</v>
      </c>
      <c r="F1448" s="3">
        <v>72</v>
      </c>
      <c r="G1448" s="4">
        <v>29.2</v>
      </c>
      <c r="H1448" s="4">
        <v>100.3</v>
      </c>
      <c r="I1448" s="6">
        <v>7.3150035303588377</v>
      </c>
      <c r="J1448" s="5">
        <v>0.06</v>
      </c>
      <c r="K1448" s="4">
        <v>24.6</v>
      </c>
      <c r="L1448" s="4">
        <v>48.3</v>
      </c>
      <c r="M1448" s="6">
        <v>3.829410699873478</v>
      </c>
      <c r="N1448" s="5">
        <v>5.5E-2</v>
      </c>
      <c r="O1448" s="5">
        <v>3.4855928304853596</v>
      </c>
      <c r="P1448" s="5">
        <v>3.4855928304853596</v>
      </c>
      <c r="Q1448" s="8">
        <v>0.20833333333333334</v>
      </c>
      <c r="R1448" s="8">
        <v>0.88541666666666663</v>
      </c>
      <c r="S1448" s="6">
        <f t="shared" si="66"/>
        <v>16.25</v>
      </c>
      <c r="T1448" s="5">
        <f t="shared" si="67"/>
        <v>0.2144980203375606</v>
      </c>
      <c r="U1448" s="3">
        <v>2.21</v>
      </c>
      <c r="V1448" s="5">
        <f t="shared" si="68"/>
        <v>9.7057927754552298E-2</v>
      </c>
      <c r="W1448" s="3">
        <v>9.7057927754552298E-2</v>
      </c>
    </row>
    <row r="1449" spans="1:23" x14ac:dyDescent="0.55000000000000004">
      <c r="A1449" s="3">
        <v>47</v>
      </c>
      <c r="B1449" s="3" t="s">
        <v>52</v>
      </c>
      <c r="C1449" s="3" t="s">
        <v>50</v>
      </c>
      <c r="D1449" s="3" t="s">
        <v>12</v>
      </c>
      <c r="E1449" s="3" t="s">
        <v>34</v>
      </c>
      <c r="F1449" s="3">
        <v>79</v>
      </c>
      <c r="G1449" s="4">
        <v>28.5</v>
      </c>
      <c r="H1449" s="4">
        <v>92.8</v>
      </c>
      <c r="I1449" s="6">
        <v>6.8523559509572003</v>
      </c>
      <c r="J1449" s="5">
        <v>6.6000000000000003E-2</v>
      </c>
      <c r="K1449" s="4">
        <v>25.1</v>
      </c>
      <c r="L1449" s="4">
        <v>42.8</v>
      </c>
      <c r="M1449" s="6">
        <v>3.3618353082438732</v>
      </c>
      <c r="N1449" s="5">
        <v>6.4000000000000001E-2</v>
      </c>
      <c r="O1449" s="5">
        <v>3.4905206427133271</v>
      </c>
      <c r="P1449" s="5">
        <v>3.4905206427133271</v>
      </c>
      <c r="Q1449" s="8">
        <v>0.20833333333333334</v>
      </c>
      <c r="R1449" s="8">
        <v>0.88541666666666663</v>
      </c>
      <c r="S1449" s="6">
        <f t="shared" si="66"/>
        <v>16.25</v>
      </c>
      <c r="T1449" s="5">
        <f t="shared" si="67"/>
        <v>0.21480127032082014</v>
      </c>
      <c r="U1449" s="3">
        <v>2.21</v>
      </c>
      <c r="V1449" s="5">
        <f t="shared" si="68"/>
        <v>9.7195144941547573E-2</v>
      </c>
      <c r="W1449" s="3">
        <v>9.7195144941547573E-2</v>
      </c>
    </row>
    <row r="1450" spans="1:23" x14ac:dyDescent="0.55000000000000004">
      <c r="A1450" s="3">
        <v>64</v>
      </c>
      <c r="B1450" s="3" t="s">
        <v>53</v>
      </c>
      <c r="C1450" s="3" t="s">
        <v>50</v>
      </c>
      <c r="D1450" s="3" t="s">
        <v>11</v>
      </c>
      <c r="E1450" s="3" t="s">
        <v>32</v>
      </c>
      <c r="F1450" s="3">
        <v>72</v>
      </c>
      <c r="G1450" s="4">
        <v>28.6</v>
      </c>
      <c r="H1450" s="4">
        <v>101.7</v>
      </c>
      <c r="I1450" s="6">
        <v>7.4962070744868754</v>
      </c>
      <c r="J1450" s="5">
        <v>5.8000000000000003E-2</v>
      </c>
      <c r="K1450" s="4">
        <v>24.2</v>
      </c>
      <c r="L1450" s="4">
        <v>50</v>
      </c>
      <c r="M1450" s="6">
        <v>3.9940800035896178</v>
      </c>
      <c r="N1450" s="5">
        <v>5.1999999999999998E-2</v>
      </c>
      <c r="O1450" s="5">
        <v>3.5021270708972576</v>
      </c>
      <c r="P1450" s="5">
        <v>3.5021270708972576</v>
      </c>
      <c r="Q1450" s="8">
        <v>0.20833333333333334</v>
      </c>
      <c r="R1450" s="8">
        <v>0.88541666666666663</v>
      </c>
      <c r="S1450" s="6">
        <f t="shared" si="66"/>
        <v>16.25</v>
      </c>
      <c r="T1450" s="5">
        <f t="shared" si="67"/>
        <v>0.21551551205521585</v>
      </c>
      <c r="U1450" s="3">
        <v>2.21</v>
      </c>
      <c r="V1450" s="5">
        <f t="shared" si="68"/>
        <v>9.7518331246704004E-2</v>
      </c>
      <c r="W1450" s="3">
        <v>9.7518331246704004E-2</v>
      </c>
    </row>
    <row r="1451" spans="1:23" x14ac:dyDescent="0.55000000000000004">
      <c r="A1451" s="3">
        <v>39</v>
      </c>
      <c r="B1451" s="3" t="s">
        <v>51</v>
      </c>
      <c r="C1451" s="3" t="s">
        <v>50</v>
      </c>
      <c r="D1451" s="3" t="s">
        <v>9</v>
      </c>
      <c r="E1451" s="3" t="s">
        <v>30</v>
      </c>
      <c r="F1451" s="3">
        <v>65</v>
      </c>
      <c r="G1451" s="4">
        <v>27.8</v>
      </c>
      <c r="H1451" s="4">
        <v>129</v>
      </c>
      <c r="I1451" s="6">
        <v>9.645152274012359</v>
      </c>
      <c r="J1451" s="5">
        <v>4.5999999999999999E-2</v>
      </c>
      <c r="K1451" s="4">
        <v>23.1</v>
      </c>
      <c r="L1451" s="4">
        <v>75.2</v>
      </c>
      <c r="M1451" s="6">
        <v>6.1337981865389848</v>
      </c>
      <c r="N1451" s="5">
        <v>3.5000000000000003E-2</v>
      </c>
      <c r="O1451" s="5">
        <v>3.5113540874733742</v>
      </c>
      <c r="P1451" s="5">
        <v>3.5113540874733742</v>
      </c>
      <c r="Q1451" s="8">
        <v>0.20833333333333334</v>
      </c>
      <c r="R1451" s="8">
        <v>0.88541666666666663</v>
      </c>
      <c r="S1451" s="6">
        <f t="shared" si="66"/>
        <v>16.25</v>
      </c>
      <c r="T1451" s="5">
        <f t="shared" si="67"/>
        <v>0.21608332845989994</v>
      </c>
      <c r="U1451" s="3">
        <v>2.21</v>
      </c>
      <c r="V1451" s="5">
        <f t="shared" si="68"/>
        <v>9.7775261746561065E-2</v>
      </c>
      <c r="W1451" s="3">
        <v>9.7775261746561065E-2</v>
      </c>
    </row>
    <row r="1452" spans="1:23" x14ac:dyDescent="0.55000000000000004">
      <c r="A1452" s="3">
        <v>35</v>
      </c>
      <c r="B1452" s="3" t="s">
        <v>51</v>
      </c>
      <c r="C1452" s="3" t="s">
        <v>50</v>
      </c>
      <c r="D1452" s="3" t="s">
        <v>9</v>
      </c>
      <c r="E1452" s="3" t="s">
        <v>29</v>
      </c>
      <c r="F1452" s="3">
        <v>61</v>
      </c>
      <c r="G1452" s="4">
        <v>29.6</v>
      </c>
      <c r="H1452" s="4">
        <v>95.7</v>
      </c>
      <c r="I1452" s="6">
        <v>6.9306486088919019</v>
      </c>
      <c r="J1452" s="5">
        <v>5.8000000000000003E-2</v>
      </c>
      <c r="K1452" s="4">
        <v>25.6</v>
      </c>
      <c r="L1452" s="4">
        <v>42.9</v>
      </c>
      <c r="M1452" s="6">
        <v>3.3386085395977863</v>
      </c>
      <c r="N1452" s="5">
        <v>5.8000000000000003E-2</v>
      </c>
      <c r="O1452" s="5">
        <v>3.5920400692941157</v>
      </c>
      <c r="P1452" s="5">
        <v>3.5920400692941157</v>
      </c>
      <c r="Q1452" s="8">
        <v>0.19791666666666666</v>
      </c>
      <c r="R1452" s="8">
        <v>0.88541666666666663</v>
      </c>
      <c r="S1452" s="6">
        <f t="shared" si="66"/>
        <v>16.5</v>
      </c>
      <c r="T1452" s="5">
        <f t="shared" si="67"/>
        <v>0.21769939813903733</v>
      </c>
      <c r="U1452" s="3">
        <v>2.21</v>
      </c>
      <c r="V1452" s="5">
        <f t="shared" si="68"/>
        <v>9.8506514995039512E-2</v>
      </c>
      <c r="W1452" s="3">
        <v>9.8506514995039512E-2</v>
      </c>
    </row>
    <row r="1453" spans="1:23" x14ac:dyDescent="0.55000000000000004">
      <c r="A1453" s="3">
        <v>37</v>
      </c>
      <c r="B1453" s="3" t="s">
        <v>53</v>
      </c>
      <c r="C1453" s="3" t="s">
        <v>50</v>
      </c>
      <c r="D1453" s="3" t="s">
        <v>11</v>
      </c>
      <c r="E1453" s="3" t="s">
        <v>26</v>
      </c>
      <c r="F1453" s="3">
        <v>51</v>
      </c>
      <c r="G1453" s="4">
        <v>27.1</v>
      </c>
      <c r="H1453" s="4">
        <v>98.4</v>
      </c>
      <c r="I1453" s="6">
        <v>7.4506135387770618</v>
      </c>
      <c r="J1453" s="5">
        <v>4.7E-2</v>
      </c>
      <c r="K1453" s="4">
        <v>24.7</v>
      </c>
      <c r="L1453" s="4">
        <v>50.1</v>
      </c>
      <c r="M1453" s="6">
        <v>3.9646958486097867</v>
      </c>
      <c r="N1453" s="5">
        <v>4.3999999999999997E-2</v>
      </c>
      <c r="O1453" s="5">
        <v>3.485917690167275</v>
      </c>
      <c r="P1453" s="5">
        <v>3.485917690167275</v>
      </c>
      <c r="Q1453" s="8">
        <v>0.20833333333333334</v>
      </c>
      <c r="R1453" s="8">
        <v>0.875</v>
      </c>
      <c r="S1453" s="6">
        <f t="shared" si="66"/>
        <v>16</v>
      </c>
      <c r="T1453" s="5">
        <f t="shared" si="67"/>
        <v>0.21786985563545469</v>
      </c>
      <c r="U1453" s="3">
        <v>2.21</v>
      </c>
      <c r="V1453" s="5">
        <f t="shared" si="68"/>
        <v>9.8583645083916149E-2</v>
      </c>
      <c r="W1453" s="3">
        <v>9.8583645083916149E-2</v>
      </c>
    </row>
    <row r="1454" spans="1:23" x14ac:dyDescent="0.55000000000000004">
      <c r="A1454" s="3">
        <v>56</v>
      </c>
      <c r="B1454" s="3" t="s">
        <v>53</v>
      </c>
      <c r="C1454" s="3" t="s">
        <v>49</v>
      </c>
      <c r="D1454" s="3" t="s">
        <v>41</v>
      </c>
      <c r="E1454" s="3" t="s">
        <v>32</v>
      </c>
      <c r="F1454" s="3">
        <v>72</v>
      </c>
      <c r="G1454" s="4">
        <v>29.3</v>
      </c>
      <c r="H1454" s="4">
        <v>122.6</v>
      </c>
      <c r="I1454" s="6">
        <v>8.9256467570495435</v>
      </c>
      <c r="J1454" s="5">
        <v>5.8000000000000003E-2</v>
      </c>
      <c r="K1454" s="4">
        <v>24.7</v>
      </c>
      <c r="L1454" s="4">
        <v>68</v>
      </c>
      <c r="M1454" s="6">
        <v>5.3812239062967162</v>
      </c>
      <c r="N1454" s="5">
        <v>5.0999999999999997E-2</v>
      </c>
      <c r="O1454" s="5">
        <v>3.5444228507528273</v>
      </c>
      <c r="P1454" s="5">
        <v>3.5444228507528273</v>
      </c>
      <c r="Q1454" s="8">
        <v>0.20833333333333334</v>
      </c>
      <c r="R1454" s="8">
        <v>0.88541666666666663</v>
      </c>
      <c r="S1454" s="6">
        <f t="shared" si="66"/>
        <v>16.25</v>
      </c>
      <c r="T1454" s="5">
        <f t="shared" si="67"/>
        <v>0.21811832927709707</v>
      </c>
      <c r="U1454" s="3">
        <v>2.21</v>
      </c>
      <c r="V1454" s="5">
        <f t="shared" si="68"/>
        <v>9.8696076595971516E-2</v>
      </c>
      <c r="W1454" s="3">
        <v>9.8696076595971516E-2</v>
      </c>
    </row>
    <row r="1455" spans="1:23" x14ac:dyDescent="0.55000000000000004">
      <c r="A1455" s="3">
        <v>36</v>
      </c>
      <c r="B1455" s="3" t="s">
        <v>52</v>
      </c>
      <c r="C1455" s="3" t="s">
        <v>50</v>
      </c>
      <c r="D1455" s="3" t="s">
        <v>12</v>
      </c>
      <c r="E1455" s="2" t="s">
        <v>22</v>
      </c>
      <c r="F1455" s="3">
        <v>37</v>
      </c>
      <c r="G1455" s="4">
        <v>29.4</v>
      </c>
      <c r="H1455" s="4">
        <v>120</v>
      </c>
      <c r="I1455" s="6">
        <v>8.7210156950787461</v>
      </c>
      <c r="J1455" s="5">
        <v>6.4000000000000001E-2</v>
      </c>
      <c r="K1455" s="4">
        <v>24.6</v>
      </c>
      <c r="L1455" s="4">
        <v>64.7</v>
      </c>
      <c r="M1455" s="6">
        <v>5.1296660927911821</v>
      </c>
      <c r="N1455" s="5">
        <v>6.0999999999999999E-2</v>
      </c>
      <c r="O1455" s="5">
        <v>3.5913496022875639</v>
      </c>
      <c r="P1455" s="5">
        <v>3.5913496022875639</v>
      </c>
      <c r="Q1455" s="8">
        <v>0.20138888888888887</v>
      </c>
      <c r="R1455" s="8">
        <v>0.88541666666666663</v>
      </c>
      <c r="S1455" s="6">
        <f t="shared" si="66"/>
        <v>16.416666666666668</v>
      </c>
      <c r="T1455" s="5">
        <f t="shared" si="67"/>
        <v>0.2187624123220851</v>
      </c>
      <c r="U1455" s="3">
        <v>2.21</v>
      </c>
      <c r="V1455" s="5">
        <f t="shared" si="68"/>
        <v>9.8987516887821314E-2</v>
      </c>
      <c r="W1455" s="3">
        <v>9.8987516887821314E-2</v>
      </c>
    </row>
    <row r="1456" spans="1:23" x14ac:dyDescent="0.55000000000000004">
      <c r="A1456" s="3">
        <v>37</v>
      </c>
      <c r="B1456" s="3" t="s">
        <v>53</v>
      </c>
      <c r="C1456" s="3" t="s">
        <v>50</v>
      </c>
      <c r="D1456" s="3" t="s">
        <v>11</v>
      </c>
      <c r="E1456" s="2" t="s">
        <v>25</v>
      </c>
      <c r="F1456" s="3">
        <v>47</v>
      </c>
      <c r="G1456" s="4">
        <v>29.3</v>
      </c>
      <c r="H1456" s="4">
        <v>100</v>
      </c>
      <c r="I1456" s="6">
        <v>7.2802991493063169</v>
      </c>
      <c r="J1456" s="5">
        <v>4.9000000000000002E-2</v>
      </c>
      <c r="K1456" s="4">
        <v>26.2</v>
      </c>
      <c r="L1456" s="4">
        <v>47.4</v>
      </c>
      <c r="M1456" s="6">
        <v>3.6483221469590639</v>
      </c>
      <c r="N1456" s="5">
        <v>4.4999999999999998E-2</v>
      </c>
      <c r="O1456" s="5">
        <v>3.6319770023472531</v>
      </c>
      <c r="P1456" s="5">
        <v>3.6319770023472531</v>
      </c>
      <c r="Q1456" s="8">
        <v>0.20833333333333334</v>
      </c>
      <c r="R1456" s="8">
        <v>0.89583333333333337</v>
      </c>
      <c r="S1456" s="6">
        <f t="shared" si="66"/>
        <v>16.5</v>
      </c>
      <c r="T1456" s="5">
        <f t="shared" si="67"/>
        <v>0.22011981832407596</v>
      </c>
      <c r="U1456" s="3">
        <v>2.21</v>
      </c>
      <c r="V1456" s="5">
        <f t="shared" si="68"/>
        <v>9.960172774845065E-2</v>
      </c>
      <c r="W1456" s="3">
        <v>9.960172774845065E-2</v>
      </c>
    </row>
    <row r="1457" spans="1:23" x14ac:dyDescent="0.55000000000000004">
      <c r="A1457" s="3">
        <v>61</v>
      </c>
      <c r="B1457" s="3" t="s">
        <v>53</v>
      </c>
      <c r="C1457" s="3" t="s">
        <v>50</v>
      </c>
      <c r="D1457" s="3" t="s">
        <v>11</v>
      </c>
      <c r="E1457" s="3" t="s">
        <v>30</v>
      </c>
      <c r="F1457" s="3">
        <v>65</v>
      </c>
      <c r="G1457" s="4">
        <v>27.1</v>
      </c>
      <c r="H1457" s="4">
        <v>114.4</v>
      </c>
      <c r="I1457" s="6">
        <v>8.6620954150009748</v>
      </c>
      <c r="J1457" s="5">
        <v>4.1000000000000002E-2</v>
      </c>
      <c r="K1457" s="4">
        <v>23.3</v>
      </c>
      <c r="L1457" s="4">
        <v>62.4</v>
      </c>
      <c r="M1457" s="6">
        <v>5.0703462746594568</v>
      </c>
      <c r="N1457" s="5">
        <v>0.04</v>
      </c>
      <c r="O1457" s="5">
        <v>3.591749140341518</v>
      </c>
      <c r="P1457" s="5">
        <v>3.591749140341518</v>
      </c>
      <c r="Q1457" s="8">
        <v>0.20833333333333334</v>
      </c>
      <c r="R1457" s="8">
        <v>0.88541666666666663</v>
      </c>
      <c r="S1457" s="6">
        <f t="shared" si="66"/>
        <v>16.25</v>
      </c>
      <c r="T1457" s="5">
        <f t="shared" si="67"/>
        <v>0.2210307163287088</v>
      </c>
      <c r="U1457" s="3">
        <v>2.21</v>
      </c>
      <c r="V1457" s="5">
        <f t="shared" si="68"/>
        <v>0.10001389879127094</v>
      </c>
      <c r="W1457" s="3">
        <v>0.10001389879127094</v>
      </c>
    </row>
    <row r="1458" spans="1:23" x14ac:dyDescent="0.55000000000000004">
      <c r="A1458" s="3">
        <v>27</v>
      </c>
      <c r="B1458" s="3" t="s">
        <v>48</v>
      </c>
      <c r="C1458" s="3" t="s">
        <v>50</v>
      </c>
      <c r="D1458" s="3" t="s">
        <v>10</v>
      </c>
      <c r="E1458" s="3" t="s">
        <v>29</v>
      </c>
      <c r="F1458" s="3">
        <v>61</v>
      </c>
      <c r="G1458" s="4">
        <v>29.8</v>
      </c>
      <c r="H1458" s="4">
        <v>110.5</v>
      </c>
      <c r="I1458" s="6">
        <v>7.9745139806723682</v>
      </c>
      <c r="J1458" s="5">
        <v>8.3000000000000004E-2</v>
      </c>
      <c r="K1458" s="4">
        <v>25.6</v>
      </c>
      <c r="L1458" s="4">
        <v>55.4</v>
      </c>
      <c r="M1458" s="6">
        <v>4.3113965756111279</v>
      </c>
      <c r="N1458" s="5">
        <v>7.4999999999999997E-2</v>
      </c>
      <c r="O1458" s="5">
        <v>3.6631174050612403</v>
      </c>
      <c r="P1458" s="5">
        <v>3.6631174050612403</v>
      </c>
      <c r="Q1458" s="8">
        <v>0.19791666666666666</v>
      </c>
      <c r="R1458" s="8">
        <v>0.88541666666666663</v>
      </c>
      <c r="S1458" s="6">
        <f t="shared" si="66"/>
        <v>16.5</v>
      </c>
      <c r="T1458" s="5">
        <f t="shared" si="67"/>
        <v>0.22200711545825699</v>
      </c>
      <c r="U1458" s="3">
        <v>2.21</v>
      </c>
      <c r="V1458" s="5">
        <f t="shared" si="68"/>
        <v>0.10045570835215248</v>
      </c>
      <c r="W1458" s="3">
        <v>0.10045570835215248</v>
      </c>
    </row>
    <row r="1459" spans="1:23" x14ac:dyDescent="0.55000000000000004">
      <c r="A1459" s="3">
        <v>36</v>
      </c>
      <c r="B1459" s="3" t="s">
        <v>52</v>
      </c>
      <c r="C1459" s="3" t="s">
        <v>50</v>
      </c>
      <c r="D1459" s="3" t="s">
        <v>12</v>
      </c>
      <c r="E1459" s="3" t="s">
        <v>34</v>
      </c>
      <c r="F1459" s="3">
        <v>79</v>
      </c>
      <c r="G1459" s="4">
        <v>28.7</v>
      </c>
      <c r="H1459" s="4">
        <v>82.6</v>
      </c>
      <c r="I1459" s="6">
        <v>6.0775753537875525</v>
      </c>
      <c r="J1459" s="5">
        <v>6.6000000000000003E-2</v>
      </c>
      <c r="K1459" s="4">
        <v>25.4</v>
      </c>
      <c r="L1459" s="4">
        <v>31.6</v>
      </c>
      <c r="M1459" s="6">
        <v>2.4683217864079321</v>
      </c>
      <c r="N1459" s="5">
        <v>6.6000000000000003E-2</v>
      </c>
      <c r="O1459" s="5">
        <v>3.6092535673796204</v>
      </c>
      <c r="P1459" s="5">
        <v>3.6092535673796204</v>
      </c>
      <c r="Q1459" s="8">
        <v>0.20833333333333334</v>
      </c>
      <c r="R1459" s="8">
        <v>0.88541666666666663</v>
      </c>
      <c r="S1459" s="6">
        <f t="shared" si="66"/>
        <v>16.25</v>
      </c>
      <c r="T1459" s="5">
        <f t="shared" si="67"/>
        <v>0.22210791183874587</v>
      </c>
      <c r="U1459" s="3">
        <v>2.21</v>
      </c>
      <c r="V1459" s="5">
        <f t="shared" si="68"/>
        <v>0.10050131757409317</v>
      </c>
      <c r="W1459" s="3">
        <v>0.10050131757409317</v>
      </c>
    </row>
    <row r="1460" spans="1:23" x14ac:dyDescent="0.55000000000000004">
      <c r="A1460" s="3">
        <v>9</v>
      </c>
      <c r="B1460" s="3" t="s">
        <v>48</v>
      </c>
      <c r="C1460" s="3" t="s">
        <v>50</v>
      </c>
      <c r="D1460" s="3" t="s">
        <v>10</v>
      </c>
      <c r="E1460" s="3" t="s">
        <v>29</v>
      </c>
      <c r="F1460" s="3">
        <v>61</v>
      </c>
      <c r="G1460" s="4">
        <v>29.9</v>
      </c>
      <c r="H1460" s="4">
        <v>112.6</v>
      </c>
      <c r="I1460" s="6">
        <v>8.111885034691996</v>
      </c>
      <c r="J1460" s="5">
        <v>7.4999999999999997E-2</v>
      </c>
      <c r="K1460" s="4">
        <v>25.5</v>
      </c>
      <c r="L1460" s="4">
        <v>57</v>
      </c>
      <c r="M1460" s="6">
        <v>4.4441198152440498</v>
      </c>
      <c r="N1460" s="5">
        <v>6.6000000000000003E-2</v>
      </c>
      <c r="O1460" s="5">
        <v>3.6677652194479462</v>
      </c>
      <c r="P1460" s="5">
        <v>3.6677652194479462</v>
      </c>
      <c r="Q1460" s="8">
        <v>0.19791666666666666</v>
      </c>
      <c r="R1460" s="8">
        <v>0.88541666666666663</v>
      </c>
      <c r="S1460" s="6">
        <f t="shared" si="66"/>
        <v>16.5</v>
      </c>
      <c r="T1460" s="5">
        <f t="shared" si="67"/>
        <v>0.2222888011786634</v>
      </c>
      <c r="U1460" s="3">
        <v>2.21</v>
      </c>
      <c r="V1460" s="5">
        <f t="shared" si="68"/>
        <v>0.10058316795414633</v>
      </c>
      <c r="W1460" s="3">
        <v>0.10058316795414633</v>
      </c>
    </row>
    <row r="1461" spans="1:23" x14ac:dyDescent="0.55000000000000004">
      <c r="A1461" s="3">
        <v>22</v>
      </c>
      <c r="B1461" s="3" t="s">
        <v>48</v>
      </c>
      <c r="C1461" s="3" t="s">
        <v>49</v>
      </c>
      <c r="D1461" s="3" t="s">
        <v>38</v>
      </c>
      <c r="E1461" s="3" t="s">
        <v>32</v>
      </c>
      <c r="F1461" s="3">
        <v>72</v>
      </c>
      <c r="G1461" s="4">
        <v>27.8</v>
      </c>
      <c r="H1461" s="4">
        <v>97</v>
      </c>
      <c r="I1461" s="6">
        <v>7.252556361079062</v>
      </c>
      <c r="J1461" s="5">
        <v>7.9000000000000001E-2</v>
      </c>
      <c r="K1461" s="4">
        <v>23.8</v>
      </c>
      <c r="L1461" s="4">
        <v>45</v>
      </c>
      <c r="M1461" s="6">
        <v>3.6219247004179378</v>
      </c>
      <c r="N1461" s="5">
        <v>7.2999999999999995E-2</v>
      </c>
      <c r="O1461" s="5">
        <v>3.6306316606611242</v>
      </c>
      <c r="P1461" s="5">
        <v>3.6306316606611242</v>
      </c>
      <c r="Q1461" s="8">
        <v>0.20833333333333334</v>
      </c>
      <c r="R1461" s="8">
        <v>0.88541666666666663</v>
      </c>
      <c r="S1461" s="6">
        <f t="shared" si="66"/>
        <v>16.25</v>
      </c>
      <c r="T1461" s="5">
        <f t="shared" si="67"/>
        <v>0.22342348680991533</v>
      </c>
      <c r="U1461" s="3">
        <v>2.21</v>
      </c>
      <c r="V1461" s="5">
        <f t="shared" si="68"/>
        <v>0.10109660036647752</v>
      </c>
      <c r="W1461" s="3">
        <v>0.10109660036647752</v>
      </c>
    </row>
    <row r="1462" spans="1:23" x14ac:dyDescent="0.55000000000000004">
      <c r="A1462" s="3">
        <v>10</v>
      </c>
      <c r="B1462" s="3" t="s">
        <v>51</v>
      </c>
      <c r="C1462" s="3" t="s">
        <v>49</v>
      </c>
      <c r="D1462" s="3" t="s">
        <v>39</v>
      </c>
      <c r="E1462" s="3" t="s">
        <v>29</v>
      </c>
      <c r="F1462" s="3">
        <v>61</v>
      </c>
      <c r="G1462" s="4">
        <v>29.7</v>
      </c>
      <c r="H1462" s="4">
        <v>111</v>
      </c>
      <c r="I1462" s="6">
        <v>8.0246193174049214</v>
      </c>
      <c r="J1462" s="5">
        <v>6.6000000000000003E-2</v>
      </c>
      <c r="K1462" s="4">
        <v>25.4</v>
      </c>
      <c r="L1462" s="4">
        <v>55.5</v>
      </c>
      <c r="M1462" s="6">
        <v>4.3351854160012726</v>
      </c>
      <c r="N1462" s="5">
        <v>5.5E-2</v>
      </c>
      <c r="O1462" s="5">
        <v>3.6894339014036488</v>
      </c>
      <c r="P1462" s="5">
        <v>3.6894339014036488</v>
      </c>
      <c r="Q1462" s="8">
        <v>0.19791666666666666</v>
      </c>
      <c r="R1462" s="8">
        <v>0.88541666666666663</v>
      </c>
      <c r="S1462" s="6">
        <f t="shared" si="66"/>
        <v>16.5</v>
      </c>
      <c r="T1462" s="5">
        <f t="shared" si="67"/>
        <v>0.22360205463052418</v>
      </c>
      <c r="U1462" s="3">
        <v>2.21</v>
      </c>
      <c r="V1462" s="5">
        <f t="shared" si="68"/>
        <v>0.10117740028530506</v>
      </c>
      <c r="W1462" s="3">
        <v>0.10117740028530506</v>
      </c>
    </row>
    <row r="1463" spans="1:23" x14ac:dyDescent="0.55000000000000004">
      <c r="A1463" s="3">
        <v>37</v>
      </c>
      <c r="B1463" s="3" t="s">
        <v>53</v>
      </c>
      <c r="C1463" s="3" t="s">
        <v>50</v>
      </c>
      <c r="D1463" s="3" t="s">
        <v>11</v>
      </c>
      <c r="E1463" s="3" t="s">
        <v>30</v>
      </c>
      <c r="F1463" s="3">
        <v>65</v>
      </c>
      <c r="G1463" s="4">
        <v>26.9</v>
      </c>
      <c r="H1463" s="4">
        <v>108.1</v>
      </c>
      <c r="I1463" s="6">
        <v>8.2148001166077549</v>
      </c>
      <c r="J1463" s="5">
        <v>5.1999999999999998E-2</v>
      </c>
      <c r="K1463" s="4">
        <v>23.2</v>
      </c>
      <c r="L1463" s="4">
        <v>56.2</v>
      </c>
      <c r="M1463" s="6">
        <v>4.5752840879602781</v>
      </c>
      <c r="N1463" s="5">
        <v>4.7E-2</v>
      </c>
      <c r="O1463" s="5">
        <v>3.6395160286474768</v>
      </c>
      <c r="P1463" s="5">
        <v>3.6395160286474768</v>
      </c>
      <c r="Q1463" s="8">
        <v>0.20833333333333334</v>
      </c>
      <c r="R1463" s="8">
        <v>0.88541666666666663</v>
      </c>
      <c r="S1463" s="6">
        <f t="shared" si="66"/>
        <v>16.25</v>
      </c>
      <c r="T1463" s="5">
        <f t="shared" si="67"/>
        <v>0.22397021714753704</v>
      </c>
      <c r="U1463" s="3">
        <v>2.21</v>
      </c>
      <c r="V1463" s="5">
        <f t="shared" si="68"/>
        <v>0.10134398965951903</v>
      </c>
      <c r="W1463" s="3">
        <v>0.10134398965951903</v>
      </c>
    </row>
    <row r="1464" spans="1:23" x14ac:dyDescent="0.55000000000000004">
      <c r="A1464" s="3">
        <v>35</v>
      </c>
      <c r="B1464" s="3" t="s">
        <v>51</v>
      </c>
      <c r="C1464" s="3" t="s">
        <v>50</v>
      </c>
      <c r="D1464" s="3" t="s">
        <v>9</v>
      </c>
      <c r="E1464" s="2" t="s">
        <v>22</v>
      </c>
      <c r="F1464" s="3">
        <v>37</v>
      </c>
      <c r="G1464" s="4">
        <v>30.7</v>
      </c>
      <c r="H1464" s="4">
        <v>111</v>
      </c>
      <c r="I1464" s="6">
        <v>7.8862836644668244</v>
      </c>
      <c r="J1464" s="5">
        <v>5.6000000000000001E-2</v>
      </c>
      <c r="K1464" s="4">
        <v>25.7</v>
      </c>
      <c r="L1464" s="4">
        <v>54</v>
      </c>
      <c r="M1464" s="6">
        <v>4.1946947555860694</v>
      </c>
      <c r="N1464" s="5">
        <v>5.1999999999999998E-2</v>
      </c>
      <c r="O1464" s="5">
        <v>3.691588908880755</v>
      </c>
      <c r="P1464" s="5">
        <v>3.691588908880755</v>
      </c>
      <c r="Q1464" s="8">
        <v>0.20138888888888887</v>
      </c>
      <c r="R1464" s="8">
        <v>0.88541666666666663</v>
      </c>
      <c r="S1464" s="6">
        <f t="shared" si="66"/>
        <v>16.416666666666668</v>
      </c>
      <c r="T1464" s="5">
        <f t="shared" si="67"/>
        <v>0.22486835993182261</v>
      </c>
      <c r="U1464" s="3">
        <v>2.21</v>
      </c>
      <c r="V1464" s="5">
        <f t="shared" si="68"/>
        <v>0.10175038910942201</v>
      </c>
      <c r="W1464" s="3">
        <v>0.10175038910942201</v>
      </c>
    </row>
    <row r="1465" spans="1:23" x14ac:dyDescent="0.55000000000000004">
      <c r="A1465" s="3">
        <v>33</v>
      </c>
      <c r="B1465" s="3" t="s">
        <v>51</v>
      </c>
      <c r="C1465" s="3" t="s">
        <v>50</v>
      </c>
      <c r="D1465" s="3" t="s">
        <v>9</v>
      </c>
      <c r="E1465" s="2" t="s">
        <v>21</v>
      </c>
      <c r="F1465" s="3">
        <v>33</v>
      </c>
      <c r="G1465" s="4">
        <v>30.8</v>
      </c>
      <c r="H1465" s="4">
        <v>117.4</v>
      </c>
      <c r="I1465" s="6">
        <v>8.3265966101378641</v>
      </c>
      <c r="J1465" s="5">
        <v>6.5000000000000002E-2</v>
      </c>
      <c r="K1465" s="4">
        <v>26.7</v>
      </c>
      <c r="L1465" s="4">
        <v>61.3</v>
      </c>
      <c r="M1465" s="6">
        <v>4.6753093251933366</v>
      </c>
      <c r="N1465" s="5">
        <v>6.2E-2</v>
      </c>
      <c r="O1465" s="5">
        <v>3.6512872849445275</v>
      </c>
      <c r="P1465" s="5">
        <v>3.6512872849445275</v>
      </c>
      <c r="Q1465" s="8">
        <v>0.20833333333333334</v>
      </c>
      <c r="R1465" s="8">
        <v>0.88194444444444453</v>
      </c>
      <c r="S1465" s="6">
        <f t="shared" si="66"/>
        <v>16.166666666666668</v>
      </c>
      <c r="T1465" s="5">
        <f t="shared" si="67"/>
        <v>0.225852821749146</v>
      </c>
      <c r="U1465" s="3">
        <v>2.21</v>
      </c>
      <c r="V1465" s="5">
        <f t="shared" si="68"/>
        <v>0.10219584694531494</v>
      </c>
      <c r="W1465" s="3">
        <v>0.10219584694531494</v>
      </c>
    </row>
    <row r="1466" spans="1:23" x14ac:dyDescent="0.55000000000000004">
      <c r="A1466" s="3">
        <v>28</v>
      </c>
      <c r="B1466" s="3" t="s">
        <v>53</v>
      </c>
      <c r="C1466" s="3" t="s">
        <v>50</v>
      </c>
      <c r="D1466" s="3" t="s">
        <v>11</v>
      </c>
      <c r="E1466" s="3" t="s">
        <v>26</v>
      </c>
      <c r="F1466" s="3">
        <v>51</v>
      </c>
      <c r="G1466" s="4">
        <v>27</v>
      </c>
      <c r="H1466" s="4">
        <v>113.8</v>
      </c>
      <c r="I1466" s="6">
        <v>8.6322868056737256</v>
      </c>
      <c r="J1466" s="5">
        <v>6.4000000000000001E-2</v>
      </c>
      <c r="K1466" s="4">
        <v>24.7</v>
      </c>
      <c r="L1466" s="4">
        <v>63.4</v>
      </c>
      <c r="M1466" s="6">
        <v>5.0171999361648796</v>
      </c>
      <c r="N1466" s="5">
        <v>0.06</v>
      </c>
      <c r="O1466" s="5">
        <v>3.6150868695088461</v>
      </c>
      <c r="P1466" s="5">
        <v>3.6150868695088461</v>
      </c>
      <c r="Q1466" s="8">
        <v>0.20833333333333334</v>
      </c>
      <c r="R1466" s="8">
        <v>0.875</v>
      </c>
      <c r="S1466" s="6">
        <f t="shared" si="66"/>
        <v>16</v>
      </c>
      <c r="T1466" s="5">
        <f t="shared" si="67"/>
        <v>0.22594292934430288</v>
      </c>
      <c r="U1466" s="3">
        <v>2.21</v>
      </c>
      <c r="V1466" s="5">
        <f t="shared" si="68"/>
        <v>0.10223661961280674</v>
      </c>
      <c r="W1466" s="3">
        <v>0.10223661961280674</v>
      </c>
    </row>
    <row r="1467" spans="1:23" x14ac:dyDescent="0.55000000000000004">
      <c r="A1467" s="3">
        <v>33</v>
      </c>
      <c r="B1467" s="3" t="s">
        <v>51</v>
      </c>
      <c r="C1467" s="3" t="s">
        <v>50</v>
      </c>
      <c r="D1467" s="3" t="s">
        <v>9</v>
      </c>
      <c r="E1467" s="3" t="s">
        <v>34</v>
      </c>
      <c r="F1467" s="3">
        <v>79</v>
      </c>
      <c r="G1467" s="4">
        <v>29.1</v>
      </c>
      <c r="H1467" s="4">
        <v>92</v>
      </c>
      <c r="I1467" s="6">
        <v>6.7215092168657069</v>
      </c>
      <c r="J1467" s="5">
        <v>7.5999999999999998E-2</v>
      </c>
      <c r="K1467" s="4">
        <v>25.8</v>
      </c>
      <c r="L1467" s="4">
        <v>39.299999999999997</v>
      </c>
      <c r="M1467" s="6">
        <v>3.0471837049922441</v>
      </c>
      <c r="N1467" s="5">
        <v>7.2999999999999995E-2</v>
      </c>
      <c r="O1467" s="5">
        <v>3.6743255118734628</v>
      </c>
      <c r="P1467" s="5">
        <v>3.6743255118734628</v>
      </c>
      <c r="Q1467" s="8">
        <v>0.20833333333333334</v>
      </c>
      <c r="R1467" s="8">
        <v>0.88541666666666663</v>
      </c>
      <c r="S1467" s="6">
        <f t="shared" si="66"/>
        <v>16.25</v>
      </c>
      <c r="T1467" s="5">
        <f t="shared" si="67"/>
        <v>0.2261123391922131</v>
      </c>
      <c r="U1467" s="3">
        <v>2.21</v>
      </c>
      <c r="V1467" s="5">
        <f t="shared" si="68"/>
        <v>0.10231327565258512</v>
      </c>
      <c r="W1467" s="3">
        <v>0.10231327565258512</v>
      </c>
    </row>
    <row r="1468" spans="1:23" x14ac:dyDescent="0.55000000000000004">
      <c r="A1468" s="3">
        <v>29</v>
      </c>
      <c r="B1468" s="3" t="s">
        <v>52</v>
      </c>
      <c r="C1468" s="3" t="s">
        <v>50</v>
      </c>
      <c r="D1468" s="3" t="s">
        <v>12</v>
      </c>
      <c r="E1468" s="3" t="s">
        <v>30</v>
      </c>
      <c r="F1468" s="3">
        <v>65</v>
      </c>
      <c r="G1468" s="4">
        <v>28</v>
      </c>
      <c r="H1468" s="4">
        <v>123.9</v>
      </c>
      <c r="I1468" s="6">
        <v>9.2307059803422824</v>
      </c>
      <c r="J1468" s="5">
        <v>6.2E-2</v>
      </c>
      <c r="K1468" s="4">
        <v>23.6</v>
      </c>
      <c r="L1468" s="4">
        <v>68.599999999999994</v>
      </c>
      <c r="M1468" s="6">
        <v>5.5424015820923707</v>
      </c>
      <c r="N1468" s="5">
        <v>0.05</v>
      </c>
      <c r="O1468" s="5">
        <v>3.6883043982499117</v>
      </c>
      <c r="P1468" s="5">
        <v>3.6883043982499117</v>
      </c>
      <c r="Q1468" s="8">
        <v>0.20833333333333334</v>
      </c>
      <c r="R1468" s="8">
        <v>0.88541666666666663</v>
      </c>
      <c r="S1468" s="6">
        <f t="shared" si="66"/>
        <v>16.25</v>
      </c>
      <c r="T1468" s="5">
        <f t="shared" si="67"/>
        <v>0.22697257835384071</v>
      </c>
      <c r="U1468" s="3">
        <v>2.21</v>
      </c>
      <c r="V1468" s="5">
        <f t="shared" si="68"/>
        <v>0.10270252414200938</v>
      </c>
      <c r="W1468" s="3">
        <v>0.10270252414200938</v>
      </c>
    </row>
    <row r="1469" spans="1:23" x14ac:dyDescent="0.55000000000000004">
      <c r="A1469" s="3">
        <v>28</v>
      </c>
      <c r="B1469" s="3" t="s">
        <v>53</v>
      </c>
      <c r="C1469" s="3" t="s">
        <v>50</v>
      </c>
      <c r="D1469" s="3" t="s">
        <v>11</v>
      </c>
      <c r="E1469" s="3" t="s">
        <v>28</v>
      </c>
      <c r="F1469" s="3">
        <v>58</v>
      </c>
      <c r="G1469" s="4">
        <v>28</v>
      </c>
      <c r="H1469" s="4">
        <v>112.9</v>
      </c>
      <c r="I1469" s="6">
        <v>8.4111921322085852</v>
      </c>
      <c r="J1469" s="5">
        <v>6.2E-2</v>
      </c>
      <c r="K1469" s="4">
        <v>24.4</v>
      </c>
      <c r="L1469" s="4">
        <v>59.1</v>
      </c>
      <c r="M1469" s="6">
        <v>4.7032818384692208</v>
      </c>
      <c r="N1469" s="5">
        <v>6.0999999999999999E-2</v>
      </c>
      <c r="O1469" s="5">
        <v>3.7079102937393644</v>
      </c>
      <c r="P1469" s="5">
        <v>3.7079102937393644</v>
      </c>
      <c r="Q1469" s="8">
        <v>0.20833333333333334</v>
      </c>
      <c r="R1469" s="8">
        <v>0.88888888888888884</v>
      </c>
      <c r="S1469" s="6">
        <f t="shared" si="66"/>
        <v>16.333333333333332</v>
      </c>
      <c r="T1469" s="5">
        <f t="shared" si="67"/>
        <v>0.2270149159432264</v>
      </c>
      <c r="U1469" s="3">
        <v>2.21</v>
      </c>
      <c r="V1469" s="5">
        <f t="shared" si="68"/>
        <v>0.10272168142227439</v>
      </c>
      <c r="W1469" s="3">
        <v>0.10272168142227439</v>
      </c>
    </row>
    <row r="1470" spans="1:23" x14ac:dyDescent="0.55000000000000004">
      <c r="A1470" s="3">
        <v>63</v>
      </c>
      <c r="B1470" s="3" t="s">
        <v>51</v>
      </c>
      <c r="C1470" s="3" t="s">
        <v>49</v>
      </c>
      <c r="D1470" s="3" t="s">
        <v>39</v>
      </c>
      <c r="E1470" s="3" t="s">
        <v>32</v>
      </c>
      <c r="F1470" s="3">
        <v>72</v>
      </c>
      <c r="G1470" s="4">
        <v>29</v>
      </c>
      <c r="H1470" s="4">
        <v>107.3</v>
      </c>
      <c r="I1470" s="6">
        <v>7.853170781740122</v>
      </c>
      <c r="J1470" s="5">
        <v>4.2000000000000003E-2</v>
      </c>
      <c r="K1470" s="4">
        <v>24.5</v>
      </c>
      <c r="L1470" s="4">
        <v>52.3</v>
      </c>
      <c r="M1470" s="6">
        <v>4.1543233287927066</v>
      </c>
      <c r="N1470" s="5">
        <v>3.7999999999999999E-2</v>
      </c>
      <c r="O1470" s="5">
        <v>3.6988474529474153</v>
      </c>
      <c r="P1470" s="5">
        <v>3.6988474529474153</v>
      </c>
      <c r="Q1470" s="8">
        <v>0.20833333333333334</v>
      </c>
      <c r="R1470" s="8">
        <v>0.88541666666666663</v>
      </c>
      <c r="S1470" s="6">
        <f t="shared" si="66"/>
        <v>16.25</v>
      </c>
      <c r="T1470" s="5">
        <f t="shared" si="67"/>
        <v>0.22762138171984095</v>
      </c>
      <c r="U1470" s="3">
        <v>2.21</v>
      </c>
      <c r="V1470" s="5">
        <f t="shared" si="68"/>
        <v>0.10299610032571987</v>
      </c>
      <c r="W1470" s="3">
        <v>0.10299610032571987</v>
      </c>
    </row>
    <row r="1471" spans="1:23" x14ac:dyDescent="0.55000000000000004">
      <c r="A1471" s="3">
        <v>43</v>
      </c>
      <c r="B1471" s="3" t="s">
        <v>51</v>
      </c>
      <c r="C1471" s="3" t="s">
        <v>50</v>
      </c>
      <c r="D1471" s="3" t="s">
        <v>9</v>
      </c>
      <c r="E1471" s="3" t="s">
        <v>34</v>
      </c>
      <c r="F1471" s="3">
        <v>79</v>
      </c>
      <c r="G1471" s="4">
        <v>28.8</v>
      </c>
      <c r="H1471" s="4">
        <v>84.5</v>
      </c>
      <c r="I1471" s="6">
        <v>6.2063704299184357</v>
      </c>
      <c r="J1471" s="5">
        <v>4.2000000000000003E-2</v>
      </c>
      <c r="K1471" s="4">
        <v>25.5</v>
      </c>
      <c r="L1471" s="4">
        <v>32.1</v>
      </c>
      <c r="M1471" s="6">
        <v>2.5027411591111228</v>
      </c>
      <c r="N1471" s="5">
        <v>4.1000000000000002E-2</v>
      </c>
      <c r="O1471" s="5">
        <v>3.7036292708073129</v>
      </c>
      <c r="P1471" s="5">
        <v>3.7036292708073129</v>
      </c>
      <c r="Q1471" s="8">
        <v>0.20833333333333334</v>
      </c>
      <c r="R1471" s="8">
        <v>0.88541666666666663</v>
      </c>
      <c r="S1471" s="6">
        <f t="shared" si="66"/>
        <v>16.25</v>
      </c>
      <c r="T1471" s="5">
        <f t="shared" si="67"/>
        <v>0.22791564743429618</v>
      </c>
      <c r="U1471" s="3">
        <v>2.21</v>
      </c>
      <c r="V1471" s="5">
        <f t="shared" si="68"/>
        <v>0.1031292522327132</v>
      </c>
      <c r="W1471" s="3">
        <v>0.1031292522327132</v>
      </c>
    </row>
    <row r="1472" spans="1:23" x14ac:dyDescent="0.55000000000000004">
      <c r="A1472" s="3">
        <v>36</v>
      </c>
      <c r="B1472" s="3" t="s">
        <v>52</v>
      </c>
      <c r="C1472" s="3" t="s">
        <v>50</v>
      </c>
      <c r="D1472" s="3" t="s">
        <v>12</v>
      </c>
      <c r="E1472" s="3" t="s">
        <v>30</v>
      </c>
      <c r="F1472" s="3">
        <v>65</v>
      </c>
      <c r="G1472" s="4">
        <v>27.4</v>
      </c>
      <c r="H1472" s="4">
        <v>121.5</v>
      </c>
      <c r="I1472" s="6">
        <v>9.1499661527274849</v>
      </c>
      <c r="J1472" s="5">
        <v>6.2E-2</v>
      </c>
      <c r="K1472" s="4">
        <v>23.3</v>
      </c>
      <c r="L1472" s="4">
        <v>67</v>
      </c>
      <c r="M1472" s="6">
        <v>5.4441218013170456</v>
      </c>
      <c r="N1472" s="5">
        <v>5.2999999999999999E-2</v>
      </c>
      <c r="O1472" s="5">
        <v>3.7058443514104393</v>
      </c>
      <c r="P1472" s="5">
        <v>3.7058443514104393</v>
      </c>
      <c r="Q1472" s="8">
        <v>0.20833333333333334</v>
      </c>
      <c r="R1472" s="8">
        <v>0.88541666666666663</v>
      </c>
      <c r="S1472" s="6">
        <f t="shared" si="66"/>
        <v>16.25</v>
      </c>
      <c r="T1472" s="5">
        <f t="shared" si="67"/>
        <v>0.22805196008679626</v>
      </c>
      <c r="U1472" s="3">
        <v>2.21</v>
      </c>
      <c r="V1472" s="5">
        <f t="shared" si="68"/>
        <v>0.10319093216597117</v>
      </c>
      <c r="W1472" s="3">
        <v>0.10319093216597117</v>
      </c>
    </row>
    <row r="1473" spans="1:23" x14ac:dyDescent="0.55000000000000004">
      <c r="A1473" s="3">
        <v>19</v>
      </c>
      <c r="B1473" s="3" t="s">
        <v>53</v>
      </c>
      <c r="C1473" s="3" t="s">
        <v>49</v>
      </c>
      <c r="D1473" s="3" t="s">
        <v>41</v>
      </c>
      <c r="E1473" s="2" t="s">
        <v>25</v>
      </c>
      <c r="F1473" s="3">
        <v>47</v>
      </c>
      <c r="G1473" s="4">
        <v>29.5</v>
      </c>
      <c r="H1473" s="4">
        <v>123.7</v>
      </c>
      <c r="I1473" s="6">
        <v>8.974145262951053</v>
      </c>
      <c r="J1473" s="5">
        <v>6.5000000000000002E-2</v>
      </c>
      <c r="K1473" s="4">
        <v>25.6</v>
      </c>
      <c r="L1473" s="4">
        <v>66.8</v>
      </c>
      <c r="M1473" s="6">
        <v>5.1985792644552937</v>
      </c>
      <c r="N1473" s="5">
        <v>5.8999999999999997E-2</v>
      </c>
      <c r="O1473" s="5">
        <v>3.7755659984957592</v>
      </c>
      <c r="P1473" s="5">
        <v>3.7755659984957592</v>
      </c>
      <c r="Q1473" s="8">
        <v>0.20833333333333334</v>
      </c>
      <c r="R1473" s="8">
        <v>0.89583333333333337</v>
      </c>
      <c r="S1473" s="6">
        <f t="shared" si="66"/>
        <v>16.5</v>
      </c>
      <c r="T1473" s="5">
        <f t="shared" si="67"/>
        <v>0.22882218172701571</v>
      </c>
      <c r="U1473" s="3">
        <v>2.21</v>
      </c>
      <c r="V1473" s="5">
        <f t="shared" si="68"/>
        <v>0.10353944874525597</v>
      </c>
      <c r="W1473" s="3">
        <v>0.10353944874525597</v>
      </c>
    </row>
    <row r="1474" spans="1:23" x14ac:dyDescent="0.55000000000000004">
      <c r="A1474" s="3">
        <v>18</v>
      </c>
      <c r="B1474" s="3" t="s">
        <v>51</v>
      </c>
      <c r="C1474" s="3" t="s">
        <v>50</v>
      </c>
      <c r="D1474" s="3" t="s">
        <v>9</v>
      </c>
      <c r="E1474" s="3" t="s">
        <v>27</v>
      </c>
      <c r="F1474" s="3">
        <v>54</v>
      </c>
      <c r="G1474" s="4">
        <v>27.4</v>
      </c>
      <c r="H1474" s="4">
        <v>135</v>
      </c>
      <c r="I1474" s="6">
        <v>10.166629058586095</v>
      </c>
      <c r="J1474" s="5">
        <v>7.1999999999999995E-2</v>
      </c>
      <c r="K1474" s="4">
        <v>25.4</v>
      </c>
      <c r="L1474" s="4">
        <v>81.8</v>
      </c>
      <c r="M1474" s="6">
        <v>6.3895165230433166</v>
      </c>
      <c r="N1474" s="5">
        <v>6.0999999999999999E-2</v>
      </c>
      <c r="O1474" s="5">
        <v>3.7771125355427779</v>
      </c>
      <c r="P1474" s="5">
        <v>3.7771125355427779</v>
      </c>
      <c r="Q1474" s="8">
        <v>0.20833333333333334</v>
      </c>
      <c r="R1474" s="8">
        <v>0.89583333333333337</v>
      </c>
      <c r="S1474" s="6">
        <f t="shared" ref="S1474:S1537" si="69">(R1474-Q1474)*24</f>
        <v>16.5</v>
      </c>
      <c r="T1474" s="5">
        <f t="shared" ref="T1474:T1537" si="70">P1474/S1474</f>
        <v>0.22891591124501684</v>
      </c>
      <c r="U1474" s="3">
        <v>2.21</v>
      </c>
      <c r="V1474" s="5">
        <f t="shared" ref="V1474:V1537" si="71">(I1474-M1474)/U1474/S1474</f>
        <v>0.10358186029186282</v>
      </c>
      <c r="W1474" s="3">
        <v>0.10358186029186282</v>
      </c>
    </row>
    <row r="1475" spans="1:23" x14ac:dyDescent="0.55000000000000004">
      <c r="A1475" s="3">
        <v>62</v>
      </c>
      <c r="B1475" s="3" t="s">
        <v>52</v>
      </c>
      <c r="C1475" s="3" t="s">
        <v>49</v>
      </c>
      <c r="D1475" s="3" t="s">
        <v>40</v>
      </c>
      <c r="E1475" s="3" t="s">
        <v>32</v>
      </c>
      <c r="F1475" s="3">
        <v>72</v>
      </c>
      <c r="G1475" s="4">
        <v>29.2</v>
      </c>
      <c r="H1475" s="4">
        <v>111.3</v>
      </c>
      <c r="I1475" s="6">
        <v>8.1172471877262087</v>
      </c>
      <c r="J1475" s="5">
        <v>6.2E-2</v>
      </c>
      <c r="K1475" s="4">
        <v>24.5</v>
      </c>
      <c r="L1475" s="4">
        <v>55.2</v>
      </c>
      <c r="M1475" s="6">
        <v>4.3846777772343684</v>
      </c>
      <c r="N1475" s="5">
        <v>5.7000000000000002E-2</v>
      </c>
      <c r="O1475" s="5">
        <v>3.7325694104918403</v>
      </c>
      <c r="P1475" s="5">
        <v>3.7325694104918403</v>
      </c>
      <c r="Q1475" s="8">
        <v>0.20833333333333334</v>
      </c>
      <c r="R1475" s="8">
        <v>0.88541666666666663</v>
      </c>
      <c r="S1475" s="6">
        <f t="shared" si="69"/>
        <v>16.25</v>
      </c>
      <c r="T1475" s="5">
        <f t="shared" si="70"/>
        <v>0.22969657910719019</v>
      </c>
      <c r="U1475" s="3">
        <v>2.21</v>
      </c>
      <c r="V1475" s="5">
        <f t="shared" si="71"/>
        <v>0.10393510366841185</v>
      </c>
      <c r="W1475" s="3">
        <v>0.10393510366841185</v>
      </c>
    </row>
    <row r="1476" spans="1:23" x14ac:dyDescent="0.55000000000000004">
      <c r="A1476" s="3">
        <v>28</v>
      </c>
      <c r="B1476" s="3" t="s">
        <v>53</v>
      </c>
      <c r="C1476" s="3" t="s">
        <v>50</v>
      </c>
      <c r="D1476" s="3" t="s">
        <v>11</v>
      </c>
      <c r="E1476" s="3" t="s">
        <v>34</v>
      </c>
      <c r="F1476" s="3">
        <v>79</v>
      </c>
      <c r="G1476" s="4">
        <v>28.6</v>
      </c>
      <c r="H1476" s="4">
        <v>90.6</v>
      </c>
      <c r="I1476" s="6">
        <v>6.6780369808113154</v>
      </c>
      <c r="J1476" s="5">
        <v>7.1999999999999995E-2</v>
      </c>
      <c r="K1476" s="4">
        <v>25.4</v>
      </c>
      <c r="L1476" s="4">
        <v>37.6</v>
      </c>
      <c r="M1476" s="6">
        <v>2.9369904800296909</v>
      </c>
      <c r="N1476" s="5">
        <v>7.0000000000000007E-2</v>
      </c>
      <c r="O1476" s="5">
        <v>3.7410465007816245</v>
      </c>
      <c r="P1476" s="5">
        <v>3.7410465007816245</v>
      </c>
      <c r="Q1476" s="8">
        <v>0.20833333333333334</v>
      </c>
      <c r="R1476" s="8">
        <v>0.88541666666666663</v>
      </c>
      <c r="S1476" s="6">
        <f t="shared" si="69"/>
        <v>16.25</v>
      </c>
      <c r="T1476" s="5">
        <f t="shared" si="70"/>
        <v>0.23021824620194611</v>
      </c>
      <c r="U1476" s="3">
        <v>2.21</v>
      </c>
      <c r="V1476" s="5">
        <f t="shared" si="71"/>
        <v>0.10417115212757744</v>
      </c>
      <c r="W1476" s="3">
        <v>0.10417115212757744</v>
      </c>
    </row>
    <row r="1477" spans="1:23" x14ac:dyDescent="0.55000000000000004">
      <c r="A1477" s="3">
        <v>64</v>
      </c>
      <c r="B1477" s="3" t="s">
        <v>53</v>
      </c>
      <c r="C1477" s="3" t="s">
        <v>50</v>
      </c>
      <c r="D1477" s="3" t="s">
        <v>11</v>
      </c>
      <c r="E1477" s="2" t="s">
        <v>22</v>
      </c>
      <c r="F1477" s="3">
        <v>37</v>
      </c>
      <c r="G1477" s="4">
        <v>31</v>
      </c>
      <c r="H1477" s="4">
        <v>94.6</v>
      </c>
      <c r="I1477" s="6">
        <v>6.686416126600033</v>
      </c>
      <c r="J1477" s="5">
        <v>7.5999999999999998E-2</v>
      </c>
      <c r="K1477" s="4">
        <v>25.7</v>
      </c>
      <c r="L1477" s="4">
        <v>37.4</v>
      </c>
      <c r="M1477" s="6">
        <v>2.9052145159059073</v>
      </c>
      <c r="N1477" s="5">
        <v>7.0000000000000007E-2</v>
      </c>
      <c r="O1477" s="5">
        <v>3.7812016106941257</v>
      </c>
      <c r="P1477" s="5">
        <v>3.7812016106941257</v>
      </c>
      <c r="Q1477" s="8">
        <v>0.20138888888888887</v>
      </c>
      <c r="R1477" s="8">
        <v>0.88541666666666663</v>
      </c>
      <c r="S1477" s="6">
        <f t="shared" si="69"/>
        <v>16.416666666666668</v>
      </c>
      <c r="T1477" s="5">
        <f t="shared" si="70"/>
        <v>0.23032700166664724</v>
      </c>
      <c r="U1477" s="3">
        <v>2.21</v>
      </c>
      <c r="V1477" s="5">
        <f t="shared" si="71"/>
        <v>0.10422036274508925</v>
      </c>
      <c r="W1477" s="3">
        <v>0.10422036274508925</v>
      </c>
    </row>
    <row r="1478" spans="1:23" x14ac:dyDescent="0.55000000000000004">
      <c r="A1478" s="3">
        <v>8</v>
      </c>
      <c r="B1478" s="3" t="s">
        <v>51</v>
      </c>
      <c r="C1478" s="3" t="s">
        <v>50</v>
      </c>
      <c r="D1478" s="3" t="s">
        <v>9</v>
      </c>
      <c r="E1478" s="3" t="s">
        <v>26</v>
      </c>
      <c r="F1478" s="3">
        <v>51</v>
      </c>
      <c r="G1478" s="4">
        <v>27.4</v>
      </c>
      <c r="H1478" s="4">
        <v>107.5</v>
      </c>
      <c r="I1478" s="6">
        <v>8.0956490651704094</v>
      </c>
      <c r="J1478" s="5">
        <v>4.4999999999999998E-2</v>
      </c>
      <c r="K1478" s="4">
        <v>24.4</v>
      </c>
      <c r="L1478" s="4">
        <v>55.3</v>
      </c>
      <c r="M1478" s="6">
        <v>4.4008711618840586</v>
      </c>
      <c r="N1478" s="5">
        <v>4.2000000000000003E-2</v>
      </c>
      <c r="O1478" s="5">
        <v>3.6947779032863508</v>
      </c>
      <c r="P1478" s="5">
        <v>3.6947779032863508</v>
      </c>
      <c r="Q1478" s="8">
        <v>0.20833333333333334</v>
      </c>
      <c r="R1478" s="8">
        <v>0.875</v>
      </c>
      <c r="S1478" s="6">
        <f t="shared" si="69"/>
        <v>16</v>
      </c>
      <c r="T1478" s="5">
        <f t="shared" si="70"/>
        <v>0.23092361895539693</v>
      </c>
      <c r="U1478" s="3">
        <v>2.21</v>
      </c>
      <c r="V1478" s="5">
        <f t="shared" si="71"/>
        <v>0.10449032531918413</v>
      </c>
      <c r="W1478" s="3">
        <v>0.10449032531918413</v>
      </c>
    </row>
    <row r="1479" spans="1:23" x14ac:dyDescent="0.55000000000000004">
      <c r="A1479" s="3">
        <v>12</v>
      </c>
      <c r="B1479" s="3" t="s">
        <v>53</v>
      </c>
      <c r="C1479" s="3" t="s">
        <v>50</v>
      </c>
      <c r="D1479" s="3" t="s">
        <v>11</v>
      </c>
      <c r="E1479" s="3" t="s">
        <v>26</v>
      </c>
      <c r="F1479" s="3">
        <v>51</v>
      </c>
      <c r="G1479" s="4">
        <v>27.5</v>
      </c>
      <c r="H1479" s="4">
        <v>106.8</v>
      </c>
      <c r="I1479" s="6">
        <v>8.0284546714720531</v>
      </c>
      <c r="J1479" s="5">
        <v>0.06</v>
      </c>
      <c r="K1479" s="4">
        <v>24.6</v>
      </c>
      <c r="L1479" s="4">
        <v>54.6</v>
      </c>
      <c r="M1479" s="6">
        <v>4.3288990520308888</v>
      </c>
      <c r="N1479" s="5">
        <v>5.3999999999999999E-2</v>
      </c>
      <c r="O1479" s="5">
        <v>3.6995556194411643</v>
      </c>
      <c r="P1479" s="5">
        <v>3.6995556194411643</v>
      </c>
      <c r="Q1479" s="8">
        <v>0.20833333333333334</v>
      </c>
      <c r="R1479" s="8">
        <v>0.875</v>
      </c>
      <c r="S1479" s="6">
        <f t="shared" si="69"/>
        <v>16</v>
      </c>
      <c r="T1479" s="5">
        <f t="shared" si="70"/>
        <v>0.23122222621507277</v>
      </c>
      <c r="U1479" s="3">
        <v>2.21</v>
      </c>
      <c r="V1479" s="5">
        <f t="shared" si="71"/>
        <v>0.10462544172627727</v>
      </c>
      <c r="W1479" s="3">
        <v>0.10462544172627727</v>
      </c>
    </row>
    <row r="1480" spans="1:23" x14ac:dyDescent="0.55000000000000004">
      <c r="A1480" s="3">
        <v>13</v>
      </c>
      <c r="B1480" s="3" t="s">
        <v>53</v>
      </c>
      <c r="C1480" s="3" t="s">
        <v>50</v>
      </c>
      <c r="D1480" s="3" t="s">
        <v>11</v>
      </c>
      <c r="E1480" s="3" t="s">
        <v>30</v>
      </c>
      <c r="F1480" s="3">
        <v>65</v>
      </c>
      <c r="G1480" s="4">
        <v>28.2</v>
      </c>
      <c r="H1480" s="4">
        <v>122.7</v>
      </c>
      <c r="I1480" s="6">
        <v>9.10870160373819</v>
      </c>
      <c r="J1480" s="5">
        <v>6.5000000000000002E-2</v>
      </c>
      <c r="K1480" s="4">
        <v>23.4</v>
      </c>
      <c r="L1480" s="4">
        <v>65.900000000000006</v>
      </c>
      <c r="M1480" s="6">
        <v>5.3445469304423421</v>
      </c>
      <c r="N1480" s="5">
        <v>4.5999999999999999E-2</v>
      </c>
      <c r="O1480" s="5">
        <v>3.764154673295848</v>
      </c>
      <c r="P1480" s="5">
        <v>3.764154673295848</v>
      </c>
      <c r="Q1480" s="8">
        <v>0.20833333333333334</v>
      </c>
      <c r="R1480" s="8">
        <v>0.88541666666666663</v>
      </c>
      <c r="S1480" s="6">
        <f t="shared" si="69"/>
        <v>16.25</v>
      </c>
      <c r="T1480" s="5">
        <f t="shared" si="70"/>
        <v>0.23164028758743679</v>
      </c>
      <c r="U1480" s="3">
        <v>2.21</v>
      </c>
      <c r="V1480" s="5">
        <f t="shared" si="71"/>
        <v>0.10481460976807096</v>
      </c>
      <c r="W1480" s="3">
        <v>0.10481460976807096</v>
      </c>
    </row>
    <row r="1481" spans="1:23" x14ac:dyDescent="0.55000000000000004">
      <c r="A1481" s="3">
        <v>13</v>
      </c>
      <c r="B1481" s="3" t="s">
        <v>53</v>
      </c>
      <c r="C1481" s="3" t="s">
        <v>50</v>
      </c>
      <c r="D1481" s="3" t="s">
        <v>11</v>
      </c>
      <c r="E1481" s="3" t="s">
        <v>26</v>
      </c>
      <c r="F1481" s="3">
        <v>51</v>
      </c>
      <c r="G1481" s="4">
        <v>27.5</v>
      </c>
      <c r="H1481" s="4">
        <v>103</v>
      </c>
      <c r="I1481" s="6">
        <v>7.7427980445844709</v>
      </c>
      <c r="J1481" s="5">
        <v>4.9000000000000002E-2</v>
      </c>
      <c r="K1481" s="4">
        <v>24.7</v>
      </c>
      <c r="L1481" s="4">
        <v>51</v>
      </c>
      <c r="M1481" s="6">
        <v>4.0359179297225367</v>
      </c>
      <c r="N1481" s="5">
        <v>4.5999999999999999E-2</v>
      </c>
      <c r="O1481" s="5">
        <v>3.7068801148619341</v>
      </c>
      <c r="P1481" s="5">
        <v>3.7068801148619341</v>
      </c>
      <c r="Q1481" s="8">
        <v>0.20833333333333334</v>
      </c>
      <c r="R1481" s="8">
        <v>0.875</v>
      </c>
      <c r="S1481" s="6">
        <f t="shared" si="69"/>
        <v>16</v>
      </c>
      <c r="T1481" s="5">
        <f t="shared" si="70"/>
        <v>0.23168000717887088</v>
      </c>
      <c r="U1481" s="3">
        <v>2.21</v>
      </c>
      <c r="V1481" s="5">
        <f t="shared" si="71"/>
        <v>0.10483258243387823</v>
      </c>
      <c r="W1481" s="3">
        <v>0.10483258243387823</v>
      </c>
    </row>
    <row r="1482" spans="1:23" x14ac:dyDescent="0.55000000000000004">
      <c r="A1482" s="3">
        <v>46</v>
      </c>
      <c r="B1482" s="3" t="s">
        <v>51</v>
      </c>
      <c r="C1482" s="3" t="s">
        <v>49</v>
      </c>
      <c r="D1482" s="3" t="s">
        <v>39</v>
      </c>
      <c r="E1482" s="3" t="s">
        <v>32</v>
      </c>
      <c r="F1482" s="3">
        <v>72</v>
      </c>
      <c r="G1482" s="4">
        <v>29.1</v>
      </c>
      <c r="H1482" s="4">
        <v>112.5</v>
      </c>
      <c r="I1482" s="6">
        <v>8.2192368141020875</v>
      </c>
      <c r="J1482" s="5">
        <v>0.05</v>
      </c>
      <c r="K1482" s="4">
        <v>24.6</v>
      </c>
      <c r="L1482" s="4">
        <v>56</v>
      </c>
      <c r="M1482" s="6">
        <v>4.439896463621424</v>
      </c>
      <c r="N1482" s="5">
        <v>4.3999999999999997E-2</v>
      </c>
      <c r="O1482" s="5">
        <v>3.7793403504806635</v>
      </c>
      <c r="P1482" s="5">
        <v>3.7793403504806635</v>
      </c>
      <c r="Q1482" s="8">
        <v>0.20833333333333334</v>
      </c>
      <c r="R1482" s="8">
        <v>0.88541666666666663</v>
      </c>
      <c r="S1482" s="6">
        <f t="shared" si="69"/>
        <v>16.25</v>
      </c>
      <c r="T1482" s="5">
        <f t="shared" si="70"/>
        <v>0.23257479079881005</v>
      </c>
      <c r="U1482" s="3">
        <v>2.21</v>
      </c>
      <c r="V1482" s="5">
        <f t="shared" si="71"/>
        <v>0.10523746189991406</v>
      </c>
      <c r="W1482" s="3">
        <v>0.10523746189991406</v>
      </c>
    </row>
    <row r="1483" spans="1:23" x14ac:dyDescent="0.55000000000000004">
      <c r="A1483" s="3">
        <v>38</v>
      </c>
      <c r="B1483" s="3" t="s">
        <v>51</v>
      </c>
      <c r="C1483" s="3" t="s">
        <v>49</v>
      </c>
      <c r="D1483" s="3" t="s">
        <v>39</v>
      </c>
      <c r="E1483" s="3" t="s">
        <v>32</v>
      </c>
      <c r="F1483" s="3">
        <v>72</v>
      </c>
      <c r="G1483" s="4">
        <v>29.2</v>
      </c>
      <c r="H1483" s="4">
        <v>113.7</v>
      </c>
      <c r="I1483" s="6">
        <v>8.2922821675154541</v>
      </c>
      <c r="J1483" s="5">
        <v>4.5999999999999999E-2</v>
      </c>
      <c r="K1483" s="4">
        <v>24.8</v>
      </c>
      <c r="L1483" s="4">
        <v>57</v>
      </c>
      <c r="M1483" s="6">
        <v>4.5023106946064209</v>
      </c>
      <c r="N1483" s="5">
        <v>3.7999999999999999E-2</v>
      </c>
      <c r="O1483" s="5">
        <v>3.7899714729090332</v>
      </c>
      <c r="P1483" s="5">
        <v>3.7899714729090332</v>
      </c>
      <c r="Q1483" s="8">
        <v>0.20833333333333334</v>
      </c>
      <c r="R1483" s="8">
        <v>0.88541666666666663</v>
      </c>
      <c r="S1483" s="6">
        <f t="shared" si="69"/>
        <v>16.25</v>
      </c>
      <c r="T1483" s="5">
        <f t="shared" si="70"/>
        <v>0.23322901371747898</v>
      </c>
      <c r="U1483" s="3">
        <v>2.21</v>
      </c>
      <c r="V1483" s="5">
        <f t="shared" si="71"/>
        <v>0.10553349036989999</v>
      </c>
      <c r="W1483" s="3">
        <v>0.10553349036989999</v>
      </c>
    </row>
    <row r="1484" spans="1:23" x14ac:dyDescent="0.55000000000000004">
      <c r="A1484" s="3">
        <v>20</v>
      </c>
      <c r="B1484" s="3" t="s">
        <v>52</v>
      </c>
      <c r="C1484" s="3" t="s">
        <v>50</v>
      </c>
      <c r="D1484" s="3" t="s">
        <v>12</v>
      </c>
      <c r="E1484" s="3" t="s">
        <v>32</v>
      </c>
      <c r="F1484" s="3">
        <v>72</v>
      </c>
      <c r="G1484" s="4">
        <v>29.5</v>
      </c>
      <c r="H1484" s="4">
        <v>107.5</v>
      </c>
      <c r="I1484" s="6">
        <v>7.7988732074958627</v>
      </c>
      <c r="J1484" s="5">
        <v>4.5999999999999999E-2</v>
      </c>
      <c r="K1484" s="4">
        <v>25</v>
      </c>
      <c r="L1484" s="4">
        <v>50.9</v>
      </c>
      <c r="M1484" s="6">
        <v>4.0055176417648921</v>
      </c>
      <c r="N1484" s="5">
        <v>3.5000000000000003E-2</v>
      </c>
      <c r="O1484" s="5">
        <v>3.7933555657309705</v>
      </c>
      <c r="P1484" s="5">
        <v>3.7933555657309705</v>
      </c>
      <c r="Q1484" s="8">
        <v>0.20833333333333334</v>
      </c>
      <c r="R1484" s="8">
        <v>0.88541666666666663</v>
      </c>
      <c r="S1484" s="6">
        <f t="shared" si="69"/>
        <v>16.25</v>
      </c>
      <c r="T1484" s="5">
        <f t="shared" si="70"/>
        <v>0.23343726558344435</v>
      </c>
      <c r="U1484" s="3">
        <v>2.21</v>
      </c>
      <c r="V1484" s="5">
        <f t="shared" si="71"/>
        <v>0.10562772198345897</v>
      </c>
      <c r="W1484" s="3">
        <v>0.10562772198345897</v>
      </c>
    </row>
    <row r="1485" spans="1:23" x14ac:dyDescent="0.55000000000000004">
      <c r="A1485" s="3">
        <v>64</v>
      </c>
      <c r="B1485" s="3" t="s">
        <v>53</v>
      </c>
      <c r="C1485" s="3" t="s">
        <v>50</v>
      </c>
      <c r="D1485" s="3" t="s">
        <v>11</v>
      </c>
      <c r="E1485" s="2" t="s">
        <v>23</v>
      </c>
      <c r="F1485" s="3">
        <v>40</v>
      </c>
      <c r="G1485" s="4">
        <v>29.1</v>
      </c>
      <c r="H1485" s="4">
        <v>100.9</v>
      </c>
      <c r="I1485" s="6">
        <v>7.3717421737146722</v>
      </c>
      <c r="J1485" s="5">
        <v>5.8000000000000003E-2</v>
      </c>
      <c r="K1485" s="4">
        <v>24.4</v>
      </c>
      <c r="L1485" s="4">
        <v>44</v>
      </c>
      <c r="M1485" s="6">
        <v>3.501597307828185</v>
      </c>
      <c r="N1485" s="5">
        <v>6.9000000000000006E-2</v>
      </c>
      <c r="O1485" s="5">
        <v>3.8701448658864872</v>
      </c>
      <c r="P1485" s="5">
        <v>3.8701448658864872</v>
      </c>
      <c r="Q1485" s="8">
        <v>0.20833333333333334</v>
      </c>
      <c r="R1485" s="8">
        <v>0.89027777777777783</v>
      </c>
      <c r="S1485" s="6">
        <f t="shared" si="69"/>
        <v>16.366666666666667</v>
      </c>
      <c r="T1485" s="5">
        <f t="shared" si="70"/>
        <v>0.2364650630887874</v>
      </c>
      <c r="U1485" s="3">
        <v>2.21</v>
      </c>
      <c r="V1485" s="5">
        <f t="shared" si="71"/>
        <v>0.10699776610352371</v>
      </c>
      <c r="W1485" s="3">
        <v>0.10699776610352371</v>
      </c>
    </row>
    <row r="1486" spans="1:23" x14ac:dyDescent="0.55000000000000004">
      <c r="A1486" s="3">
        <v>35</v>
      </c>
      <c r="B1486" s="3" t="s">
        <v>51</v>
      </c>
      <c r="C1486" s="3" t="s">
        <v>50</v>
      </c>
      <c r="D1486" s="3" t="s">
        <v>9</v>
      </c>
      <c r="E1486" s="2" t="s">
        <v>25</v>
      </c>
      <c r="F1486" s="3">
        <v>47</v>
      </c>
      <c r="G1486" s="4">
        <v>29.5</v>
      </c>
      <c r="H1486" s="4">
        <v>100.8</v>
      </c>
      <c r="I1486" s="6">
        <v>7.3128039006100742</v>
      </c>
      <c r="J1486" s="5">
        <v>5.2999999999999999E-2</v>
      </c>
      <c r="K1486" s="4">
        <v>26.1</v>
      </c>
      <c r="L1486" s="4">
        <v>44.1</v>
      </c>
      <c r="M1486" s="6">
        <v>3.4005535912044436</v>
      </c>
      <c r="N1486" s="5">
        <v>4.7E-2</v>
      </c>
      <c r="O1486" s="5">
        <v>3.9122503094056307</v>
      </c>
      <c r="P1486" s="5">
        <v>3.9122503094056307</v>
      </c>
      <c r="Q1486" s="8">
        <v>0.20833333333333334</v>
      </c>
      <c r="R1486" s="8">
        <v>0.89583333333333337</v>
      </c>
      <c r="S1486" s="6">
        <f t="shared" si="69"/>
        <v>16.5</v>
      </c>
      <c r="T1486" s="5">
        <f t="shared" si="70"/>
        <v>0.237106079357917</v>
      </c>
      <c r="U1486" s="3">
        <v>2.21</v>
      </c>
      <c r="V1486" s="5">
        <f t="shared" si="71"/>
        <v>0.10728781871398961</v>
      </c>
      <c r="W1486" s="3">
        <v>0.10728781871398961</v>
      </c>
    </row>
    <row r="1487" spans="1:23" x14ac:dyDescent="0.55000000000000004">
      <c r="A1487" s="3">
        <v>6</v>
      </c>
      <c r="B1487" s="3" t="s">
        <v>51</v>
      </c>
      <c r="C1487" s="3" t="s">
        <v>49</v>
      </c>
      <c r="D1487" s="3" t="s">
        <v>39</v>
      </c>
      <c r="E1487" s="3" t="s">
        <v>29</v>
      </c>
      <c r="F1487" s="3">
        <v>61</v>
      </c>
      <c r="G1487" s="4">
        <v>28.2</v>
      </c>
      <c r="H1487" s="4">
        <v>113.2</v>
      </c>
      <c r="I1487" s="6">
        <v>8.4034639082572387</v>
      </c>
      <c r="J1487" s="5">
        <v>6.4000000000000001E-2</v>
      </c>
      <c r="K1487" s="4">
        <v>25.3</v>
      </c>
      <c r="L1487" s="4">
        <v>57.3</v>
      </c>
      <c r="M1487" s="6">
        <v>4.4840887953559028</v>
      </c>
      <c r="N1487" s="5">
        <v>5.3999999999999999E-2</v>
      </c>
      <c r="O1487" s="5">
        <v>3.9193751129013359</v>
      </c>
      <c r="P1487" s="5">
        <v>3.9193751129013359</v>
      </c>
      <c r="Q1487" s="8">
        <v>0.19791666666666666</v>
      </c>
      <c r="R1487" s="8">
        <v>0.88541666666666663</v>
      </c>
      <c r="S1487" s="6">
        <f t="shared" si="69"/>
        <v>16.5</v>
      </c>
      <c r="T1487" s="5">
        <f t="shared" si="70"/>
        <v>0.237537885630384</v>
      </c>
      <c r="U1487" s="3">
        <v>2.21</v>
      </c>
      <c r="V1487" s="5">
        <f t="shared" si="71"/>
        <v>0.10748320616759456</v>
      </c>
      <c r="W1487" s="3">
        <v>0.10748320616759456</v>
      </c>
    </row>
    <row r="1488" spans="1:23" x14ac:dyDescent="0.55000000000000004">
      <c r="A1488" s="3">
        <v>29</v>
      </c>
      <c r="B1488" s="3" t="s">
        <v>52</v>
      </c>
      <c r="C1488" s="3" t="s">
        <v>50</v>
      </c>
      <c r="D1488" s="3" t="s">
        <v>12</v>
      </c>
      <c r="E1488" s="3" t="s">
        <v>26</v>
      </c>
      <c r="F1488" s="3">
        <v>51</v>
      </c>
      <c r="G1488" s="4">
        <v>27.7</v>
      </c>
      <c r="H1488" s="4">
        <v>113.6</v>
      </c>
      <c r="I1488" s="6">
        <v>8.5089726101141352</v>
      </c>
      <c r="J1488" s="5">
        <v>5.6000000000000001E-2</v>
      </c>
      <c r="K1488" s="4">
        <v>24.7</v>
      </c>
      <c r="L1488" s="4">
        <v>59.4</v>
      </c>
      <c r="M1488" s="6">
        <v>4.7006573534415432</v>
      </c>
      <c r="N1488" s="5">
        <v>5.1999999999999998E-2</v>
      </c>
      <c r="O1488" s="5">
        <v>3.808315256672592</v>
      </c>
      <c r="P1488" s="5">
        <v>3.808315256672592</v>
      </c>
      <c r="Q1488" s="8">
        <v>0.20833333333333334</v>
      </c>
      <c r="R1488" s="8">
        <v>0.875</v>
      </c>
      <c r="S1488" s="6">
        <f t="shared" si="69"/>
        <v>16</v>
      </c>
      <c r="T1488" s="5">
        <f t="shared" si="70"/>
        <v>0.238019703542037</v>
      </c>
      <c r="U1488" s="3">
        <v>2.21</v>
      </c>
      <c r="V1488" s="5">
        <f t="shared" si="71"/>
        <v>0.10770122332218869</v>
      </c>
      <c r="W1488" s="3">
        <v>0.10770122332218869</v>
      </c>
    </row>
    <row r="1489" spans="1:23" x14ac:dyDescent="0.55000000000000004">
      <c r="A1489" s="3">
        <v>38</v>
      </c>
      <c r="B1489" s="3" t="s">
        <v>51</v>
      </c>
      <c r="C1489" s="3" t="s">
        <v>49</v>
      </c>
      <c r="D1489" s="3" t="s">
        <v>39</v>
      </c>
      <c r="E1489" s="3" t="s">
        <v>29</v>
      </c>
      <c r="F1489" s="3">
        <v>61</v>
      </c>
      <c r="G1489" s="4">
        <v>29.9</v>
      </c>
      <c r="H1489" s="4">
        <v>131.30000000000001</v>
      </c>
      <c r="I1489" s="6">
        <v>9.4590630999561203</v>
      </c>
      <c r="J1489" s="5">
        <v>6.4000000000000001E-2</v>
      </c>
      <c r="K1489" s="4">
        <v>25.9</v>
      </c>
      <c r="L1489" s="4">
        <v>71.3</v>
      </c>
      <c r="M1489" s="6">
        <v>5.5181840961609145</v>
      </c>
      <c r="N1489" s="5">
        <v>5.3999999999999999E-2</v>
      </c>
      <c r="O1489" s="5">
        <v>3.9408790037952057</v>
      </c>
      <c r="P1489" s="5">
        <v>3.9408790037952057</v>
      </c>
      <c r="Q1489" s="8">
        <v>0.19791666666666666</v>
      </c>
      <c r="R1489" s="8">
        <v>0.88541666666666663</v>
      </c>
      <c r="S1489" s="6">
        <f t="shared" si="69"/>
        <v>16.5</v>
      </c>
      <c r="T1489" s="5">
        <f t="shared" si="70"/>
        <v>0.23884115174516399</v>
      </c>
      <c r="U1489" s="3">
        <v>2.21</v>
      </c>
      <c r="V1489" s="5">
        <f t="shared" si="71"/>
        <v>0.10807291934170316</v>
      </c>
      <c r="W1489" s="3">
        <v>0.10807291934170316</v>
      </c>
    </row>
    <row r="1490" spans="1:23" x14ac:dyDescent="0.55000000000000004">
      <c r="A1490" s="3">
        <v>12</v>
      </c>
      <c r="B1490" s="3" t="s">
        <v>53</v>
      </c>
      <c r="C1490" s="3" t="s">
        <v>50</v>
      </c>
      <c r="D1490" s="3" t="s">
        <v>11</v>
      </c>
      <c r="E1490" s="2" t="s">
        <v>25</v>
      </c>
      <c r="F1490" s="3">
        <v>47</v>
      </c>
      <c r="G1490" s="4">
        <v>29</v>
      </c>
      <c r="H1490" s="4">
        <v>94.9</v>
      </c>
      <c r="I1490" s="6">
        <v>6.9456282123684776</v>
      </c>
      <c r="J1490" s="5">
        <v>0.06</v>
      </c>
      <c r="K1490" s="4">
        <v>25.3</v>
      </c>
      <c r="L1490" s="4">
        <v>38.1</v>
      </c>
      <c r="M1490" s="6">
        <v>2.9815668953413597</v>
      </c>
      <c r="N1490" s="5">
        <v>5.3999999999999999E-2</v>
      </c>
      <c r="O1490" s="5">
        <v>3.9640613170271179</v>
      </c>
      <c r="P1490" s="5">
        <v>3.9640613170271179</v>
      </c>
      <c r="Q1490" s="8">
        <v>0.20833333333333334</v>
      </c>
      <c r="R1490" s="8">
        <v>0.89583333333333337</v>
      </c>
      <c r="S1490" s="6">
        <f t="shared" si="69"/>
        <v>16.5</v>
      </c>
      <c r="T1490" s="5">
        <f t="shared" si="70"/>
        <v>0.24024614042588593</v>
      </c>
      <c r="U1490" s="3">
        <v>2.21</v>
      </c>
      <c r="V1490" s="5">
        <f t="shared" si="71"/>
        <v>0.10870866082619272</v>
      </c>
      <c r="W1490" s="3">
        <v>0.10870866082619272</v>
      </c>
    </row>
    <row r="1491" spans="1:23" x14ac:dyDescent="0.55000000000000004">
      <c r="A1491" s="3">
        <v>50</v>
      </c>
      <c r="B1491" s="3" t="s">
        <v>53</v>
      </c>
      <c r="C1491" s="3" t="s">
        <v>50</v>
      </c>
      <c r="D1491" s="3" t="s">
        <v>11</v>
      </c>
      <c r="E1491" s="3" t="s">
        <v>29</v>
      </c>
      <c r="F1491" s="3">
        <v>61</v>
      </c>
      <c r="G1491" s="4">
        <v>30.3</v>
      </c>
      <c r="H1491" s="4">
        <v>104.6</v>
      </c>
      <c r="I1491" s="6">
        <v>7.483253885813725</v>
      </c>
      <c r="J1491" s="5">
        <v>4.7E-2</v>
      </c>
      <c r="K1491" s="4">
        <v>25.9</v>
      </c>
      <c r="L1491" s="4">
        <v>45.4</v>
      </c>
      <c r="M1491" s="6">
        <v>3.5136824399117188</v>
      </c>
      <c r="N1491" s="5">
        <v>4.3999999999999997E-2</v>
      </c>
      <c r="O1491" s="5">
        <v>3.9695714459020062</v>
      </c>
      <c r="P1491" s="5">
        <v>3.9695714459020062</v>
      </c>
      <c r="Q1491" s="8">
        <v>0.19791666666666666</v>
      </c>
      <c r="R1491" s="8">
        <v>0.88541666666666663</v>
      </c>
      <c r="S1491" s="6">
        <f t="shared" si="69"/>
        <v>16.5</v>
      </c>
      <c r="T1491" s="5">
        <f t="shared" si="70"/>
        <v>0.24058008763042463</v>
      </c>
      <c r="U1491" s="3">
        <v>2.21</v>
      </c>
      <c r="V1491" s="5">
        <f t="shared" si="71"/>
        <v>0.10885976815856317</v>
      </c>
      <c r="W1491" s="3">
        <v>0.10885976815856317</v>
      </c>
    </row>
    <row r="1492" spans="1:23" x14ac:dyDescent="0.55000000000000004">
      <c r="A1492" s="3">
        <v>50</v>
      </c>
      <c r="B1492" s="3" t="s">
        <v>53</v>
      </c>
      <c r="C1492" s="3" t="s">
        <v>50</v>
      </c>
      <c r="D1492" s="3" t="s">
        <v>11</v>
      </c>
      <c r="E1492" s="2" t="s">
        <v>25</v>
      </c>
      <c r="F1492" s="3">
        <v>47</v>
      </c>
      <c r="G1492" s="4">
        <v>29.3</v>
      </c>
      <c r="H1492" s="4">
        <v>103.4</v>
      </c>
      <c r="I1492" s="6">
        <v>7.5278293203827324</v>
      </c>
      <c r="J1492" s="5">
        <v>5.2999999999999999E-2</v>
      </c>
      <c r="K1492" s="4">
        <v>26.2</v>
      </c>
      <c r="L1492" s="4">
        <v>46.1</v>
      </c>
      <c r="M1492" s="6">
        <v>3.5482626787935199</v>
      </c>
      <c r="N1492" s="5">
        <v>4.4999999999999998E-2</v>
      </c>
      <c r="O1492" s="5">
        <v>3.9795666415892126</v>
      </c>
      <c r="P1492" s="5">
        <v>3.9795666415892126</v>
      </c>
      <c r="Q1492" s="8">
        <v>0.20833333333333334</v>
      </c>
      <c r="R1492" s="8">
        <v>0.89583333333333337</v>
      </c>
      <c r="S1492" s="6">
        <f t="shared" si="69"/>
        <v>16.5</v>
      </c>
      <c r="T1492" s="5">
        <f t="shared" si="70"/>
        <v>0.24118585706601289</v>
      </c>
      <c r="U1492" s="3">
        <v>2.21</v>
      </c>
      <c r="V1492" s="5">
        <f t="shared" si="71"/>
        <v>0.10913387197557145</v>
      </c>
      <c r="W1492" s="3">
        <v>0.10913387197557145</v>
      </c>
    </row>
    <row r="1493" spans="1:23" x14ac:dyDescent="0.55000000000000004">
      <c r="A1493" s="3">
        <v>41</v>
      </c>
      <c r="B1493" s="3" t="s">
        <v>51</v>
      </c>
      <c r="C1493" s="3" t="s">
        <v>50</v>
      </c>
      <c r="D1493" s="3" t="s">
        <v>9</v>
      </c>
      <c r="E1493" s="3" t="s">
        <v>26</v>
      </c>
      <c r="F1493" s="3">
        <v>51</v>
      </c>
      <c r="G1493" s="4">
        <v>27.9</v>
      </c>
      <c r="H1493" s="4">
        <v>121.9</v>
      </c>
      <c r="I1493" s="6">
        <v>9.0979739827961357</v>
      </c>
      <c r="J1493" s="5">
        <v>6.0999999999999999E-2</v>
      </c>
      <c r="K1493" s="4">
        <v>24.9</v>
      </c>
      <c r="L1493" s="4">
        <v>66.2</v>
      </c>
      <c r="M1493" s="6">
        <v>5.2192508234272363</v>
      </c>
      <c r="N1493" s="5">
        <v>0.05</v>
      </c>
      <c r="O1493" s="5">
        <v>3.8787231593688993</v>
      </c>
      <c r="P1493" s="5">
        <v>3.8787231593688993</v>
      </c>
      <c r="Q1493" s="8">
        <v>0.20833333333333334</v>
      </c>
      <c r="R1493" s="8">
        <v>0.875</v>
      </c>
      <c r="S1493" s="6">
        <f t="shared" si="69"/>
        <v>16</v>
      </c>
      <c r="T1493" s="5">
        <f t="shared" si="70"/>
        <v>0.24242019746055621</v>
      </c>
      <c r="U1493" s="3">
        <v>2.21</v>
      </c>
      <c r="V1493" s="5">
        <f t="shared" si="71"/>
        <v>0.10969239704097566</v>
      </c>
      <c r="W1493" s="3">
        <v>0.10969239704097566</v>
      </c>
    </row>
    <row r="1494" spans="1:23" x14ac:dyDescent="0.55000000000000004">
      <c r="A1494" s="3">
        <v>41</v>
      </c>
      <c r="B1494" s="3" t="s">
        <v>51</v>
      </c>
      <c r="C1494" s="3" t="s">
        <v>50</v>
      </c>
      <c r="D1494" s="3" t="s">
        <v>9</v>
      </c>
      <c r="E1494" s="3" t="s">
        <v>32</v>
      </c>
      <c r="F1494" s="3">
        <v>72</v>
      </c>
      <c r="G1494" s="4">
        <v>29.6</v>
      </c>
      <c r="H1494" s="4">
        <v>106.2</v>
      </c>
      <c r="I1494" s="6">
        <v>7.6910646004631147</v>
      </c>
      <c r="J1494" s="5">
        <v>5.5E-2</v>
      </c>
      <c r="K1494" s="4">
        <v>25.2</v>
      </c>
      <c r="L1494" s="4">
        <v>47.8</v>
      </c>
      <c r="M1494" s="6">
        <v>3.7476020514122825</v>
      </c>
      <c r="N1494" s="5">
        <v>4.8000000000000001E-2</v>
      </c>
      <c r="O1494" s="5">
        <v>3.9434625490508322</v>
      </c>
      <c r="P1494" s="5">
        <v>3.9434625490508322</v>
      </c>
      <c r="Q1494" s="8">
        <v>0.20833333333333334</v>
      </c>
      <c r="R1494" s="8">
        <v>0.88541666666666663</v>
      </c>
      <c r="S1494" s="6">
        <f t="shared" si="69"/>
        <v>16.25</v>
      </c>
      <c r="T1494" s="5">
        <f t="shared" si="70"/>
        <v>0.24267461840312812</v>
      </c>
      <c r="U1494" s="3">
        <v>2.21</v>
      </c>
      <c r="V1494" s="5">
        <f t="shared" si="71"/>
        <v>0.10980751963942449</v>
      </c>
      <c r="W1494" s="3">
        <v>0.10980751963942449</v>
      </c>
    </row>
    <row r="1495" spans="1:23" x14ac:dyDescent="0.55000000000000004">
      <c r="A1495" s="3">
        <v>39</v>
      </c>
      <c r="B1495" s="3" t="s">
        <v>51</v>
      </c>
      <c r="C1495" s="3" t="s">
        <v>50</v>
      </c>
      <c r="D1495" s="3" t="s">
        <v>9</v>
      </c>
      <c r="E1495" s="2" t="s">
        <v>25</v>
      </c>
      <c r="F1495" s="3">
        <v>47</v>
      </c>
      <c r="G1495" s="4">
        <v>29.3</v>
      </c>
      <c r="H1495" s="4">
        <v>101.9</v>
      </c>
      <c r="I1495" s="6">
        <v>7.4186248331431379</v>
      </c>
      <c r="J1495" s="5">
        <v>4.3999999999999997E-2</v>
      </c>
      <c r="K1495" s="4">
        <v>25.9</v>
      </c>
      <c r="L1495" s="4">
        <v>43.9</v>
      </c>
      <c r="M1495" s="6">
        <v>3.3975916103992172</v>
      </c>
      <c r="N1495" s="5">
        <v>0.04</v>
      </c>
      <c r="O1495" s="5">
        <v>4.0210332227439203</v>
      </c>
      <c r="P1495" s="5">
        <v>4.0210332227439203</v>
      </c>
      <c r="Q1495" s="8">
        <v>0.20833333333333334</v>
      </c>
      <c r="R1495" s="8">
        <v>0.89583333333333337</v>
      </c>
      <c r="S1495" s="6">
        <f t="shared" si="69"/>
        <v>16.5</v>
      </c>
      <c r="T1495" s="5">
        <f t="shared" si="70"/>
        <v>0.24369898319660122</v>
      </c>
      <c r="U1495" s="3">
        <v>2.21</v>
      </c>
      <c r="V1495" s="5">
        <f t="shared" si="71"/>
        <v>0.11027103312063403</v>
      </c>
      <c r="W1495" s="3">
        <v>0.11027103312063403</v>
      </c>
    </row>
    <row r="1496" spans="1:23" x14ac:dyDescent="0.55000000000000004">
      <c r="A1496" s="3">
        <v>12</v>
      </c>
      <c r="B1496" s="3" t="s">
        <v>53</v>
      </c>
      <c r="C1496" s="3" t="s">
        <v>50</v>
      </c>
      <c r="D1496" s="3" t="s">
        <v>11</v>
      </c>
      <c r="E1496" s="3" t="s">
        <v>30</v>
      </c>
      <c r="F1496" s="3">
        <v>65</v>
      </c>
      <c r="G1496" s="4">
        <v>28.1</v>
      </c>
      <c r="H1496" s="4">
        <v>116.8</v>
      </c>
      <c r="I1496" s="6">
        <v>8.6862054592688605</v>
      </c>
      <c r="J1496" s="5">
        <v>5.8999999999999997E-2</v>
      </c>
      <c r="K1496" s="4">
        <v>23.4</v>
      </c>
      <c r="L1496" s="4">
        <v>58.2</v>
      </c>
      <c r="M1496" s="6">
        <v>4.7200702784786692</v>
      </c>
      <c r="N1496" s="5">
        <v>4.2999999999999997E-2</v>
      </c>
      <c r="O1496" s="5">
        <v>3.9661351807901912</v>
      </c>
      <c r="P1496" s="5">
        <v>3.9661351807901912</v>
      </c>
      <c r="Q1496" s="8">
        <v>0.20833333333333334</v>
      </c>
      <c r="R1496" s="8">
        <v>0.88541666666666663</v>
      </c>
      <c r="S1496" s="6">
        <f t="shared" si="69"/>
        <v>16.25</v>
      </c>
      <c r="T1496" s="5">
        <f t="shared" si="70"/>
        <v>0.2440698572793964</v>
      </c>
      <c r="U1496" s="3">
        <v>2.21</v>
      </c>
      <c r="V1496" s="5">
        <f t="shared" si="71"/>
        <v>0.11043884944769067</v>
      </c>
      <c r="W1496" s="3">
        <v>0.11043884944769067</v>
      </c>
    </row>
    <row r="1497" spans="1:23" x14ac:dyDescent="0.55000000000000004">
      <c r="A1497" s="3">
        <v>36</v>
      </c>
      <c r="B1497" s="3" t="s">
        <v>52</v>
      </c>
      <c r="C1497" s="3" t="s">
        <v>50</v>
      </c>
      <c r="D1497" s="3" t="s">
        <v>12</v>
      </c>
      <c r="E1497" s="2" t="s">
        <v>25</v>
      </c>
      <c r="F1497" s="3">
        <v>47</v>
      </c>
      <c r="G1497" s="4">
        <v>28.5</v>
      </c>
      <c r="H1497" s="4">
        <v>97.8</v>
      </c>
      <c r="I1497" s="6">
        <v>7.2215561638320489</v>
      </c>
      <c r="J1497" s="5">
        <v>6.0999999999999999E-2</v>
      </c>
      <c r="K1497" s="4">
        <v>25.4</v>
      </c>
      <c r="L1497" s="4">
        <v>40.799999999999997</v>
      </c>
      <c r="M1497" s="6">
        <v>3.1869471166279624</v>
      </c>
      <c r="N1497" s="5">
        <v>5.8999999999999997E-2</v>
      </c>
      <c r="O1497" s="5">
        <v>4.0346090472040865</v>
      </c>
      <c r="P1497" s="5">
        <v>4.0346090472040865</v>
      </c>
      <c r="Q1497" s="8">
        <v>0.20833333333333334</v>
      </c>
      <c r="R1497" s="8">
        <v>0.89583333333333337</v>
      </c>
      <c r="S1497" s="6">
        <f t="shared" si="69"/>
        <v>16.5</v>
      </c>
      <c r="T1497" s="5">
        <f t="shared" si="70"/>
        <v>0.24452176043661131</v>
      </c>
      <c r="U1497" s="3">
        <v>2.21</v>
      </c>
      <c r="V1497" s="5">
        <f t="shared" si="71"/>
        <v>0.11064333051430375</v>
      </c>
      <c r="W1497" s="3">
        <v>0.11064333051430375</v>
      </c>
    </row>
    <row r="1498" spans="1:23" x14ac:dyDescent="0.55000000000000004">
      <c r="A1498" s="3">
        <v>37</v>
      </c>
      <c r="B1498" s="3" t="s">
        <v>53</v>
      </c>
      <c r="C1498" s="3" t="s">
        <v>50</v>
      </c>
      <c r="D1498" s="3" t="s">
        <v>11</v>
      </c>
      <c r="E1498" s="2" t="s">
        <v>23</v>
      </c>
      <c r="F1498" s="3">
        <v>40</v>
      </c>
      <c r="G1498" s="4">
        <v>29.4</v>
      </c>
      <c r="H1498" s="4">
        <v>119</v>
      </c>
      <c r="I1498" s="6">
        <v>8.6483405642864231</v>
      </c>
      <c r="J1498" s="5">
        <v>4.9000000000000002E-2</v>
      </c>
      <c r="K1498" s="4">
        <v>24.8</v>
      </c>
      <c r="L1498" s="4">
        <v>58.7</v>
      </c>
      <c r="M1498" s="6">
        <v>4.6365901363753848</v>
      </c>
      <c r="N1498" s="5">
        <v>4.3999999999999997E-2</v>
      </c>
      <c r="O1498" s="5">
        <v>4.0117504279110383</v>
      </c>
      <c r="P1498" s="5">
        <v>4.0117504279110383</v>
      </c>
      <c r="Q1498" s="8">
        <v>0.20833333333333334</v>
      </c>
      <c r="R1498" s="8">
        <v>0.89027777777777783</v>
      </c>
      <c r="S1498" s="6">
        <f t="shared" si="69"/>
        <v>16.366666666666667</v>
      </c>
      <c r="T1498" s="5">
        <f t="shared" si="70"/>
        <v>0.24511713408825081</v>
      </c>
      <c r="U1498" s="3">
        <v>2.21</v>
      </c>
      <c r="V1498" s="5">
        <f t="shared" si="71"/>
        <v>0.11091273035667458</v>
      </c>
      <c r="W1498" s="3">
        <v>0.11091273035667458</v>
      </c>
    </row>
    <row r="1499" spans="1:23" x14ac:dyDescent="0.55000000000000004">
      <c r="A1499" s="3">
        <v>26</v>
      </c>
      <c r="B1499" s="3" t="s">
        <v>52</v>
      </c>
      <c r="C1499" s="3" t="s">
        <v>50</v>
      </c>
      <c r="D1499" s="3" t="s">
        <v>12</v>
      </c>
      <c r="E1499" s="3" t="s">
        <v>29</v>
      </c>
      <c r="F1499" s="3">
        <v>61</v>
      </c>
      <c r="G1499" s="4">
        <v>29.6</v>
      </c>
      <c r="H1499" s="4">
        <v>111.5</v>
      </c>
      <c r="I1499" s="6">
        <v>8.0748936247800103</v>
      </c>
      <c r="J1499" s="5">
        <v>4.5999999999999999E-2</v>
      </c>
      <c r="K1499" s="4">
        <v>26.4</v>
      </c>
      <c r="L1499" s="4">
        <v>52.5</v>
      </c>
      <c r="M1499" s="6">
        <v>4.0261037488634255</v>
      </c>
      <c r="N1499" s="5">
        <v>4.1000000000000002E-2</v>
      </c>
      <c r="O1499" s="5">
        <v>4.0487898759165848</v>
      </c>
      <c r="P1499" s="5">
        <v>4.0487898759165848</v>
      </c>
      <c r="Q1499" s="8">
        <v>0.19791666666666666</v>
      </c>
      <c r="R1499" s="8">
        <v>0.88541666666666663</v>
      </c>
      <c r="S1499" s="6">
        <f t="shared" si="69"/>
        <v>16.5</v>
      </c>
      <c r="T1499" s="5">
        <f t="shared" si="70"/>
        <v>0.24538120460100513</v>
      </c>
      <c r="U1499" s="3">
        <v>2.21</v>
      </c>
      <c r="V1499" s="5">
        <f t="shared" si="71"/>
        <v>0.11103221927647292</v>
      </c>
      <c r="W1499" s="3">
        <v>0.11103221927647292</v>
      </c>
    </row>
    <row r="1500" spans="1:23" x14ac:dyDescent="0.55000000000000004">
      <c r="A1500" s="3">
        <v>36</v>
      </c>
      <c r="B1500" s="3" t="s">
        <v>52</v>
      </c>
      <c r="C1500" s="3" t="s">
        <v>50</v>
      </c>
      <c r="D1500" s="3" t="s">
        <v>12</v>
      </c>
      <c r="E1500" s="3" t="s">
        <v>29</v>
      </c>
      <c r="F1500" s="3">
        <v>61</v>
      </c>
      <c r="G1500" s="4">
        <v>29.5</v>
      </c>
      <c r="H1500" s="4">
        <v>103.3</v>
      </c>
      <c r="I1500" s="6">
        <v>7.4941730449704425</v>
      </c>
      <c r="J1500" s="5">
        <v>7.0000000000000007E-2</v>
      </c>
      <c r="K1500" s="4">
        <v>25.4</v>
      </c>
      <c r="L1500" s="4">
        <v>44.1</v>
      </c>
      <c r="M1500" s="6">
        <v>3.4447148981199303</v>
      </c>
      <c r="N1500" s="5">
        <v>6.7000000000000004E-2</v>
      </c>
      <c r="O1500" s="5">
        <v>4.0494581468505118</v>
      </c>
      <c r="P1500" s="5">
        <v>4.0494581468505118</v>
      </c>
      <c r="Q1500" s="8">
        <v>0.19791666666666666</v>
      </c>
      <c r="R1500" s="8">
        <v>0.88541666666666663</v>
      </c>
      <c r="S1500" s="6">
        <f t="shared" si="69"/>
        <v>16.5</v>
      </c>
      <c r="T1500" s="5">
        <f t="shared" si="70"/>
        <v>0.24542170586972797</v>
      </c>
      <c r="U1500" s="3">
        <v>2.21</v>
      </c>
      <c r="V1500" s="5">
        <f t="shared" si="71"/>
        <v>0.11105054564241085</v>
      </c>
      <c r="W1500" s="3">
        <v>0.11105054564241085</v>
      </c>
    </row>
    <row r="1501" spans="1:23" x14ac:dyDescent="0.55000000000000004">
      <c r="A1501" s="3">
        <v>29</v>
      </c>
      <c r="B1501" s="3" t="s">
        <v>52</v>
      </c>
      <c r="C1501" s="3" t="s">
        <v>50</v>
      </c>
      <c r="D1501" s="3" t="s">
        <v>12</v>
      </c>
      <c r="E1501" s="2" t="s">
        <v>23</v>
      </c>
      <c r="F1501" s="3">
        <v>40</v>
      </c>
      <c r="G1501" s="4">
        <v>29.3</v>
      </c>
      <c r="H1501" s="4">
        <v>137.5</v>
      </c>
      <c r="I1501" s="6">
        <v>10.010411330296186</v>
      </c>
      <c r="J1501" s="5">
        <v>6.7000000000000004E-2</v>
      </c>
      <c r="K1501" s="4">
        <v>24.7</v>
      </c>
      <c r="L1501" s="4">
        <v>75.400000000000006</v>
      </c>
      <c r="M1501" s="6">
        <v>5.9668276843348886</v>
      </c>
      <c r="N1501" s="5">
        <v>5.5E-2</v>
      </c>
      <c r="O1501" s="5">
        <v>4.0435836459612977</v>
      </c>
      <c r="P1501" s="5">
        <v>4.0435836459612977</v>
      </c>
      <c r="Q1501" s="8">
        <v>0.20833333333333334</v>
      </c>
      <c r="R1501" s="8">
        <v>0.89027777777777783</v>
      </c>
      <c r="S1501" s="6">
        <f t="shared" si="69"/>
        <v>16.366666666666667</v>
      </c>
      <c r="T1501" s="5">
        <f t="shared" si="70"/>
        <v>0.24706213722777787</v>
      </c>
      <c r="U1501" s="3">
        <v>2.21</v>
      </c>
      <c r="V1501" s="5">
        <f t="shared" si="71"/>
        <v>0.11179282227501261</v>
      </c>
      <c r="W1501" s="3">
        <v>0.11179282227501261</v>
      </c>
    </row>
    <row r="1502" spans="1:23" x14ac:dyDescent="0.55000000000000004">
      <c r="A1502" s="3">
        <v>33</v>
      </c>
      <c r="B1502" s="3" t="s">
        <v>51</v>
      </c>
      <c r="C1502" s="3" t="s">
        <v>50</v>
      </c>
      <c r="D1502" s="3" t="s">
        <v>9</v>
      </c>
      <c r="E1502" s="3" t="s">
        <v>30</v>
      </c>
      <c r="F1502" s="3">
        <v>65</v>
      </c>
      <c r="G1502" s="4">
        <v>29</v>
      </c>
      <c r="H1502" s="4">
        <v>147.80000000000001</v>
      </c>
      <c r="I1502" s="6">
        <v>10.817321915574933</v>
      </c>
      <c r="J1502" s="5">
        <v>9.4E-2</v>
      </c>
      <c r="K1502" s="4">
        <v>24.2</v>
      </c>
      <c r="L1502" s="4">
        <v>85</v>
      </c>
      <c r="M1502" s="6">
        <v>6.7899360061023506</v>
      </c>
      <c r="N1502" s="5">
        <v>0.06</v>
      </c>
      <c r="O1502" s="5">
        <v>4.0273859094725823</v>
      </c>
      <c r="P1502" s="5">
        <v>4.0273859094725823</v>
      </c>
      <c r="Q1502" s="8">
        <v>0.20833333333333334</v>
      </c>
      <c r="R1502" s="8">
        <v>0.88541666666666663</v>
      </c>
      <c r="S1502" s="6">
        <f t="shared" si="69"/>
        <v>16.25</v>
      </c>
      <c r="T1502" s="5">
        <f t="shared" si="70"/>
        <v>0.24783913289062046</v>
      </c>
      <c r="U1502" s="3">
        <v>2.21</v>
      </c>
      <c r="V1502" s="5">
        <f t="shared" si="71"/>
        <v>0.11214440402290518</v>
      </c>
      <c r="W1502" s="3">
        <v>0.11214440402290518</v>
      </c>
    </row>
    <row r="1503" spans="1:23" x14ac:dyDescent="0.55000000000000004">
      <c r="A1503" s="3">
        <v>33</v>
      </c>
      <c r="B1503" s="3" t="s">
        <v>51</v>
      </c>
      <c r="C1503" s="3" t="s">
        <v>50</v>
      </c>
      <c r="D1503" s="3" t="s">
        <v>9</v>
      </c>
      <c r="E1503" s="2" t="s">
        <v>25</v>
      </c>
      <c r="F1503" s="3">
        <v>47</v>
      </c>
      <c r="G1503" s="4">
        <v>29.7</v>
      </c>
      <c r="H1503" s="4">
        <v>119.9</v>
      </c>
      <c r="I1503" s="6">
        <v>8.6680347401518034</v>
      </c>
      <c r="J1503" s="5">
        <v>9.7000000000000003E-2</v>
      </c>
      <c r="K1503" s="4">
        <v>26.3</v>
      </c>
      <c r="L1503" s="4">
        <v>59.5</v>
      </c>
      <c r="M1503" s="6">
        <v>4.5712679588963203</v>
      </c>
      <c r="N1503" s="5">
        <v>6.7000000000000004E-2</v>
      </c>
      <c r="O1503" s="5">
        <v>4.0967667812554831</v>
      </c>
      <c r="P1503" s="5">
        <v>4.0967667812554831</v>
      </c>
      <c r="Q1503" s="8">
        <v>0.20833333333333334</v>
      </c>
      <c r="R1503" s="8">
        <v>0.89583333333333337</v>
      </c>
      <c r="S1503" s="6">
        <f t="shared" si="69"/>
        <v>16.5</v>
      </c>
      <c r="T1503" s="5">
        <f t="shared" si="70"/>
        <v>0.24828889583366565</v>
      </c>
      <c r="U1503" s="3">
        <v>2.21</v>
      </c>
      <c r="V1503" s="5">
        <f t="shared" si="71"/>
        <v>0.11234791666681704</v>
      </c>
      <c r="W1503" s="3">
        <v>0.11234791666681704</v>
      </c>
    </row>
    <row r="1504" spans="1:23" x14ac:dyDescent="0.55000000000000004">
      <c r="A1504" s="3">
        <v>39</v>
      </c>
      <c r="B1504" s="3" t="s">
        <v>51</v>
      </c>
      <c r="C1504" s="3" t="s">
        <v>50</v>
      </c>
      <c r="D1504" s="3" t="s">
        <v>9</v>
      </c>
      <c r="E1504" s="2" t="s">
        <v>23</v>
      </c>
      <c r="F1504" s="3">
        <v>40</v>
      </c>
      <c r="G1504" s="4">
        <v>29.7</v>
      </c>
      <c r="H1504" s="4">
        <v>123.3</v>
      </c>
      <c r="I1504" s="6">
        <v>8.9138338904146579</v>
      </c>
      <c r="J1504" s="5">
        <v>4.8000000000000001E-2</v>
      </c>
      <c r="K1504" s="4">
        <v>24.9</v>
      </c>
      <c r="L1504" s="4">
        <v>61.5</v>
      </c>
      <c r="M1504" s="6">
        <v>4.8486997830932781</v>
      </c>
      <c r="N1504" s="5">
        <v>0.04</v>
      </c>
      <c r="O1504" s="5">
        <v>4.0651341073213798</v>
      </c>
      <c r="P1504" s="5">
        <v>4.0651341073213798</v>
      </c>
      <c r="Q1504" s="8">
        <v>0.20833333333333334</v>
      </c>
      <c r="R1504" s="8">
        <v>0.89027777777777783</v>
      </c>
      <c r="S1504" s="6">
        <f t="shared" si="69"/>
        <v>16.366666666666667</v>
      </c>
      <c r="T1504" s="5">
        <f t="shared" si="70"/>
        <v>0.24837886602778286</v>
      </c>
      <c r="U1504" s="3">
        <v>2.21</v>
      </c>
      <c r="V1504" s="5">
        <f t="shared" si="71"/>
        <v>0.1123886271618927</v>
      </c>
      <c r="W1504" s="3">
        <v>0.1123886271618927</v>
      </c>
    </row>
    <row r="1505" spans="1:23" x14ac:dyDescent="0.55000000000000004">
      <c r="A1505" s="3">
        <v>13</v>
      </c>
      <c r="B1505" s="3" t="s">
        <v>53</v>
      </c>
      <c r="C1505" s="3" t="s">
        <v>50</v>
      </c>
      <c r="D1505" s="3" t="s">
        <v>11</v>
      </c>
      <c r="E1505" s="3" t="s">
        <v>29</v>
      </c>
      <c r="F1505" s="3">
        <v>61</v>
      </c>
      <c r="G1505" s="4">
        <v>29.6</v>
      </c>
      <c r="H1505" s="4">
        <v>117.1</v>
      </c>
      <c r="I1505" s="6">
        <v>8.4804488202846571</v>
      </c>
      <c r="J1505" s="5">
        <v>0.06</v>
      </c>
      <c r="K1505" s="4">
        <v>25.4</v>
      </c>
      <c r="L1505" s="4">
        <v>56</v>
      </c>
      <c r="M1505" s="6">
        <v>4.3742411404697528</v>
      </c>
      <c r="N1505" s="5">
        <v>5.0999999999999997E-2</v>
      </c>
      <c r="O1505" s="5">
        <v>4.1062076798149043</v>
      </c>
      <c r="P1505" s="5">
        <v>4.1062076798149043</v>
      </c>
      <c r="Q1505" s="8">
        <v>0.19791666666666666</v>
      </c>
      <c r="R1505" s="8">
        <v>0.88541666666666663</v>
      </c>
      <c r="S1505" s="6">
        <f t="shared" si="69"/>
        <v>16.5</v>
      </c>
      <c r="T1505" s="5">
        <f t="shared" si="70"/>
        <v>0.24886107150393361</v>
      </c>
      <c r="U1505" s="3">
        <v>2.21</v>
      </c>
      <c r="V1505" s="5">
        <f t="shared" si="71"/>
        <v>0.11260681968503783</v>
      </c>
      <c r="W1505" s="3">
        <v>0.11260681968503783</v>
      </c>
    </row>
    <row r="1506" spans="1:23" x14ac:dyDescent="0.55000000000000004">
      <c r="A1506" s="3">
        <v>13</v>
      </c>
      <c r="B1506" s="3" t="s">
        <v>53</v>
      </c>
      <c r="C1506" s="3" t="s">
        <v>50</v>
      </c>
      <c r="D1506" s="3" t="s">
        <v>11</v>
      </c>
      <c r="E1506" s="2" t="s">
        <v>25</v>
      </c>
      <c r="F1506" s="3">
        <v>47</v>
      </c>
      <c r="G1506" s="4">
        <v>29.1</v>
      </c>
      <c r="H1506" s="4">
        <v>96</v>
      </c>
      <c r="I1506" s="6">
        <v>7.0137487480337803</v>
      </c>
      <c r="J1506" s="5">
        <v>5.0999999999999997E-2</v>
      </c>
      <c r="K1506" s="4">
        <v>25.5</v>
      </c>
      <c r="L1506" s="4">
        <v>37.200000000000003</v>
      </c>
      <c r="M1506" s="6">
        <v>2.9003729320540117</v>
      </c>
      <c r="N1506" s="5">
        <v>4.8000000000000001E-2</v>
      </c>
      <c r="O1506" s="5">
        <v>4.1133758159797686</v>
      </c>
      <c r="P1506" s="5">
        <v>4.1133758159797686</v>
      </c>
      <c r="Q1506" s="8">
        <v>0.20833333333333334</v>
      </c>
      <c r="R1506" s="8">
        <v>0.89583333333333337</v>
      </c>
      <c r="S1506" s="6">
        <f t="shared" si="69"/>
        <v>16.5</v>
      </c>
      <c r="T1506" s="5">
        <f t="shared" si="70"/>
        <v>0.24929550399877387</v>
      </c>
      <c r="U1506" s="3">
        <v>2.21</v>
      </c>
      <c r="V1506" s="5">
        <f t="shared" si="71"/>
        <v>0.11280339547455831</v>
      </c>
      <c r="W1506" s="3">
        <v>0.11280339547455831</v>
      </c>
    </row>
    <row r="1507" spans="1:23" x14ac:dyDescent="0.55000000000000004">
      <c r="A1507" s="3">
        <v>35</v>
      </c>
      <c r="B1507" s="3" t="s">
        <v>51</v>
      </c>
      <c r="C1507" s="3" t="s">
        <v>50</v>
      </c>
      <c r="D1507" s="3" t="s">
        <v>9</v>
      </c>
      <c r="E1507" s="3" t="s">
        <v>32</v>
      </c>
      <c r="F1507" s="3">
        <v>72</v>
      </c>
      <c r="G1507" s="4">
        <v>29.5</v>
      </c>
      <c r="H1507" s="4">
        <v>116</v>
      </c>
      <c r="I1507" s="6">
        <v>8.4155282983211173</v>
      </c>
      <c r="J1507" s="5">
        <v>0.06</v>
      </c>
      <c r="K1507" s="4">
        <v>25</v>
      </c>
      <c r="L1507" s="4">
        <v>55.3</v>
      </c>
      <c r="M1507" s="6">
        <v>4.3517706402671621</v>
      </c>
      <c r="N1507" s="5">
        <v>4.7E-2</v>
      </c>
      <c r="O1507" s="5">
        <v>4.0637576580539552</v>
      </c>
      <c r="P1507" s="5">
        <v>4.0637576580539552</v>
      </c>
      <c r="Q1507" s="8">
        <v>0.20833333333333334</v>
      </c>
      <c r="R1507" s="8">
        <v>0.88541666666666663</v>
      </c>
      <c r="S1507" s="6">
        <f t="shared" si="69"/>
        <v>16.25</v>
      </c>
      <c r="T1507" s="5">
        <f t="shared" si="70"/>
        <v>0.25007739434178183</v>
      </c>
      <c r="U1507" s="3">
        <v>2.21</v>
      </c>
      <c r="V1507" s="5">
        <f t="shared" si="71"/>
        <v>0.11315719200985604</v>
      </c>
      <c r="W1507" s="3">
        <v>0.11315719200985604</v>
      </c>
    </row>
    <row r="1508" spans="1:23" x14ac:dyDescent="0.55000000000000004">
      <c r="A1508" s="3">
        <v>12</v>
      </c>
      <c r="B1508" s="3" t="s">
        <v>53</v>
      </c>
      <c r="C1508" s="3" t="s">
        <v>50</v>
      </c>
      <c r="D1508" s="3" t="s">
        <v>11</v>
      </c>
      <c r="E1508" s="3" t="s">
        <v>32</v>
      </c>
      <c r="F1508" s="3">
        <v>72</v>
      </c>
      <c r="G1508" s="4">
        <v>29.5</v>
      </c>
      <c r="H1508" s="4">
        <v>104.8</v>
      </c>
      <c r="I1508" s="6">
        <v>7.6029945315866643</v>
      </c>
      <c r="J1508" s="5">
        <v>5.5E-2</v>
      </c>
      <c r="K1508" s="4">
        <v>24.9</v>
      </c>
      <c r="L1508" s="4">
        <v>44.8</v>
      </c>
      <c r="M1508" s="6">
        <v>3.532060980204534</v>
      </c>
      <c r="N1508" s="5">
        <v>4.4999999999999998E-2</v>
      </c>
      <c r="O1508" s="5">
        <v>4.0709335513821303</v>
      </c>
      <c r="P1508" s="5">
        <v>4.0709335513821303</v>
      </c>
      <c r="Q1508" s="8">
        <v>0.20833333333333334</v>
      </c>
      <c r="R1508" s="8">
        <v>0.88541666666666663</v>
      </c>
      <c r="S1508" s="6">
        <f t="shared" si="69"/>
        <v>16.25</v>
      </c>
      <c r="T1508" s="5">
        <f t="shared" si="70"/>
        <v>0.25051898777736187</v>
      </c>
      <c r="U1508" s="3">
        <v>2.21</v>
      </c>
      <c r="V1508" s="5">
        <f t="shared" si="71"/>
        <v>0.11335700804405514</v>
      </c>
      <c r="W1508" s="3">
        <v>0.11335700804405514</v>
      </c>
    </row>
    <row r="1509" spans="1:23" x14ac:dyDescent="0.55000000000000004">
      <c r="A1509" s="3">
        <v>37</v>
      </c>
      <c r="B1509" s="3" t="s">
        <v>53</v>
      </c>
      <c r="C1509" s="3" t="s">
        <v>50</v>
      </c>
      <c r="D1509" s="3" t="s">
        <v>11</v>
      </c>
      <c r="E1509" s="3" t="s">
        <v>32</v>
      </c>
      <c r="F1509" s="3">
        <v>72</v>
      </c>
      <c r="G1509" s="4">
        <v>28.9</v>
      </c>
      <c r="H1509" s="4">
        <v>94.1</v>
      </c>
      <c r="I1509" s="6">
        <v>6.8992563227912713</v>
      </c>
      <c r="J1509" s="5">
        <v>5.1999999999999998E-2</v>
      </c>
      <c r="K1509" s="4">
        <v>24.7</v>
      </c>
      <c r="L1509" s="4">
        <v>35.4</v>
      </c>
      <c r="M1509" s="6">
        <v>2.801401857101526</v>
      </c>
      <c r="N1509" s="5">
        <v>0.05</v>
      </c>
      <c r="O1509" s="5">
        <v>4.0978544656897453</v>
      </c>
      <c r="P1509" s="5">
        <v>4.0978544656897453</v>
      </c>
      <c r="Q1509" s="8">
        <v>0.20833333333333334</v>
      </c>
      <c r="R1509" s="8">
        <v>0.88541666666666663</v>
      </c>
      <c r="S1509" s="6">
        <f t="shared" si="69"/>
        <v>16.25</v>
      </c>
      <c r="T1509" s="5">
        <f t="shared" si="70"/>
        <v>0.25217565942706127</v>
      </c>
      <c r="U1509" s="3">
        <v>2.21</v>
      </c>
      <c r="V1509" s="5">
        <f t="shared" si="71"/>
        <v>0.11410663322491459</v>
      </c>
      <c r="W1509" s="3">
        <v>0.11410663322491459</v>
      </c>
    </row>
    <row r="1510" spans="1:23" x14ac:dyDescent="0.55000000000000004">
      <c r="A1510" s="3">
        <v>29</v>
      </c>
      <c r="B1510" s="3" t="s">
        <v>52</v>
      </c>
      <c r="C1510" s="3" t="s">
        <v>50</v>
      </c>
      <c r="D1510" s="3" t="s">
        <v>12</v>
      </c>
      <c r="E1510" s="2" t="s">
        <v>25</v>
      </c>
      <c r="F1510" s="3">
        <v>47</v>
      </c>
      <c r="G1510" s="4">
        <v>29.1</v>
      </c>
      <c r="H1510" s="4">
        <v>106.8</v>
      </c>
      <c r="I1510" s="6">
        <v>7.8027954821875802</v>
      </c>
      <c r="J1510" s="5">
        <v>6.4000000000000001E-2</v>
      </c>
      <c r="K1510" s="4">
        <v>25.6</v>
      </c>
      <c r="L1510" s="4">
        <v>46.5</v>
      </c>
      <c r="M1510" s="6">
        <v>3.6187714939696285</v>
      </c>
      <c r="N1510" s="5">
        <v>5.5E-2</v>
      </c>
      <c r="O1510" s="5">
        <v>4.1840239882179517</v>
      </c>
      <c r="P1510" s="5">
        <v>4.1840239882179517</v>
      </c>
      <c r="Q1510" s="8">
        <v>0.20833333333333334</v>
      </c>
      <c r="R1510" s="8">
        <v>0.89583333333333337</v>
      </c>
      <c r="S1510" s="6">
        <f t="shared" si="69"/>
        <v>16.5</v>
      </c>
      <c r="T1510" s="5">
        <f t="shared" si="70"/>
        <v>0.25357721140714862</v>
      </c>
      <c r="U1510" s="3">
        <v>2.21</v>
      </c>
      <c r="V1510" s="5">
        <f t="shared" si="71"/>
        <v>0.1147408196412437</v>
      </c>
      <c r="W1510" s="3">
        <v>0.1147408196412437</v>
      </c>
    </row>
    <row r="1511" spans="1:23" x14ac:dyDescent="0.55000000000000004">
      <c r="A1511" s="3">
        <v>29</v>
      </c>
      <c r="B1511" s="3" t="s">
        <v>52</v>
      </c>
      <c r="C1511" s="3" t="s">
        <v>50</v>
      </c>
      <c r="D1511" s="3" t="s">
        <v>12</v>
      </c>
      <c r="E1511" s="3" t="s">
        <v>29</v>
      </c>
      <c r="F1511" s="3">
        <v>61</v>
      </c>
      <c r="G1511" s="4">
        <v>29.8</v>
      </c>
      <c r="H1511" s="4">
        <v>107.9</v>
      </c>
      <c r="I1511" s="6">
        <v>7.7868783575977254</v>
      </c>
      <c r="J1511" s="5">
        <v>6.3E-2</v>
      </c>
      <c r="K1511" s="4">
        <v>25.7</v>
      </c>
      <c r="L1511" s="4">
        <v>46.3</v>
      </c>
      <c r="M1511" s="6">
        <v>3.5965623552525003</v>
      </c>
      <c r="N1511" s="5">
        <v>5.7000000000000002E-2</v>
      </c>
      <c r="O1511" s="5">
        <v>4.1903160023452255</v>
      </c>
      <c r="P1511" s="5">
        <v>4.1903160023452255</v>
      </c>
      <c r="Q1511" s="8">
        <v>0.19791666666666666</v>
      </c>
      <c r="R1511" s="8">
        <v>0.88541666666666663</v>
      </c>
      <c r="S1511" s="6">
        <f t="shared" si="69"/>
        <v>16.5</v>
      </c>
      <c r="T1511" s="5">
        <f t="shared" si="70"/>
        <v>0.25395854559668035</v>
      </c>
      <c r="U1511" s="3">
        <v>2.21</v>
      </c>
      <c r="V1511" s="5">
        <f t="shared" si="71"/>
        <v>0.11491336904827165</v>
      </c>
      <c r="W1511" s="3">
        <v>0.11491336904827165</v>
      </c>
    </row>
    <row r="1512" spans="1:23" x14ac:dyDescent="0.55000000000000004">
      <c r="A1512" s="3">
        <v>18</v>
      </c>
      <c r="B1512" s="3" t="s">
        <v>51</v>
      </c>
      <c r="C1512" s="3" t="s">
        <v>50</v>
      </c>
      <c r="D1512" s="3" t="s">
        <v>9</v>
      </c>
      <c r="E1512" s="3" t="s">
        <v>26</v>
      </c>
      <c r="F1512" s="3">
        <v>51</v>
      </c>
      <c r="G1512" s="4">
        <v>28.1</v>
      </c>
      <c r="H1512" s="4">
        <v>130.4</v>
      </c>
      <c r="I1512" s="6">
        <v>9.6976129442522208</v>
      </c>
      <c r="J1512" s="5">
        <v>7.3999999999999996E-2</v>
      </c>
      <c r="K1512" s="4">
        <v>25.3</v>
      </c>
      <c r="L1512" s="4">
        <v>71.8</v>
      </c>
      <c r="M1512" s="6">
        <v>5.6188058552627203</v>
      </c>
      <c r="N1512" s="5">
        <v>6.0999999999999999E-2</v>
      </c>
      <c r="O1512" s="5">
        <v>4.0788070889895005</v>
      </c>
      <c r="P1512" s="5">
        <v>4.0788070889895005</v>
      </c>
      <c r="Q1512" s="8">
        <v>0.20833333333333334</v>
      </c>
      <c r="R1512" s="8">
        <v>0.875</v>
      </c>
      <c r="S1512" s="6">
        <f t="shared" si="69"/>
        <v>16</v>
      </c>
      <c r="T1512" s="5">
        <f t="shared" si="70"/>
        <v>0.25492544306184378</v>
      </c>
      <c r="U1512" s="3">
        <v>2.21</v>
      </c>
      <c r="V1512" s="5">
        <f t="shared" si="71"/>
        <v>0.11535087921350398</v>
      </c>
      <c r="W1512" s="3">
        <v>0.11535087921350398</v>
      </c>
    </row>
    <row r="1513" spans="1:23" x14ac:dyDescent="0.55000000000000004">
      <c r="A1513" s="3">
        <v>61</v>
      </c>
      <c r="B1513" s="3" t="s">
        <v>53</v>
      </c>
      <c r="C1513" s="3" t="s">
        <v>50</v>
      </c>
      <c r="D1513" s="3" t="s">
        <v>11</v>
      </c>
      <c r="E1513" s="3" t="s">
        <v>32</v>
      </c>
      <c r="F1513" s="3">
        <v>72</v>
      </c>
      <c r="G1513" s="4">
        <v>29.3</v>
      </c>
      <c r="H1513" s="4">
        <v>96.2</v>
      </c>
      <c r="I1513" s="6">
        <v>7.0036477816326768</v>
      </c>
      <c r="J1513" s="5">
        <v>4.1000000000000002E-2</v>
      </c>
      <c r="K1513" s="4">
        <v>24.6</v>
      </c>
      <c r="L1513" s="4">
        <v>35.700000000000003</v>
      </c>
      <c r="M1513" s="6">
        <v>2.8304339955586584</v>
      </c>
      <c r="N1513" s="5">
        <v>3.7999999999999999E-2</v>
      </c>
      <c r="O1513" s="5">
        <v>4.1732137860740188</v>
      </c>
      <c r="P1513" s="5">
        <v>4.1732137860740188</v>
      </c>
      <c r="Q1513" s="8">
        <v>0.20833333333333334</v>
      </c>
      <c r="R1513" s="8">
        <v>0.88541666666666663</v>
      </c>
      <c r="S1513" s="6">
        <f t="shared" si="69"/>
        <v>16.25</v>
      </c>
      <c r="T1513" s="5">
        <f t="shared" si="70"/>
        <v>0.25681315606609345</v>
      </c>
      <c r="U1513" s="3">
        <v>2.21</v>
      </c>
      <c r="V1513" s="5">
        <f t="shared" si="71"/>
        <v>0.11620504799370746</v>
      </c>
      <c r="W1513" s="3">
        <v>0.11620504799370746</v>
      </c>
    </row>
    <row r="1514" spans="1:23" x14ac:dyDescent="0.55000000000000004">
      <c r="A1514" s="3">
        <v>36</v>
      </c>
      <c r="B1514" s="3" t="s">
        <v>52</v>
      </c>
      <c r="C1514" s="3" t="s">
        <v>50</v>
      </c>
      <c r="D1514" s="3" t="s">
        <v>12</v>
      </c>
      <c r="E1514" s="3" t="s">
        <v>32</v>
      </c>
      <c r="F1514" s="3">
        <v>72</v>
      </c>
      <c r="G1514" s="4">
        <v>29.3</v>
      </c>
      <c r="H1514" s="4">
        <v>108.6</v>
      </c>
      <c r="I1514" s="6">
        <v>7.9064048761466594</v>
      </c>
      <c r="J1514" s="5">
        <v>6.0999999999999999E-2</v>
      </c>
      <c r="K1514" s="4">
        <v>24.9</v>
      </c>
      <c r="L1514" s="4">
        <v>47.2</v>
      </c>
      <c r="M1514" s="6">
        <v>3.7212785327154916</v>
      </c>
      <c r="N1514" s="5">
        <v>5.3999999999999999E-2</v>
      </c>
      <c r="O1514" s="5">
        <v>4.1851263434311683</v>
      </c>
      <c r="P1514" s="5">
        <v>4.1851263434311683</v>
      </c>
      <c r="Q1514" s="8">
        <v>0.20833333333333334</v>
      </c>
      <c r="R1514" s="8">
        <v>0.88541666666666663</v>
      </c>
      <c r="S1514" s="6">
        <f t="shared" si="69"/>
        <v>16.25</v>
      </c>
      <c r="T1514" s="5">
        <f t="shared" si="70"/>
        <v>0.25754623651884112</v>
      </c>
      <c r="U1514" s="3">
        <v>2.21</v>
      </c>
      <c r="V1514" s="5">
        <f t="shared" si="71"/>
        <v>0.11653675860581048</v>
      </c>
      <c r="W1514" s="3">
        <v>0.11653675860581048</v>
      </c>
    </row>
    <row r="1515" spans="1:23" x14ac:dyDescent="0.55000000000000004">
      <c r="A1515" s="3">
        <v>43</v>
      </c>
      <c r="B1515" s="3" t="s">
        <v>51</v>
      </c>
      <c r="C1515" s="3" t="s">
        <v>50</v>
      </c>
      <c r="D1515" s="3" t="s">
        <v>9</v>
      </c>
      <c r="E1515" s="3" t="s">
        <v>32</v>
      </c>
      <c r="F1515" s="3">
        <v>72</v>
      </c>
      <c r="G1515" s="4">
        <v>29.2</v>
      </c>
      <c r="H1515" s="4">
        <v>109.8</v>
      </c>
      <c r="I1515" s="6">
        <v>8.0078503253579303</v>
      </c>
      <c r="J1515" s="5">
        <v>4.3999999999999997E-2</v>
      </c>
      <c r="K1515" s="4">
        <v>24.9</v>
      </c>
      <c r="L1515" s="4">
        <v>48.2</v>
      </c>
      <c r="M1515" s="6">
        <v>3.8001191795950571</v>
      </c>
      <c r="N1515" s="5">
        <v>3.5000000000000003E-2</v>
      </c>
      <c r="O1515" s="5">
        <v>4.2077311457628728</v>
      </c>
      <c r="P1515" s="5">
        <v>4.2077311457628728</v>
      </c>
      <c r="Q1515" s="8">
        <v>0.20833333333333334</v>
      </c>
      <c r="R1515" s="8">
        <v>0.88541666666666663</v>
      </c>
      <c r="S1515" s="6">
        <f t="shared" si="69"/>
        <v>16.25</v>
      </c>
      <c r="T1515" s="5">
        <f t="shared" si="70"/>
        <v>0.25893730127771525</v>
      </c>
      <c r="U1515" s="3">
        <v>2.21</v>
      </c>
      <c r="V1515" s="5">
        <f t="shared" si="71"/>
        <v>0.11716619967317432</v>
      </c>
      <c r="W1515" s="3">
        <v>0.11716619967317432</v>
      </c>
    </row>
    <row r="1516" spans="1:23" x14ac:dyDescent="0.55000000000000004">
      <c r="A1516" s="3">
        <v>33</v>
      </c>
      <c r="B1516" s="3" t="s">
        <v>51</v>
      </c>
      <c r="C1516" s="3" t="s">
        <v>50</v>
      </c>
      <c r="D1516" s="3" t="s">
        <v>9</v>
      </c>
      <c r="E1516" s="3" t="s">
        <v>29</v>
      </c>
      <c r="F1516" s="3">
        <v>61</v>
      </c>
      <c r="G1516" s="4">
        <v>29.9</v>
      </c>
      <c r="H1516" s="4">
        <v>129</v>
      </c>
      <c r="I1516" s="6">
        <v>9.2933674020894106</v>
      </c>
      <c r="J1516" s="5">
        <v>8.7999999999999995E-2</v>
      </c>
      <c r="K1516" s="4">
        <v>26.6</v>
      </c>
      <c r="L1516" s="4">
        <v>65</v>
      </c>
      <c r="M1516" s="6">
        <v>4.9665418472266118</v>
      </c>
      <c r="N1516" s="5">
        <v>7.0000000000000007E-2</v>
      </c>
      <c r="O1516" s="5">
        <v>4.3268255548627987</v>
      </c>
      <c r="P1516" s="5">
        <v>4.3268255548627987</v>
      </c>
      <c r="Q1516" s="8">
        <v>0.19791666666666666</v>
      </c>
      <c r="R1516" s="8">
        <v>0.88541666666666663</v>
      </c>
      <c r="S1516" s="6">
        <f t="shared" si="69"/>
        <v>16.5</v>
      </c>
      <c r="T1516" s="5">
        <f t="shared" si="70"/>
        <v>0.26223185180986658</v>
      </c>
      <c r="U1516" s="3">
        <v>2.21</v>
      </c>
      <c r="V1516" s="5">
        <f t="shared" si="71"/>
        <v>0.11865694652030162</v>
      </c>
      <c r="W1516" s="3">
        <v>0.11865694652030162</v>
      </c>
    </row>
    <row r="1517" spans="1:23" x14ac:dyDescent="0.55000000000000004">
      <c r="A1517" s="3">
        <v>50</v>
      </c>
      <c r="B1517" s="3" t="s">
        <v>53</v>
      </c>
      <c r="C1517" s="3" t="s">
        <v>50</v>
      </c>
      <c r="D1517" s="3" t="s">
        <v>11</v>
      </c>
      <c r="E1517" s="3" t="s">
        <v>32</v>
      </c>
      <c r="F1517" s="3">
        <v>72</v>
      </c>
      <c r="G1517" s="4">
        <v>29.2</v>
      </c>
      <c r="H1517" s="4">
        <v>105.1</v>
      </c>
      <c r="I1517" s="6">
        <v>7.6650734899373267</v>
      </c>
      <c r="J1517" s="5">
        <v>4.2000000000000003E-2</v>
      </c>
      <c r="K1517" s="4">
        <v>24.7</v>
      </c>
      <c r="L1517" s="4">
        <v>42.9</v>
      </c>
      <c r="M1517" s="6">
        <v>3.3949191997077808</v>
      </c>
      <c r="N1517" s="5">
        <v>3.7999999999999999E-2</v>
      </c>
      <c r="O1517" s="5">
        <v>4.270154290229546</v>
      </c>
      <c r="P1517" s="5">
        <v>4.270154290229546</v>
      </c>
      <c r="Q1517" s="8">
        <v>0.20833333333333334</v>
      </c>
      <c r="R1517" s="8">
        <v>0.88541666666666663</v>
      </c>
      <c r="S1517" s="6">
        <f t="shared" si="69"/>
        <v>16.25</v>
      </c>
      <c r="T1517" s="5">
        <f t="shared" si="70"/>
        <v>0.26277872555258747</v>
      </c>
      <c r="U1517" s="3">
        <v>2.21</v>
      </c>
      <c r="V1517" s="5">
        <f t="shared" si="71"/>
        <v>0.11890440070252825</v>
      </c>
      <c r="W1517" s="3">
        <v>0.11890440070252825</v>
      </c>
    </row>
    <row r="1518" spans="1:23" x14ac:dyDescent="0.55000000000000004">
      <c r="A1518" s="3">
        <v>20</v>
      </c>
      <c r="B1518" s="3" t="s">
        <v>52</v>
      </c>
      <c r="C1518" s="3" t="s">
        <v>50</v>
      </c>
      <c r="D1518" s="3" t="s">
        <v>12</v>
      </c>
      <c r="E1518" s="2" t="s">
        <v>25</v>
      </c>
      <c r="F1518" s="3">
        <v>47</v>
      </c>
      <c r="G1518" s="4">
        <v>29.2</v>
      </c>
      <c r="H1518" s="4">
        <v>103</v>
      </c>
      <c r="I1518" s="6">
        <v>7.5119178826217388</v>
      </c>
      <c r="J1518" s="5">
        <v>4.2999999999999997E-2</v>
      </c>
      <c r="K1518" s="4">
        <v>27.7</v>
      </c>
      <c r="L1518" s="4">
        <v>42.4</v>
      </c>
      <c r="M1518" s="6">
        <v>3.1758841432116141</v>
      </c>
      <c r="N1518" s="5">
        <v>3.9E-2</v>
      </c>
      <c r="O1518" s="5">
        <v>4.3360337394101247</v>
      </c>
      <c r="P1518" s="5">
        <v>4.3360337394101247</v>
      </c>
      <c r="Q1518" s="8">
        <v>0.20833333333333334</v>
      </c>
      <c r="R1518" s="8">
        <v>0.89583333333333337</v>
      </c>
      <c r="S1518" s="6">
        <f t="shared" si="69"/>
        <v>16.5</v>
      </c>
      <c r="T1518" s="5">
        <f t="shared" si="70"/>
        <v>0.2627899236006136</v>
      </c>
      <c r="U1518" s="3">
        <v>2.21</v>
      </c>
      <c r="V1518" s="5">
        <f t="shared" si="71"/>
        <v>0.11890946769258534</v>
      </c>
      <c r="W1518" s="3">
        <v>0.11890946769258534</v>
      </c>
    </row>
    <row r="1519" spans="1:23" x14ac:dyDescent="0.55000000000000004">
      <c r="A1519" s="3">
        <v>27</v>
      </c>
      <c r="B1519" s="3" t="s">
        <v>48</v>
      </c>
      <c r="C1519" s="3" t="s">
        <v>50</v>
      </c>
      <c r="D1519" s="3" t="s">
        <v>10</v>
      </c>
      <c r="E1519" s="3" t="s">
        <v>32</v>
      </c>
      <c r="F1519" s="3">
        <v>72</v>
      </c>
      <c r="G1519" s="4">
        <v>29.5</v>
      </c>
      <c r="H1519" s="4">
        <v>97.6</v>
      </c>
      <c r="I1519" s="6">
        <v>7.0806513958288022</v>
      </c>
      <c r="J1519" s="5">
        <v>6.9000000000000006E-2</v>
      </c>
      <c r="K1519" s="4">
        <v>24.8</v>
      </c>
      <c r="L1519" s="4">
        <v>35.1</v>
      </c>
      <c r="M1519" s="6">
        <v>2.7724755329944806</v>
      </c>
      <c r="N1519" s="5">
        <v>6.5000000000000002E-2</v>
      </c>
      <c r="O1519" s="5">
        <v>4.3081758628343216</v>
      </c>
      <c r="P1519" s="5">
        <v>4.3081758628343216</v>
      </c>
      <c r="Q1519" s="8">
        <v>0.20833333333333334</v>
      </c>
      <c r="R1519" s="8">
        <v>0.88541666666666663</v>
      </c>
      <c r="S1519" s="6">
        <f t="shared" si="69"/>
        <v>16.25</v>
      </c>
      <c r="T1519" s="5">
        <f t="shared" si="70"/>
        <v>0.26511851463595826</v>
      </c>
      <c r="U1519" s="3">
        <v>2.21</v>
      </c>
      <c r="V1519" s="5">
        <f t="shared" si="71"/>
        <v>0.11996312879455125</v>
      </c>
      <c r="W1519" s="3">
        <v>0.11996312879455125</v>
      </c>
    </row>
    <row r="1520" spans="1:23" x14ac:dyDescent="0.55000000000000004">
      <c r="A1520" s="3">
        <v>57</v>
      </c>
      <c r="B1520" s="3" t="s">
        <v>52</v>
      </c>
      <c r="C1520" s="3" t="s">
        <v>50</v>
      </c>
      <c r="D1520" s="3" t="s">
        <v>12</v>
      </c>
      <c r="E1520" s="3" t="s">
        <v>32</v>
      </c>
      <c r="F1520" s="3">
        <v>72</v>
      </c>
      <c r="G1520" s="4">
        <v>29.3</v>
      </c>
      <c r="H1520" s="4">
        <v>101.5</v>
      </c>
      <c r="I1520" s="6">
        <v>7.3895036365459115</v>
      </c>
      <c r="J1520" s="5">
        <v>5.1999999999999998E-2</v>
      </c>
      <c r="K1520" s="4">
        <v>24.6</v>
      </c>
      <c r="L1520" s="4">
        <v>38.799999999999997</v>
      </c>
      <c r="M1520" s="6">
        <v>3.0762139783662725</v>
      </c>
      <c r="N1520" s="5">
        <v>4.9000000000000002E-2</v>
      </c>
      <c r="O1520" s="5">
        <v>4.3132896581796389</v>
      </c>
      <c r="P1520" s="5">
        <v>4.3132896581796389</v>
      </c>
      <c r="Q1520" s="8">
        <v>0.20833333333333334</v>
      </c>
      <c r="R1520" s="8">
        <v>0.88541666666666663</v>
      </c>
      <c r="S1520" s="6">
        <f t="shared" si="69"/>
        <v>16.25</v>
      </c>
      <c r="T1520" s="5">
        <f t="shared" si="70"/>
        <v>0.26543320973413165</v>
      </c>
      <c r="U1520" s="3">
        <v>2.21</v>
      </c>
      <c r="V1520" s="5">
        <f t="shared" si="71"/>
        <v>0.12010552476657539</v>
      </c>
      <c r="W1520" s="3">
        <v>0.12010552476657539</v>
      </c>
    </row>
    <row r="1521" spans="1:23" x14ac:dyDescent="0.55000000000000004">
      <c r="A1521" s="3">
        <v>39</v>
      </c>
      <c r="B1521" s="3" t="s">
        <v>51</v>
      </c>
      <c r="C1521" s="3" t="s">
        <v>50</v>
      </c>
      <c r="D1521" s="3" t="s">
        <v>9</v>
      </c>
      <c r="E1521" s="3" t="s">
        <v>29</v>
      </c>
      <c r="F1521" s="3">
        <v>61</v>
      </c>
      <c r="G1521" s="4">
        <v>29.9</v>
      </c>
      <c r="H1521" s="4">
        <v>124.4</v>
      </c>
      <c r="I1521" s="6">
        <v>8.9619760063559895</v>
      </c>
      <c r="J1521" s="5">
        <v>4.4999999999999998E-2</v>
      </c>
      <c r="K1521" s="4">
        <v>25.5</v>
      </c>
      <c r="L1521" s="4">
        <v>58.5</v>
      </c>
      <c r="M1521" s="6">
        <v>4.5610703366978411</v>
      </c>
      <c r="N1521" s="5">
        <v>3.7999999999999999E-2</v>
      </c>
      <c r="O1521" s="5">
        <v>4.4009056696581483</v>
      </c>
      <c r="P1521" s="5">
        <v>4.4009056696581483</v>
      </c>
      <c r="Q1521" s="8">
        <v>0.19791666666666666</v>
      </c>
      <c r="R1521" s="8">
        <v>0.88541666666666663</v>
      </c>
      <c r="S1521" s="6">
        <f t="shared" si="69"/>
        <v>16.5</v>
      </c>
      <c r="T1521" s="5">
        <f t="shared" si="70"/>
        <v>0.26672155573685746</v>
      </c>
      <c r="U1521" s="3">
        <v>2.21</v>
      </c>
      <c r="V1521" s="5">
        <f t="shared" si="71"/>
        <v>0.12068848675875904</v>
      </c>
      <c r="W1521" s="3">
        <v>0.12068848675875904</v>
      </c>
    </row>
    <row r="1522" spans="1:23" x14ac:dyDescent="0.55000000000000004">
      <c r="A1522" s="3">
        <v>29</v>
      </c>
      <c r="B1522" s="3" t="s">
        <v>52</v>
      </c>
      <c r="C1522" s="3" t="s">
        <v>50</v>
      </c>
      <c r="D1522" s="3" t="s">
        <v>12</v>
      </c>
      <c r="E1522" s="3" t="s">
        <v>32</v>
      </c>
      <c r="F1522" s="3">
        <v>72</v>
      </c>
      <c r="G1522" s="4">
        <v>29.4</v>
      </c>
      <c r="H1522" s="4">
        <v>112.6</v>
      </c>
      <c r="I1522" s="6">
        <v>8.1832197272155565</v>
      </c>
      <c r="J1522" s="5">
        <v>0.06</v>
      </c>
      <c r="K1522" s="4">
        <v>24.9</v>
      </c>
      <c r="L1522" s="4">
        <v>48.7</v>
      </c>
      <c r="M1522" s="6">
        <v>3.8395395030348398</v>
      </c>
      <c r="N1522" s="5">
        <v>5.1999999999999998E-2</v>
      </c>
      <c r="O1522" s="5">
        <v>4.3436802241807166</v>
      </c>
      <c r="P1522" s="5">
        <v>4.3436802241807166</v>
      </c>
      <c r="Q1522" s="8">
        <v>0.20833333333333334</v>
      </c>
      <c r="R1522" s="8">
        <v>0.88541666666666663</v>
      </c>
      <c r="S1522" s="6">
        <f t="shared" si="69"/>
        <v>16.25</v>
      </c>
      <c r="T1522" s="5">
        <f t="shared" si="70"/>
        <v>0.26730339841112105</v>
      </c>
      <c r="U1522" s="3">
        <v>2.21</v>
      </c>
      <c r="V1522" s="5">
        <f t="shared" si="71"/>
        <v>0.1209517639869326</v>
      </c>
      <c r="W1522" s="3">
        <v>0.1209517639869326</v>
      </c>
    </row>
    <row r="1523" spans="1:23" x14ac:dyDescent="0.55000000000000004">
      <c r="A1523" s="3">
        <v>18</v>
      </c>
      <c r="B1523" s="3" t="s">
        <v>51</v>
      </c>
      <c r="C1523" s="3" t="s">
        <v>50</v>
      </c>
      <c r="D1523" s="3" t="s">
        <v>9</v>
      </c>
      <c r="E1523" s="3" t="s">
        <v>29</v>
      </c>
      <c r="F1523" s="3">
        <v>61</v>
      </c>
      <c r="G1523" s="4">
        <v>30.5</v>
      </c>
      <c r="H1523" s="4">
        <v>147.9</v>
      </c>
      <c r="I1523" s="6">
        <v>10.544363951083499</v>
      </c>
      <c r="J1523" s="5">
        <v>8.3000000000000004E-2</v>
      </c>
      <c r="K1523" s="4">
        <v>26.5</v>
      </c>
      <c r="L1523" s="4">
        <v>79.8</v>
      </c>
      <c r="M1523" s="6">
        <v>6.1085138175912252</v>
      </c>
      <c r="N1523" s="5">
        <v>6.3E-2</v>
      </c>
      <c r="O1523" s="5">
        <v>4.4358501334922735</v>
      </c>
      <c r="P1523" s="5">
        <v>4.4358501334922735</v>
      </c>
      <c r="Q1523" s="8">
        <v>0.19791666666666666</v>
      </c>
      <c r="R1523" s="8">
        <v>0.88541666666666663</v>
      </c>
      <c r="S1523" s="6">
        <f t="shared" si="69"/>
        <v>16.5</v>
      </c>
      <c r="T1523" s="5">
        <f t="shared" si="70"/>
        <v>0.26883940202983475</v>
      </c>
      <c r="U1523" s="3">
        <v>2.21</v>
      </c>
      <c r="V1523" s="5">
        <f t="shared" si="71"/>
        <v>0.121646788248794</v>
      </c>
      <c r="W1523" s="3">
        <v>0.121646788248794</v>
      </c>
    </row>
    <row r="1524" spans="1:23" x14ac:dyDescent="0.55000000000000004">
      <c r="A1524" s="3">
        <v>43</v>
      </c>
      <c r="B1524" s="3" t="s">
        <v>51</v>
      </c>
      <c r="C1524" s="3" t="s">
        <v>50</v>
      </c>
      <c r="D1524" s="3" t="s">
        <v>9</v>
      </c>
      <c r="E1524" s="3" t="s">
        <v>29</v>
      </c>
      <c r="F1524" s="3">
        <v>61</v>
      </c>
      <c r="G1524" s="4">
        <v>29.9</v>
      </c>
      <c r="H1524" s="4">
        <v>124.3</v>
      </c>
      <c r="I1524" s="6">
        <v>8.9547718455791756</v>
      </c>
      <c r="J1524" s="5">
        <v>5.2999999999999999E-2</v>
      </c>
      <c r="K1524" s="4">
        <v>25.9</v>
      </c>
      <c r="L1524" s="4">
        <v>58.2</v>
      </c>
      <c r="M1524" s="6">
        <v>4.5043241850850668</v>
      </c>
      <c r="N1524" s="5">
        <v>4.2000000000000003E-2</v>
      </c>
      <c r="O1524" s="5">
        <v>4.4504476604941088</v>
      </c>
      <c r="P1524" s="5">
        <v>4.4504476604941088</v>
      </c>
      <c r="Q1524" s="8">
        <v>0.19791666666666666</v>
      </c>
      <c r="R1524" s="8">
        <v>0.88541666666666663</v>
      </c>
      <c r="S1524" s="6">
        <f t="shared" si="69"/>
        <v>16.5</v>
      </c>
      <c r="T1524" s="5">
        <f t="shared" si="70"/>
        <v>0.2697241006360066</v>
      </c>
      <c r="U1524" s="3">
        <v>2.21</v>
      </c>
      <c r="V1524" s="5">
        <f t="shared" si="71"/>
        <v>0.12204710436018398</v>
      </c>
      <c r="W1524" s="3">
        <v>0.12204710436018398</v>
      </c>
    </row>
    <row r="1525" spans="1:23" x14ac:dyDescent="0.55000000000000004">
      <c r="A1525" s="3">
        <v>49</v>
      </c>
      <c r="B1525" s="3" t="s">
        <v>51</v>
      </c>
      <c r="C1525" s="3" t="s">
        <v>49</v>
      </c>
      <c r="D1525" s="3" t="s">
        <v>39</v>
      </c>
      <c r="E1525" s="3" t="s">
        <v>32</v>
      </c>
      <c r="F1525" s="3">
        <v>72</v>
      </c>
      <c r="G1525" s="4">
        <v>29.1</v>
      </c>
      <c r="H1525" s="4">
        <v>125.3</v>
      </c>
      <c r="I1525" s="6">
        <v>9.1544033138399232</v>
      </c>
      <c r="J1525" s="5">
        <v>5.5E-2</v>
      </c>
      <c r="K1525" s="4">
        <v>24.8</v>
      </c>
      <c r="L1525" s="4">
        <v>60.4</v>
      </c>
      <c r="M1525" s="6">
        <v>4.7708695781443478</v>
      </c>
      <c r="N1525" s="5">
        <v>4.2000000000000003E-2</v>
      </c>
      <c r="O1525" s="5">
        <v>4.3835337356955755</v>
      </c>
      <c r="P1525" s="5">
        <v>4.3835337356955755</v>
      </c>
      <c r="Q1525" s="8">
        <v>0.20833333333333334</v>
      </c>
      <c r="R1525" s="8">
        <v>0.88541666666666663</v>
      </c>
      <c r="S1525" s="6">
        <f t="shared" si="69"/>
        <v>16.25</v>
      </c>
      <c r="T1525" s="5">
        <f t="shared" si="70"/>
        <v>0.26975592219665079</v>
      </c>
      <c r="U1525" s="3">
        <v>2.21</v>
      </c>
      <c r="V1525" s="5">
        <f t="shared" si="71"/>
        <v>0.12206150325640308</v>
      </c>
      <c r="W1525" s="3">
        <v>0.12206150325640308</v>
      </c>
    </row>
    <row r="1526" spans="1:23" x14ac:dyDescent="0.55000000000000004">
      <c r="A1526" s="3">
        <v>61</v>
      </c>
      <c r="B1526" s="3" t="s">
        <v>53</v>
      </c>
      <c r="C1526" s="3" t="s">
        <v>50</v>
      </c>
      <c r="D1526" s="3" t="s">
        <v>11</v>
      </c>
      <c r="E1526" s="2" t="s">
        <v>25</v>
      </c>
      <c r="F1526" s="3">
        <v>47</v>
      </c>
      <c r="G1526" s="4">
        <v>29.4</v>
      </c>
      <c r="H1526" s="4">
        <v>101.1</v>
      </c>
      <c r="I1526" s="6">
        <v>7.3474557231038435</v>
      </c>
      <c r="J1526" s="5">
        <v>6.2E-2</v>
      </c>
      <c r="K1526" s="4">
        <v>26.2</v>
      </c>
      <c r="L1526" s="4">
        <v>37.5</v>
      </c>
      <c r="M1526" s="6">
        <v>2.8863308124676137</v>
      </c>
      <c r="N1526" s="5">
        <v>5.7000000000000002E-2</v>
      </c>
      <c r="O1526" s="5">
        <v>4.4611249106362294</v>
      </c>
      <c r="P1526" s="5">
        <v>4.4611249106362294</v>
      </c>
      <c r="Q1526" s="8">
        <v>0.20833333333333334</v>
      </c>
      <c r="R1526" s="8">
        <v>0.89583333333333337</v>
      </c>
      <c r="S1526" s="6">
        <f t="shared" si="69"/>
        <v>16.5</v>
      </c>
      <c r="T1526" s="5">
        <f t="shared" si="70"/>
        <v>0.27037120670522602</v>
      </c>
      <c r="U1526" s="3">
        <v>2.21</v>
      </c>
      <c r="V1526" s="5">
        <f t="shared" si="71"/>
        <v>0.12233991253630137</v>
      </c>
      <c r="W1526" s="3">
        <v>0.12233991253630137</v>
      </c>
    </row>
    <row r="1527" spans="1:23" x14ac:dyDescent="0.55000000000000004">
      <c r="A1527" s="3">
        <v>39</v>
      </c>
      <c r="B1527" s="3" t="s">
        <v>51</v>
      </c>
      <c r="C1527" s="3" t="s">
        <v>50</v>
      </c>
      <c r="D1527" s="3" t="s">
        <v>9</v>
      </c>
      <c r="E1527" s="3" t="s">
        <v>32</v>
      </c>
      <c r="F1527" s="3">
        <v>72</v>
      </c>
      <c r="G1527" s="4">
        <v>28.9</v>
      </c>
      <c r="H1527" s="4">
        <v>121.3</v>
      </c>
      <c r="I1527" s="6">
        <v>8.8935153236406101</v>
      </c>
      <c r="J1527" s="5">
        <v>4.7E-2</v>
      </c>
      <c r="K1527" s="4">
        <v>24.4</v>
      </c>
      <c r="L1527" s="4">
        <v>56.2</v>
      </c>
      <c r="M1527" s="6">
        <v>4.4724947431805449</v>
      </c>
      <c r="N1527" s="5">
        <v>3.6999999999999998E-2</v>
      </c>
      <c r="O1527" s="5">
        <v>4.4210205804600653</v>
      </c>
      <c r="P1527" s="5">
        <v>4.4210205804600653</v>
      </c>
      <c r="Q1527" s="8">
        <v>0.20833333333333334</v>
      </c>
      <c r="R1527" s="8">
        <v>0.88541666666666663</v>
      </c>
      <c r="S1527" s="6">
        <f t="shared" si="69"/>
        <v>16.25</v>
      </c>
      <c r="T1527" s="5">
        <f t="shared" si="70"/>
        <v>0.27206280495138863</v>
      </c>
      <c r="U1527" s="3">
        <v>2.21</v>
      </c>
      <c r="V1527" s="5">
        <f t="shared" si="71"/>
        <v>0.1231053416069632</v>
      </c>
      <c r="W1527" s="3">
        <v>0.1231053416069632</v>
      </c>
    </row>
    <row r="1528" spans="1:23" x14ac:dyDescent="0.55000000000000004">
      <c r="A1528" s="3">
        <v>37</v>
      </c>
      <c r="B1528" s="3" t="s">
        <v>53</v>
      </c>
      <c r="C1528" s="3" t="s">
        <v>50</v>
      </c>
      <c r="D1528" s="3" t="s">
        <v>11</v>
      </c>
      <c r="E1528" s="3" t="s">
        <v>29</v>
      </c>
      <c r="F1528" s="3">
        <v>61</v>
      </c>
      <c r="G1528" s="4">
        <v>28.6</v>
      </c>
      <c r="H1528" s="4">
        <v>116.2</v>
      </c>
      <c r="I1528" s="6">
        <v>8.5649878274864779</v>
      </c>
      <c r="J1528" s="5">
        <v>5.8000000000000003E-2</v>
      </c>
      <c r="K1528" s="4">
        <v>25.7</v>
      </c>
      <c r="L1528" s="4">
        <v>51.7</v>
      </c>
      <c r="M1528" s="6">
        <v>4.0160318308111078</v>
      </c>
      <c r="N1528" s="5">
        <v>4.9000000000000002E-2</v>
      </c>
      <c r="O1528" s="5">
        <v>4.5489559966753701</v>
      </c>
      <c r="P1528" s="5">
        <v>4.5489559966753701</v>
      </c>
      <c r="Q1528" s="8">
        <v>0.19791666666666666</v>
      </c>
      <c r="R1528" s="8">
        <v>0.88541666666666663</v>
      </c>
      <c r="S1528" s="6">
        <f t="shared" si="69"/>
        <v>16.5</v>
      </c>
      <c r="T1528" s="5">
        <f t="shared" si="70"/>
        <v>0.2756943028288103</v>
      </c>
      <c r="U1528" s="3">
        <v>2.21</v>
      </c>
      <c r="V1528" s="5">
        <f t="shared" si="71"/>
        <v>0.12474855331620377</v>
      </c>
      <c r="W1528" s="3">
        <v>0.12474855331620377</v>
      </c>
    </row>
    <row r="1529" spans="1:23" x14ac:dyDescent="0.55000000000000004">
      <c r="A1529" s="3">
        <v>12</v>
      </c>
      <c r="B1529" s="3" t="s">
        <v>53</v>
      </c>
      <c r="C1529" s="3" t="s">
        <v>50</v>
      </c>
      <c r="D1529" s="3" t="s">
        <v>11</v>
      </c>
      <c r="E1529" s="3" t="s">
        <v>29</v>
      </c>
      <c r="F1529" s="3">
        <v>61</v>
      </c>
      <c r="G1529" s="4">
        <v>29.5</v>
      </c>
      <c r="H1529" s="4">
        <v>113.7</v>
      </c>
      <c r="I1529" s="6">
        <v>8.2486686855095783</v>
      </c>
      <c r="J1529" s="5">
        <v>5.8999999999999997E-2</v>
      </c>
      <c r="K1529" s="4">
        <v>25.5</v>
      </c>
      <c r="L1529" s="4">
        <v>47.1</v>
      </c>
      <c r="M1529" s="6">
        <v>3.6722463736490312</v>
      </c>
      <c r="N1529" s="5">
        <v>5.0999999999999997E-2</v>
      </c>
      <c r="O1529" s="5">
        <v>4.5764223118605472</v>
      </c>
      <c r="P1529" s="5">
        <v>4.5764223118605472</v>
      </c>
      <c r="Q1529" s="8">
        <v>0.19791666666666666</v>
      </c>
      <c r="R1529" s="8">
        <v>0.88541666666666663</v>
      </c>
      <c r="S1529" s="6">
        <f t="shared" si="69"/>
        <v>16.5</v>
      </c>
      <c r="T1529" s="5">
        <f t="shared" si="70"/>
        <v>0.27735892799154832</v>
      </c>
      <c r="U1529" s="3">
        <v>2.21</v>
      </c>
      <c r="V1529" s="5">
        <f t="shared" si="71"/>
        <v>0.12550177737174134</v>
      </c>
      <c r="W1529" s="3">
        <v>0.12550177737174134</v>
      </c>
    </row>
    <row r="1530" spans="1:23" x14ac:dyDescent="0.55000000000000004">
      <c r="A1530" s="3">
        <v>28</v>
      </c>
      <c r="B1530" s="3" t="s">
        <v>53</v>
      </c>
      <c r="C1530" s="3" t="s">
        <v>50</v>
      </c>
      <c r="D1530" s="3" t="s">
        <v>11</v>
      </c>
      <c r="E1530" s="3" t="s">
        <v>29</v>
      </c>
      <c r="F1530" s="3">
        <v>61</v>
      </c>
      <c r="G1530" s="4">
        <v>29.6</v>
      </c>
      <c r="H1530" s="4">
        <v>114.4</v>
      </c>
      <c r="I1530" s="6">
        <v>8.2849132795949174</v>
      </c>
      <c r="J1530" s="5">
        <v>7.0000000000000007E-2</v>
      </c>
      <c r="K1530" s="4">
        <v>25.8</v>
      </c>
      <c r="L1530" s="4">
        <v>46.7</v>
      </c>
      <c r="M1530" s="6">
        <v>3.620953664710886</v>
      </c>
      <c r="N1530" s="5">
        <v>6.4000000000000001E-2</v>
      </c>
      <c r="O1530" s="5">
        <v>4.6639596148840319</v>
      </c>
      <c r="P1530" s="5">
        <v>4.6639596148840319</v>
      </c>
      <c r="Q1530" s="8">
        <v>0.19791666666666666</v>
      </c>
      <c r="R1530" s="8">
        <v>0.88541666666666663</v>
      </c>
      <c r="S1530" s="6">
        <f t="shared" si="69"/>
        <v>16.5</v>
      </c>
      <c r="T1530" s="5">
        <f t="shared" si="70"/>
        <v>0.28266421908388073</v>
      </c>
      <c r="U1530" s="3">
        <v>2.21</v>
      </c>
      <c r="V1530" s="5">
        <f t="shared" si="71"/>
        <v>0.12790236157641663</v>
      </c>
      <c r="W1530" s="3">
        <v>0.12790236157641663</v>
      </c>
    </row>
    <row r="1531" spans="1:23" x14ac:dyDescent="0.55000000000000004">
      <c r="A1531" s="3">
        <v>60</v>
      </c>
      <c r="B1531" s="3" t="s">
        <v>51</v>
      </c>
      <c r="C1531" s="3" t="s">
        <v>49</v>
      </c>
      <c r="D1531" s="3" t="s">
        <v>39</v>
      </c>
      <c r="E1531" s="3" t="s">
        <v>32</v>
      </c>
      <c r="F1531" s="3">
        <v>72</v>
      </c>
      <c r="G1531" s="4">
        <v>29.3</v>
      </c>
      <c r="H1531" s="4">
        <v>119.8</v>
      </c>
      <c r="I1531" s="6">
        <v>8.7217983808689681</v>
      </c>
      <c r="J1531" s="5">
        <v>5.1999999999999998E-2</v>
      </c>
      <c r="K1531" s="4">
        <v>24.9</v>
      </c>
      <c r="L1531" s="4">
        <v>52</v>
      </c>
      <c r="M1531" s="6">
        <v>4.0997136377374055</v>
      </c>
      <c r="N1531" s="5">
        <v>4.3999999999999997E-2</v>
      </c>
      <c r="O1531" s="5">
        <v>4.6220847431315626</v>
      </c>
      <c r="P1531" s="5">
        <v>4.6220847431315626</v>
      </c>
      <c r="Q1531" s="8">
        <v>0.20833333333333334</v>
      </c>
      <c r="R1531" s="8">
        <v>0.88541666666666663</v>
      </c>
      <c r="S1531" s="6">
        <f t="shared" si="69"/>
        <v>16.25</v>
      </c>
      <c r="T1531" s="5">
        <f t="shared" si="70"/>
        <v>0.28443598419271154</v>
      </c>
      <c r="U1531" s="3">
        <v>2.21</v>
      </c>
      <c r="V1531" s="5">
        <f t="shared" si="71"/>
        <v>0.12870406524557082</v>
      </c>
      <c r="W1531" s="3">
        <v>0.12870406524557082</v>
      </c>
    </row>
    <row r="1532" spans="1:23" x14ac:dyDescent="0.55000000000000004">
      <c r="A1532" s="3">
        <v>28</v>
      </c>
      <c r="B1532" s="3" t="s">
        <v>53</v>
      </c>
      <c r="C1532" s="3" t="s">
        <v>50</v>
      </c>
      <c r="D1532" s="3" t="s">
        <v>11</v>
      </c>
      <c r="E1532" s="3" t="s">
        <v>32</v>
      </c>
      <c r="F1532" s="3">
        <v>72</v>
      </c>
      <c r="G1532" s="4">
        <v>29.1</v>
      </c>
      <c r="H1532" s="4">
        <v>93.2</v>
      </c>
      <c r="I1532" s="6">
        <v>6.8091810762161291</v>
      </c>
      <c r="J1532" s="5">
        <v>6.5000000000000002E-2</v>
      </c>
      <c r="K1532" s="4">
        <v>24.9</v>
      </c>
      <c r="L1532" s="4">
        <v>27.5</v>
      </c>
      <c r="M1532" s="6">
        <v>2.168117789188051</v>
      </c>
      <c r="N1532" s="5">
        <v>6.3E-2</v>
      </c>
      <c r="O1532" s="5">
        <v>4.6410632870280786</v>
      </c>
      <c r="P1532" s="5">
        <v>4.6410632870280786</v>
      </c>
      <c r="Q1532" s="8">
        <v>0.20833333333333334</v>
      </c>
      <c r="R1532" s="8">
        <v>0.88541666666666663</v>
      </c>
      <c r="S1532" s="6">
        <f t="shared" si="69"/>
        <v>16.25</v>
      </c>
      <c r="T1532" s="5">
        <f t="shared" si="70"/>
        <v>0.28560389458634328</v>
      </c>
      <c r="U1532" s="3">
        <v>2.21</v>
      </c>
      <c r="V1532" s="5">
        <f t="shared" si="71"/>
        <v>0.12923253148703315</v>
      </c>
      <c r="W1532" s="3">
        <v>0.12923253148703315</v>
      </c>
    </row>
    <row r="1533" spans="1:23" x14ac:dyDescent="0.55000000000000004">
      <c r="A1533" s="3">
        <v>59</v>
      </c>
      <c r="B1533" s="3" t="s">
        <v>52</v>
      </c>
      <c r="C1533" s="3" t="s">
        <v>49</v>
      </c>
      <c r="D1533" s="3" t="s">
        <v>40</v>
      </c>
      <c r="E1533" s="3" t="s">
        <v>32</v>
      </c>
      <c r="F1533" s="3">
        <v>72</v>
      </c>
      <c r="G1533" s="4">
        <v>29.2</v>
      </c>
      <c r="H1533" s="4">
        <v>120.9</v>
      </c>
      <c r="I1533" s="6">
        <v>8.8173871068831868</v>
      </c>
      <c r="J1533" s="5">
        <v>5.6000000000000001E-2</v>
      </c>
      <c r="K1533" s="4">
        <v>24.7</v>
      </c>
      <c r="L1533" s="4">
        <v>52.6</v>
      </c>
      <c r="M1533" s="6">
        <v>4.162534962811872</v>
      </c>
      <c r="N1533" s="5">
        <v>5.1999999999999998E-2</v>
      </c>
      <c r="O1533" s="5">
        <v>4.6548521440713149</v>
      </c>
      <c r="P1533" s="5">
        <v>4.6548521440713149</v>
      </c>
      <c r="Q1533" s="8">
        <v>0.20833333333333334</v>
      </c>
      <c r="R1533" s="8">
        <v>0.88541666666666663</v>
      </c>
      <c r="S1533" s="6">
        <f t="shared" si="69"/>
        <v>16.25</v>
      </c>
      <c r="T1533" s="5">
        <f t="shared" si="70"/>
        <v>0.28645243963515782</v>
      </c>
      <c r="U1533" s="3">
        <v>2.21</v>
      </c>
      <c r="V1533" s="5">
        <f t="shared" si="71"/>
        <v>0.12961648852269583</v>
      </c>
      <c r="W1533" s="3">
        <v>0.12961648852269583</v>
      </c>
    </row>
    <row r="1534" spans="1:23" x14ac:dyDescent="0.55000000000000004">
      <c r="A1534" s="3">
        <v>31</v>
      </c>
      <c r="B1534" s="3" t="s">
        <v>52</v>
      </c>
      <c r="C1534" s="3" t="s">
        <v>49</v>
      </c>
      <c r="D1534" s="3" t="s">
        <v>40</v>
      </c>
      <c r="E1534" s="3" t="s">
        <v>34</v>
      </c>
      <c r="F1534" s="3">
        <v>79</v>
      </c>
      <c r="G1534" s="4">
        <v>27.8</v>
      </c>
      <c r="H1534" s="4">
        <v>105.2</v>
      </c>
      <c r="I1534" s="6">
        <v>7.86565906376822</v>
      </c>
      <c r="J1534" s="5">
        <v>6.5000000000000002E-2</v>
      </c>
      <c r="K1534" s="4">
        <v>24.6</v>
      </c>
      <c r="L1534" s="4">
        <v>40.200000000000003</v>
      </c>
      <c r="M1534" s="6">
        <v>3.1872113899568086</v>
      </c>
      <c r="N1534" s="5">
        <v>6.7000000000000004E-2</v>
      </c>
      <c r="O1534" s="5">
        <v>4.6784476738114114</v>
      </c>
      <c r="P1534" s="5">
        <v>4.6784476738114114</v>
      </c>
      <c r="Q1534" s="8">
        <v>0.20833333333333334</v>
      </c>
      <c r="R1534" s="8">
        <v>0.88541666666666663</v>
      </c>
      <c r="S1534" s="6">
        <f t="shared" si="69"/>
        <v>16.25</v>
      </c>
      <c r="T1534" s="5">
        <f t="shared" si="70"/>
        <v>0.2879044722345484</v>
      </c>
      <c r="U1534" s="3">
        <v>2.21</v>
      </c>
      <c r="V1534" s="5">
        <f t="shared" si="71"/>
        <v>0.13027351684821195</v>
      </c>
      <c r="W1534" s="3">
        <v>0.13027351684821195</v>
      </c>
    </row>
    <row r="1535" spans="1:23" x14ac:dyDescent="0.55000000000000004">
      <c r="A1535" s="3">
        <v>24</v>
      </c>
      <c r="B1535" s="3" t="s">
        <v>52</v>
      </c>
      <c r="C1535" s="3" t="s">
        <v>49</v>
      </c>
      <c r="D1535" s="3" t="s">
        <v>40</v>
      </c>
      <c r="E1535" s="3" t="s">
        <v>32</v>
      </c>
      <c r="F1535" s="3">
        <v>72</v>
      </c>
      <c r="G1535" s="4">
        <v>29.5</v>
      </c>
      <c r="H1535" s="4">
        <v>110.8</v>
      </c>
      <c r="I1535" s="6">
        <v>8.0382804780515489</v>
      </c>
      <c r="J1535" s="5">
        <v>5.0999999999999997E-2</v>
      </c>
      <c r="K1535" s="4">
        <v>24.9</v>
      </c>
      <c r="L1535" s="4">
        <v>39.700000000000003</v>
      </c>
      <c r="M1535" s="6">
        <v>3.12997368111875</v>
      </c>
      <c r="N1535" s="5">
        <v>4.4999999999999998E-2</v>
      </c>
      <c r="O1535" s="5">
        <v>4.9083067969327985</v>
      </c>
      <c r="P1535" s="5">
        <v>4.9083067969327985</v>
      </c>
      <c r="Q1535" s="8">
        <v>0.20833333333333334</v>
      </c>
      <c r="R1535" s="8">
        <v>0.88541666666666663</v>
      </c>
      <c r="S1535" s="6">
        <f t="shared" si="69"/>
        <v>16.25</v>
      </c>
      <c r="T1535" s="5">
        <f t="shared" si="70"/>
        <v>0.30204964904201836</v>
      </c>
      <c r="U1535" s="3">
        <v>2.21</v>
      </c>
      <c r="V1535" s="5">
        <f t="shared" si="71"/>
        <v>0.1366740493402798</v>
      </c>
      <c r="W1535" s="3">
        <v>0.1366740493402798</v>
      </c>
    </row>
    <row r="1536" spans="1:23" x14ac:dyDescent="0.55000000000000004">
      <c r="A1536" s="3">
        <v>31</v>
      </c>
      <c r="B1536" s="3" t="s">
        <v>52</v>
      </c>
      <c r="C1536" s="3" t="s">
        <v>49</v>
      </c>
      <c r="D1536" s="3" t="s">
        <v>40</v>
      </c>
      <c r="E1536" s="3" t="s">
        <v>32</v>
      </c>
      <c r="F1536" s="3">
        <v>72</v>
      </c>
      <c r="G1536" s="4">
        <v>28.3</v>
      </c>
      <c r="H1536" s="4">
        <v>135.4</v>
      </c>
      <c r="I1536" s="6">
        <v>10.033587560403419</v>
      </c>
      <c r="J1536" s="5">
        <v>6.0999999999999999E-2</v>
      </c>
      <c r="K1536" s="4">
        <v>24</v>
      </c>
      <c r="L1536" s="4">
        <v>63.5</v>
      </c>
      <c r="M1536" s="6">
        <v>5.0916467446070151</v>
      </c>
      <c r="N1536" s="5">
        <v>5.6000000000000001E-2</v>
      </c>
      <c r="O1536" s="5">
        <v>4.9419408157964035</v>
      </c>
      <c r="P1536" s="5">
        <v>4.9419408157964035</v>
      </c>
      <c r="Q1536" s="8">
        <v>0.20833333333333334</v>
      </c>
      <c r="R1536" s="8">
        <v>0.88541666666666663</v>
      </c>
      <c r="S1536" s="6">
        <f t="shared" si="69"/>
        <v>16.25</v>
      </c>
      <c r="T1536" s="5">
        <f t="shared" si="70"/>
        <v>0.30411943481824022</v>
      </c>
      <c r="U1536" s="3">
        <v>2.21</v>
      </c>
      <c r="V1536" s="5">
        <f t="shared" si="71"/>
        <v>0.13761060399015393</v>
      </c>
      <c r="W1536" s="3">
        <v>0.13761060399015393</v>
      </c>
    </row>
    <row r="1537" spans="1:23" x14ac:dyDescent="0.55000000000000004">
      <c r="A1537" s="3">
        <v>26</v>
      </c>
      <c r="B1537" s="3" t="s">
        <v>52</v>
      </c>
      <c r="C1537" s="3" t="s">
        <v>50</v>
      </c>
      <c r="D1537" s="3" t="s">
        <v>12</v>
      </c>
      <c r="E1537" s="3" t="s">
        <v>32</v>
      </c>
      <c r="F1537" s="3">
        <v>72</v>
      </c>
      <c r="G1537" s="4">
        <v>29.5</v>
      </c>
      <c r="H1537" s="4">
        <v>106.5</v>
      </c>
      <c r="I1537" s="6">
        <v>7.7263255497517154</v>
      </c>
      <c r="J1537" s="5">
        <v>3.9E-2</v>
      </c>
      <c r="K1537" s="4">
        <v>25.2</v>
      </c>
      <c r="L1537" s="4">
        <v>28.8</v>
      </c>
      <c r="M1537" s="6">
        <v>2.2579694368341787</v>
      </c>
      <c r="N1537" s="5">
        <v>3.5000000000000003E-2</v>
      </c>
      <c r="O1537" s="5">
        <v>5.4683561129175366</v>
      </c>
      <c r="P1537" s="5">
        <v>5.4683561129175366</v>
      </c>
      <c r="Q1537" s="8">
        <v>0.20833333333333334</v>
      </c>
      <c r="R1537" s="8">
        <v>0.88541666666666663</v>
      </c>
      <c r="S1537" s="6">
        <f t="shared" si="69"/>
        <v>16.25</v>
      </c>
      <c r="T1537" s="5">
        <f t="shared" si="70"/>
        <v>0.33651422233338685</v>
      </c>
      <c r="U1537" s="3">
        <v>2.21</v>
      </c>
      <c r="V1537" s="5">
        <f t="shared" si="71"/>
        <v>0.15226887888388546</v>
      </c>
      <c r="W1537" s="3">
        <v>0.15226887888388546</v>
      </c>
    </row>
  </sheetData>
  <sortState xmlns:xlrd2="http://schemas.microsoft.com/office/spreadsheetml/2017/richdata2" ref="A2:W1537">
    <sortCondition ref="W2:W1537"/>
  </sortState>
  <phoneticPr fontId="2" type="noConversion"/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YSI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Krista Ward</dc:creator>
  <cp:keywords/>
  <dc:description/>
  <cp:lastModifiedBy>Krista Ward</cp:lastModifiedBy>
  <cp:revision/>
  <dcterms:created xsi:type="dcterms:W3CDTF">2021-05-26T13:39:37Z</dcterms:created>
  <dcterms:modified xsi:type="dcterms:W3CDTF">2023-06-25T17:56:15Z</dcterms:modified>
  <cp:category/>
  <cp:contentStatus/>
</cp:coreProperties>
</file>