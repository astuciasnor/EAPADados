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vantamento_conjuntos" sheetId="1" state="visible" r:id="rId3"/>
    <sheet name="pacotes_suggests" sheetId="2" state="visible" r:id="rId4"/>
  </sheets>
  <definedNames>
    <definedName function="false" hidden="true" localSheetId="0" name="_xlnm._FilterDatabase" vbProcedure="false">levantamento_conjuntos!$A$1:$L$83</definedName>
    <definedName function="false" hidden="true" localSheetId="1" name="_xlnm._FilterDatabase" vbProcedure="false">pacotes_suggests!$A$1:$E$19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<sst xmlns="http://schemas.openxmlformats.org/spreadsheetml/2006/main" count="743" uniqueCount="369">
  <si>
    <t xml:space="preserve">id</t>
  </si>
  <si>
    <t xml:space="preserve">modulo</t>
  </si>
  <si>
    <t xml:space="preserve">analise</t>
  </si>
  <si>
    <t xml:space="preserve">pacote</t>
  </si>
  <si>
    <t xml:space="preserve">conjunto</t>
  </si>
  <si>
    <t xml:space="preserve">comando</t>
  </si>
  <si>
    <t xml:space="preserve">n_obs</t>
  </si>
  <si>
    <t xml:space="preserve">area</t>
  </si>
  <si>
    <t xml:space="preserve">ajuste_necessario</t>
  </si>
  <si>
    <t xml:space="preserve">observacao</t>
  </si>
  <si>
    <t xml:space="preserve">situacao</t>
  </si>
  <si>
    <t xml:space="preserve">avaliacao_professor</t>
  </si>
  <si>
    <t xml:space="preserve">Planejamento</t>
  </si>
  <si>
    <t xml:space="preserve">DIC</t>
  </si>
  <si>
    <t xml:space="preserve">datasets</t>
  </si>
  <si>
    <t xml:space="preserve">PlantGrowth</t>
  </si>
  <si>
    <t xml:space="preserve">datasets::PlantGrowth</t>
  </si>
  <si>
    <t xml:space="preserve">Agrícola</t>
  </si>
  <si>
    <t xml:space="preserve">Renomear grupos (ctrl, trt1, trt2)</t>
  </si>
  <si>
    <t xml:space="preserve">3 tratamentos com 10 repetições</t>
  </si>
  <si>
    <t xml:space="preserve">Pronto no pacote</t>
  </si>
  <si>
    <t xml:space="preserve">DBC com fatorial 2³</t>
  </si>
  <si>
    <t xml:space="preserve">npk</t>
  </si>
  <si>
    <t xml:space="preserve">datasets::npk</t>
  </si>
  <si>
    <t xml:space="preserve">Nomes N, P, K pouco claros; rendimento em lb/parcela</t>
  </si>
  <si>
    <t xml:space="preserve">6 blocos</t>
  </si>
  <si>
    <t xml:space="preserve">Requer adaptação</t>
  </si>
  <si>
    <t xml:space="preserve">Parcelas subdivididas</t>
  </si>
  <si>
    <t xml:space="preserve">MASS</t>
  </si>
  <si>
    <t xml:space="preserve">oats</t>
  </si>
  <si>
    <t xml:space="preserve">MASS::oats</t>
  </si>
  <si>
    <t xml:space="preserve">Yates: variedade na parcela e nitrogênio na subparcela, 6 blocos</t>
  </si>
  <si>
    <t xml:space="preserve">Quadrado latino</t>
  </si>
  <si>
    <t xml:space="preserve">agridat</t>
  </si>
  <si>
    <t xml:space="preserve">cochran.latin (procurar 'latin')</t>
  </si>
  <si>
    <t xml:space="preserve">Conferir nome e estrutura</t>
  </si>
  <si>
    <t xml:space="preserve">O pacote reúne vários quadrados latinos</t>
  </si>
  <si>
    <t xml:space="preserve">Conferir no pacote</t>
  </si>
  <si>
    <t xml:space="preserve">Fatorial de dois fatores</t>
  </si>
  <si>
    <t xml:space="preserve">ToothGrowth</t>
  </si>
  <si>
    <t xml:space="preserve">datasets::ToothGrowth</t>
  </si>
  <si>
    <t xml:space="preserve">Biomédico</t>
  </si>
  <si>
    <t xml:space="preserve">Dose × suplemento</t>
  </si>
  <si>
    <t xml:space="preserve">Longitudinal</t>
  </si>
  <si>
    <t xml:space="preserve">ChickWeight</t>
  </si>
  <si>
    <t xml:space="preserve">datasets::ChickWeight</t>
  </si>
  <si>
    <t xml:space="preserve">Zootecnia</t>
  </si>
  <si>
    <t xml:space="preserve">Peso em g</t>
  </si>
  <si>
    <t xml:space="preserve">4 dietas, pesagens ao longo do tempo</t>
  </si>
  <si>
    <t xml:space="preserve">Gradiente</t>
  </si>
  <si>
    <t xml:space="preserve">ade4</t>
  </si>
  <si>
    <t xml:space="preserve">doubs</t>
  </si>
  <si>
    <t xml:space="preserve">ade4::doubs</t>
  </si>
  <si>
    <t xml:space="preserve">Peixes de rio</t>
  </si>
  <si>
    <t xml:space="preserve">Lista com fish, env e xy; converter em tibbles</t>
  </si>
  <si>
    <t xml:space="preserve">30 estações da nascente à foz do rio Doubs</t>
  </si>
  <si>
    <t xml:space="preserve">Transversal</t>
  </si>
  <si>
    <t xml:space="preserve">palmerpenguins</t>
  </si>
  <si>
    <t xml:space="preserve">penguins</t>
  </si>
  <si>
    <t xml:space="preserve">palmerpenguins::penguins</t>
  </si>
  <si>
    <t xml:space="preserve">Ecologia marinha</t>
  </si>
  <si>
    <t xml:space="preserve">3 espécies em 3 ilhas</t>
  </si>
  <si>
    <t xml:space="preserve">BACI</t>
  </si>
  <si>
    <t xml:space="preserve">(publicação do professor)</t>
  </si>
  <si>
    <t xml:space="preserve">a definir</t>
  </si>
  <si>
    <t xml:space="preserve">Pesqueiro</t>
  </si>
  <si>
    <t xml:space="preserve">Professor trará publicação; emon::power.BACI serve para poder do delineamento</t>
  </si>
  <si>
    <t xml:space="preserve">Buscar na literatura</t>
  </si>
  <si>
    <t xml:space="preserve">Monitoramento</t>
  </si>
  <si>
    <t xml:space="preserve">FSAdata</t>
  </si>
  <si>
    <t xml:space="preserve">séries de recrutamento (help.search('Recruitment'))</t>
  </si>
  <si>
    <t xml:space="preserve">Escolher a série mais adequada</t>
  </si>
  <si>
    <t xml:space="preserve">Ficha de coleta</t>
  </si>
  <si>
    <t xml:space="preserve">RuffeSLRH92</t>
  </si>
  <si>
    <t xml:space="preserve">FSAdata::RuffeSLRH92</t>
  </si>
  <si>
    <t xml:space="preserve">Usar as colunas como modelo de ficha</t>
  </si>
  <si>
    <t xml:space="preserve">Data, comprimento, peso, sexo, maturidade</t>
  </si>
  <si>
    <t xml:space="preserve">Dimensionamento e amostragem</t>
  </si>
  <si>
    <t xml:space="preserve">Tamanho amostral para média (piloto)</t>
  </si>
  <si>
    <t xml:space="preserve">WhiteGrunt2</t>
  </si>
  <si>
    <t xml:space="preserve">FSAdata::WhiteGrunt2</t>
  </si>
  <si>
    <t xml:space="preserve">Pesqueiro (Brasil)</t>
  </si>
  <si>
    <t xml:space="preserve">Desvio padrão do comprimento</t>
  </si>
  <si>
    <t xml:space="preserve">Tamanho amostral para proporção (piloto)</t>
  </si>
  <si>
    <t xml:space="preserve">Cabezon</t>
  </si>
  <si>
    <t xml:space="preserve">FSAdata::Cabezon</t>
  </si>
  <si>
    <t xml:space="preserve">Proporção de fêmeas maduras</t>
  </si>
  <si>
    <t xml:space="preserve">Tamanho amostral para correlação (piloto)</t>
  </si>
  <si>
    <t xml:space="preserve">FSA</t>
  </si>
  <si>
    <t xml:space="preserve">ChinookArg</t>
  </si>
  <si>
    <t xml:space="preserve">FSA::ChinookArg</t>
  </si>
  <si>
    <t xml:space="preserve">Correlação peso × comprimento</t>
  </si>
  <si>
    <t xml:space="preserve">Estratificada proporcional</t>
  </si>
  <si>
    <t xml:space="preserve">Estratos por espécie ou ilha</t>
  </si>
  <si>
    <t xml:space="preserve">Sistemática</t>
  </si>
  <si>
    <t xml:space="preserve">Converter em tibble</t>
  </si>
  <si>
    <t xml:space="preserve">Estações em sequência ao longo do rio</t>
  </si>
  <si>
    <t xml:space="preserve">Conglomerados</t>
  </si>
  <si>
    <t xml:space="preserve">BGHRsample + BGHRfish</t>
  </si>
  <si>
    <t xml:space="preserve">Peixes dentro de amostras</t>
  </si>
  <si>
    <t xml:space="preserve">Preparação dos dados</t>
  </si>
  <si>
    <t xml:space="preserve">Importar Excel</t>
  </si>
  <si>
    <t xml:space="preserve">readxl</t>
  </si>
  <si>
    <t xml:space="preserve">readxl_example('datasets.xlsx')</t>
  </si>
  <si>
    <t xml:space="preserve">Geral</t>
  </si>
  <si>
    <t xml:space="preserve">Arquivo com várias abas</t>
  </si>
  <si>
    <t xml:space="preserve">Alargar</t>
  </si>
  <si>
    <t xml:space="preserve">tidyr</t>
  </si>
  <si>
    <t xml:space="preserve">fish_encounters</t>
  </si>
  <si>
    <t xml:space="preserve">tidyr::fish_encounters</t>
  </si>
  <si>
    <t xml:space="preserve">Pesqueiro (telemetria)</t>
  </si>
  <si>
    <t xml:space="preserve">Detecções de peixes marcados; ausências implícitas, usar values_fill = 0</t>
  </si>
  <si>
    <t xml:space="preserve">Empilhar e separar colunas</t>
  </si>
  <si>
    <t xml:space="preserve">who2</t>
  </si>
  <si>
    <t xml:space="preserve">tidyr::who2</t>
  </si>
  <si>
    <t xml:space="preserve">Saúde</t>
  </si>
  <si>
    <t xml:space="preserve">Nomes de colunas codificam diagnóstico, sexo e idade</t>
  </si>
  <si>
    <t xml:space="preserve">Empilhar</t>
  </si>
  <si>
    <t xml:space="preserve">billboard</t>
  </si>
  <si>
    <t xml:space="preserve">tidyr::billboard</t>
  </si>
  <si>
    <t xml:space="preserve">Música</t>
  </si>
  <si>
    <t xml:space="preserve">Semanas espalhadas em colunas</t>
  </si>
  <si>
    <t xml:space="preserve">Renomear, ajustar tipos, ausências e texto</t>
  </si>
  <si>
    <t xml:space="preserve">penguins_raw</t>
  </si>
  <si>
    <t xml:space="preserve">palmerpenguins::penguins_raw</t>
  </si>
  <si>
    <t xml:space="preserve">Nomes com espaços e parênteses, textos longos</t>
  </si>
  <si>
    <t xml:space="preserve">Junções e esforço</t>
  </si>
  <si>
    <t xml:space="preserve">Esforço em minutos por amostra</t>
  </si>
  <si>
    <t xml:space="preserve">Criar fator ordenado</t>
  </si>
  <si>
    <t xml:space="preserve">11 estádios de maturidade em texto</t>
  </si>
  <si>
    <t xml:space="preserve">Duplicatas</t>
  </si>
  <si>
    <t xml:space="preserve">(simular)</t>
  </si>
  <si>
    <t xml:space="preserve">a partir de WhiteGrunt2</t>
  </si>
  <si>
    <t xml:space="preserve">Inserir duplicatas propositalmente</t>
  </si>
  <si>
    <t xml:space="preserve">Simular</t>
  </si>
  <si>
    <t xml:space="preserve">Exploração e gráficos</t>
  </si>
  <si>
    <t xml:space="preserve">Resumos, histogramas, boxplots</t>
  </si>
  <si>
    <t xml:space="preserve">Comprimento por sexo e idade</t>
  </si>
  <si>
    <t xml:space="preserve">Ausências e valores extremos</t>
  </si>
  <si>
    <t xml:space="preserve">airquality</t>
  </si>
  <si>
    <t xml:space="preserve">datasets::airquality</t>
  </si>
  <si>
    <t xml:space="preserve">Ambiental</t>
  </si>
  <si>
    <t xml:space="preserve">Unidades imperiais (°F, mph)</t>
  </si>
  <si>
    <t xml:space="preserve">Ozônio com muitos NA</t>
  </si>
  <si>
    <t xml:space="preserve">Comparação de transformações</t>
  </si>
  <si>
    <t xml:space="preserve">doubs (env)</t>
  </si>
  <si>
    <t xml:space="preserve">Variáveis ambientais assimétricas</t>
  </si>
  <si>
    <t xml:space="preserve">Dispersão e escala log</t>
  </si>
  <si>
    <t xml:space="preserve">Peso × comprimento por local</t>
  </si>
  <si>
    <t xml:space="preserve">Violinos, matriz de dispersão e correlações</t>
  </si>
  <si>
    <t xml:space="preserve">Frequências e proporções</t>
  </si>
  <si>
    <t xml:space="preserve">Uma proporção</t>
  </si>
  <si>
    <t xml:space="preserve">Proporção de maduras</t>
  </si>
  <si>
    <t xml:space="preserve">Duas proporções independentes</t>
  </si>
  <si>
    <t xml:space="preserve">UCBAdmissions</t>
  </si>
  <si>
    <t xml:space="preserve">datasets::UCBAdmissions</t>
  </si>
  <si>
    <t xml:space="preserve">tabela</t>
  </si>
  <si>
    <t xml:space="preserve">Educação</t>
  </si>
  <si>
    <t xml:space="preserve">Converter tabela 3D em data frame</t>
  </si>
  <si>
    <t xml:space="preserve">Admissão por sexo; paradoxo de Simpson</t>
  </si>
  <si>
    <t xml:space="preserve">Qui-quadrado de aderência</t>
  </si>
  <si>
    <t xml:space="preserve">Proporção sexual 1:1</t>
  </si>
  <si>
    <t xml:space="preserve">Qui-quadrado de independência</t>
  </si>
  <si>
    <t xml:space="preserve">Maturidade × sexo</t>
  </si>
  <si>
    <t xml:space="preserve">HairEyeColor</t>
  </si>
  <si>
    <t xml:space="preserve">datasets::HairEyeColor</t>
  </si>
  <si>
    <t xml:space="preserve">Tabela clássica</t>
  </si>
  <si>
    <t xml:space="preserve">McNemar</t>
  </si>
  <si>
    <t xml:space="preserve">WhitefishLC</t>
  </si>
  <si>
    <t xml:space="preserve">FSA::WhitefishLC</t>
  </si>
  <si>
    <t xml:space="preserve">Dicotomizar idades (ex.: ≥ 5 anos) por escama e por otólito</t>
  </si>
  <si>
    <t xml:space="preserve">Mesmo peixe lido em duas estruturas</t>
  </si>
  <si>
    <t xml:space="preserve">Testes paramétricos</t>
  </si>
  <si>
    <t xml:space="preserve">t de uma amostra</t>
  </si>
  <si>
    <t xml:space="preserve">Comparar comprimento médio com valor de referência</t>
  </si>
  <si>
    <t xml:space="preserve">t independentes</t>
  </si>
  <si>
    <t xml:space="preserve">Comprimento por sexo</t>
  </si>
  <si>
    <t xml:space="preserve">t pareado</t>
  </si>
  <si>
    <t xml:space="preserve">sleep</t>
  </si>
  <si>
    <t xml:space="preserve">datasets::sleep</t>
  </si>
  <si>
    <t xml:space="preserve">Clássico de Student</t>
  </si>
  <si>
    <t xml:space="preserve">Idade por escama × otólito no mesmo peixe</t>
  </si>
  <si>
    <t xml:space="preserve">ANOVA de um fator</t>
  </si>
  <si>
    <t xml:space="preserve">ANOVA de dois fatores</t>
  </si>
  <si>
    <t xml:space="preserve">warpbreaks</t>
  </si>
  <si>
    <t xml:space="preserve">datasets::warpbreaks</t>
  </si>
  <si>
    <t xml:space="preserve">Industrial</t>
  </si>
  <si>
    <t xml:space="preserve">Lã × tensão</t>
  </si>
  <si>
    <t xml:space="preserve">ANOVA com subamostras</t>
  </si>
  <si>
    <t xml:space="preserve">lme4</t>
  </si>
  <si>
    <t xml:space="preserve">Pastes</t>
  </si>
  <si>
    <t xml:space="preserve">lme4::Pastes</t>
  </si>
  <si>
    <t xml:space="preserve">Amostras dentro de barris dentro de lotes</t>
  </si>
  <si>
    <t xml:space="preserve">ANOVA de medidas repetidas</t>
  </si>
  <si>
    <t xml:space="preserve">CO2</t>
  </si>
  <si>
    <t xml:space="preserve">datasets::CO2</t>
  </si>
  <si>
    <t xml:space="preserve">Botânica</t>
  </si>
  <si>
    <t xml:space="preserve">Absorção de CO2 em concentrações crescentes</t>
  </si>
  <si>
    <t xml:space="preserve">ANCOVA</t>
  </si>
  <si>
    <t xml:space="preserve">log(peso) ~ log(comprimento) × local</t>
  </si>
  <si>
    <t xml:space="preserve">Testes de variâncias</t>
  </si>
  <si>
    <t xml:space="preserve">InsectSprays</t>
  </si>
  <si>
    <t xml:space="preserve">datasets::InsectSprays</t>
  </si>
  <si>
    <t xml:space="preserve">Heterogeneidade evidente</t>
  </si>
  <si>
    <t xml:space="preserve">Não paramétricos</t>
  </si>
  <si>
    <t xml:space="preserve">Mann–Whitney</t>
  </si>
  <si>
    <t xml:space="preserve">Idade por sexo</t>
  </si>
  <si>
    <t xml:space="preserve">Wilcoxon pareado</t>
  </si>
  <si>
    <t xml:space="preserve">immer</t>
  </si>
  <si>
    <t xml:space="preserve">MASS::immer</t>
  </si>
  <si>
    <t xml:space="preserve">Rendimento de cevada em 1931 × 1932</t>
  </si>
  <si>
    <t xml:space="preserve">Kruskal–Wallis com Dunn</t>
  </si>
  <si>
    <t xml:space="preserve">Dunn com FSA::dunnTest()</t>
  </si>
  <si>
    <t xml:space="preserve">Friedman</t>
  </si>
  <si>
    <t xml:space="preserve">Empilhar as três estruturas</t>
  </si>
  <si>
    <t xml:space="preserve">Idade por escama, raio de nadadeira e otólito; bloco = peixe</t>
  </si>
  <si>
    <t xml:space="preserve">Friedman (sensorial)</t>
  </si>
  <si>
    <t xml:space="preserve">ClustBlock</t>
  </si>
  <si>
    <t xml:space="preserve">fish</t>
  </si>
  <si>
    <t xml:space="preserve">ClustBlock::fish</t>
  </si>
  <si>
    <t xml:space="preserve">Sensorial de pescado</t>
  </si>
  <si>
    <t xml:space="preserve">Dados CATA (marca/não marca); agregar por provador × produto</t>
  </si>
  <si>
    <t xml:space="preserve">Conferir se há notas ordinais</t>
  </si>
  <si>
    <t xml:space="preserve">SensoMineR</t>
  </si>
  <si>
    <t xml:space="preserve">chocolates (sensochoc)</t>
  </si>
  <si>
    <t xml:space="preserve">Sensorial (não pescado)</t>
  </si>
  <si>
    <t xml:space="preserve">Provadores × produtos com notas</t>
  </si>
  <si>
    <t xml:space="preserve">(literatura)</t>
  </si>
  <si>
    <t xml:space="preserve">mingau com pó de peixe, Zâmbia</t>
  </si>
  <si>
    <t xml:space="preserve">Verificar disponibilidade dos dados</t>
  </si>
  <si>
    <t xml:space="preserve">Front. Nutr. 2026, doi:10.3389/fnut.2026.1839118; usou Friedman</t>
  </si>
  <si>
    <t xml:space="preserve">Correlação e regressão</t>
  </si>
  <si>
    <t xml:space="preserve">Pearson, Spearman e Kendall</t>
  </si>
  <si>
    <t xml:space="preserve">Idade × comprimento</t>
  </si>
  <si>
    <t xml:space="preserve">Spearman e Kendall</t>
  </si>
  <si>
    <t xml:space="preserve">nsm3data</t>
  </si>
  <si>
    <t xml:space="preserve">tuna</t>
  </si>
  <si>
    <t xml:space="preserve">nsm3data::tuna</t>
  </si>
  <si>
    <t xml:space="preserve">Atum enlatado: luminosidade (Hunter L) × nota do painel</t>
  </si>
  <si>
    <t xml:space="preserve">Regressão linear simples</t>
  </si>
  <si>
    <t xml:space="preserve">Forma log-log</t>
  </si>
  <si>
    <t xml:space="preserve">Logística binária</t>
  </si>
  <si>
    <t xml:space="preserve">Maturidade ~ comprimento</t>
  </si>
  <si>
    <t xml:space="preserve">YERockfish</t>
  </si>
  <si>
    <t xml:space="preserve">FSAdata::YERockfish</t>
  </si>
  <si>
    <t xml:space="preserve">Maturidade ~ comprimento ou idade</t>
  </si>
  <si>
    <t xml:space="preserve">Poisson</t>
  </si>
  <si>
    <t xml:space="preserve">Contagem de quebras</t>
  </si>
  <si>
    <t xml:space="preserve">Binomial negativa</t>
  </si>
  <si>
    <t xml:space="preserve">quine</t>
  </si>
  <si>
    <t xml:space="preserve">MASS::quine</t>
  </si>
  <si>
    <t xml:space="preserve">Dias de falta, superdispersão</t>
  </si>
  <si>
    <t xml:space="preserve">Contagem com offset</t>
  </si>
  <si>
    <t xml:space="preserve">Insurance</t>
  </si>
  <si>
    <t xml:space="preserve">MASS::Insurance</t>
  </si>
  <si>
    <t xml:space="preserve">Seguros</t>
  </si>
  <si>
    <t xml:space="preserve">offset(log(Holders))</t>
  </si>
  <si>
    <t xml:space="preserve">Contagem com offset (esforço)</t>
  </si>
  <si>
    <t xml:space="preserve">FESta</t>
  </si>
  <si>
    <t xml:space="preserve">conjuntos de padronização de CPUE</t>
  </si>
  <si>
    <t xml:space="preserve">Pesqueiro (simulado)</t>
  </si>
  <si>
    <t xml:space="preserve">Conferir nomes dos conjuntos</t>
  </si>
  <si>
    <t xml:space="preserve">Captura, esforço e covariáveis ambientais</t>
  </si>
  <si>
    <t xml:space="preserve">Curvas e crescimento</t>
  </si>
  <si>
    <t xml:space="preserve">von Bertalanffy</t>
  </si>
  <si>
    <t xml:space="preserve">SpotVA1</t>
  </si>
  <si>
    <t xml:space="preserve">FSA::SpotVA1</t>
  </si>
  <si>
    <t xml:space="preserve">Comprimento em polegadas: converter para cm</t>
  </si>
  <si>
    <t xml:space="preserve">von Bertalanffy por sexo</t>
  </si>
  <si>
    <t xml:space="preserve">Araujo e Martins (2007)</t>
  </si>
  <si>
    <t xml:space="preserve">Potência/alometria</t>
  </si>
  <si>
    <t xml:space="preserve">Peso × comprimento</t>
  </si>
  <si>
    <t xml:space="preserve">Crescimento logístico</t>
  </si>
  <si>
    <t xml:space="preserve">carData</t>
  </si>
  <si>
    <t xml:space="preserve">USPop</t>
  </si>
  <si>
    <t xml:space="preserve">carData::USPop</t>
  </si>
  <si>
    <t xml:space="preserve">Demografia</t>
  </si>
  <si>
    <t xml:space="preserve">População dos EUA por década</t>
  </si>
  <si>
    <t xml:space="preserve">Exponencial</t>
  </si>
  <si>
    <t xml:space="preserve">wtloss</t>
  </si>
  <si>
    <t xml:space="preserve">MASS::wtloss</t>
  </si>
  <si>
    <t xml:space="preserve">Peso em kg</t>
  </si>
  <si>
    <t xml:space="preserve">Perda de peso ao longo dos dias</t>
  </si>
  <si>
    <t xml:space="preserve">Quadrático</t>
  </si>
  <si>
    <t xml:space="preserve">cars</t>
  </si>
  <si>
    <t xml:space="preserve">datasets::cars</t>
  </si>
  <si>
    <t xml:space="preserve">Unidades imperiais (mph, ft)</t>
  </si>
  <si>
    <t xml:space="preserve">Distância de frenagem × velocidade</t>
  </si>
  <si>
    <t xml:space="preserve">Logarítmico</t>
  </si>
  <si>
    <t xml:space="preserve">Buscar em artigos científicos</t>
  </si>
  <si>
    <t xml:space="preserve">Séries temporais</t>
  </si>
  <si>
    <t xml:space="preserve">Decomposição, média móvel, ACF</t>
  </si>
  <si>
    <t xml:space="preserve">astsa</t>
  </si>
  <si>
    <t xml:space="preserve">rec</t>
  </si>
  <si>
    <t xml:space="preserve">astsa::rec</t>
  </si>
  <si>
    <t xml:space="preserve">Recrutamento mensal de peixes no Pacífico</t>
  </si>
  <si>
    <t xml:space="preserve">soi</t>
  </si>
  <si>
    <t xml:space="preserve">astsa::soi</t>
  </si>
  <si>
    <t xml:space="preserve">Oceanografia</t>
  </si>
  <si>
    <t xml:space="preserve">Índice de Oscilação Sul; par com rec</t>
  </si>
  <si>
    <t xml:space="preserve">Agregação e visualização</t>
  </si>
  <si>
    <t xml:space="preserve">nottem</t>
  </si>
  <si>
    <t xml:space="preserve">datasets::nottem</t>
  </si>
  <si>
    <t xml:space="preserve">Clima</t>
  </si>
  <si>
    <t xml:space="preserve">°F</t>
  </si>
  <si>
    <t xml:space="preserve">Temperatura mensal</t>
  </si>
  <si>
    <t xml:space="preserve">Visualização anual</t>
  </si>
  <si>
    <t xml:space="preserve">Nile</t>
  </si>
  <si>
    <t xml:space="preserve">datasets::Nile</t>
  </si>
  <si>
    <t xml:space="preserve">Hidrologia</t>
  </si>
  <si>
    <t xml:space="preserve">Vazão anual</t>
  </si>
  <si>
    <t xml:space="preserve">Multivariada</t>
  </si>
  <si>
    <t xml:space="preserve">PCA</t>
  </si>
  <si>
    <t xml:space="preserve">Agrupamento com Jaccard</t>
  </si>
  <si>
    <t xml:space="preserve">doubs (fish)</t>
  </si>
  <si>
    <t xml:space="preserve">Binarizar abundâncias</t>
  </si>
  <si>
    <t xml:space="preserve">vegan</t>
  </si>
  <si>
    <t xml:space="preserve">dune</t>
  </si>
  <si>
    <t xml:space="preserve">vegan::dune</t>
  </si>
  <si>
    <t xml:space="preserve">Ecologia vegetal</t>
  </si>
  <si>
    <t xml:space="preserve">Parcelas × espécies</t>
  </si>
  <si>
    <t xml:space="preserve">Mapas</t>
  </si>
  <si>
    <t xml:space="preserve">Pontos e bolhas proporcionais</t>
  </si>
  <si>
    <t xml:space="preserve">quakes</t>
  </si>
  <si>
    <t xml:space="preserve">datasets::quakes</t>
  </si>
  <si>
    <t xml:space="preserve">Geofísica</t>
  </si>
  <si>
    <t xml:space="preserve">Magnitude como tamanho da bolha</t>
  </si>
  <si>
    <t xml:space="preserve">Pontos por coordenadas</t>
  </si>
  <si>
    <t xml:space="preserve">doubs (xy)</t>
  </si>
  <si>
    <t xml:space="preserve">Coordenadas locais, não geográficas</t>
  </si>
  <si>
    <t xml:space="preserve">Coroplético por UF</t>
  </si>
  <si>
    <t xml:space="preserve">geobr + IBGE (SIDRA)</t>
  </si>
  <si>
    <t xml:space="preserve">read_state() + produção da aquicultura (PPM)</t>
  </si>
  <si>
    <t xml:space="preserve">27 UF</t>
  </si>
  <si>
    <t xml:space="preserve">Aquicultura (Brasil)</t>
  </si>
  <si>
    <t xml:space="preserve">Baixar e preparar dados do SIDRA</t>
  </si>
  <si>
    <t xml:space="preserve">Ensino e comunicação</t>
  </si>
  <si>
    <t xml:space="preserve">Simulações do TLC</t>
  </si>
  <si>
    <t xml:space="preserve">palmerpenguins / FSAdata</t>
  </si>
  <si>
    <t xml:space="preserve">penguins ou WhiteGrunt2</t>
  </si>
  <si>
    <t xml:space="preserve">Usar como população para sorteios</t>
  </si>
  <si>
    <t xml:space="preserve">n_conjuntos_na_lista</t>
  </si>
  <si>
    <t xml:space="preserve">vem_com_o_R</t>
  </si>
  <si>
    <t xml:space="preserve">indicacao_suggests_clara</t>
  </si>
  <si>
    <t xml:space="preserve">Não</t>
  </si>
  <si>
    <t xml:space="preserve">Sim</t>
  </si>
  <si>
    <t xml:space="preserve">Núcleo pesqueiro; leve, só dados</t>
  </si>
  <si>
    <t xml:space="preserve">Também traz dunnTest() e ageBias()</t>
  </si>
  <si>
    <t xml:space="preserve">Leve, muito usado no ensino</t>
  </si>
  <si>
    <t xml:space="preserve">doubs é o melhor conjunto de peixes de rio para gradiente e multivariada</t>
  </si>
  <si>
    <t xml:space="preserve">Já no tidyverse</t>
  </si>
  <si>
    <t xml:space="preserve">Provavelmente já em Imports</t>
  </si>
  <si>
    <t xml:space="preserve">rec e soi</t>
  </si>
  <si>
    <t xml:space="preserve">Sim (recomendado)</t>
  </si>
  <si>
    <t xml:space="preserve">Não precisa</t>
  </si>
  <si>
    <t xml:space="preserve">Já instalado com o R</t>
  </si>
  <si>
    <t xml:space="preserve">Sim (base)</t>
  </si>
  <si>
    <t xml:space="preserve">Já carregado com o R</t>
  </si>
  <si>
    <t xml:space="preserve">Avaliar</t>
  </si>
  <si>
    <t xml:space="preserve">Só para Pastes; pacote pesado</t>
  </si>
  <si>
    <t xml:space="preserve">Só para USPop</t>
  </si>
  <si>
    <t xml:space="preserve">Arquivo de exemplo embutido</t>
  </si>
  <si>
    <t xml:space="preserve">Pesado; doubs já cobre Jaccard</t>
  </si>
  <si>
    <t xml:space="preserve">Muitos delineamentos agronômicos; leve</t>
  </si>
  <si>
    <t xml:space="preserve">Só para tuna</t>
  </si>
  <si>
    <t xml:space="preserve">Pesado (depende de FactoMineR)</t>
  </si>
  <si>
    <t xml:space="preserve">Conferir antes</t>
  </si>
  <si>
    <t xml:space="preserve">geobr</t>
  </si>
  <si>
    <t xml:space="preserve">Depende de sf; melhor usar só na CatalyseR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</si>
</sst>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DD7EE"/>
        <bgColor rgb="FF99CCFF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F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34"/>
    <col collapsed="false" customWidth="true" hidden="false" outlineLevel="0" max="6" min="6" style="0" width="36"/>
    <col collapsed="false" customWidth="true" hidden="false" outlineLevel="0" max="7" min="7" style="0" width="9"/>
    <col collapsed="false" customWidth="true" hidden="false" outlineLevel="0" max="8" min="8" style="0" width="22"/>
    <col collapsed="false" customWidth="true" hidden="false" outlineLevel="0" max="9" min="9" style="0" width="38"/>
    <col collapsed="false" customWidth="true" hidden="false" outlineLevel="0" max="10" min="10" style="0" width="48"/>
    <col collapsed="false" customWidth="true" hidden="false" outlineLevel="0" max="11" min="11" style="0" width="20"/>
    <col collapsed="false" customWidth="true" hidden="false" outlineLevel="0" max="12" min="12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n">
        <v>30</v>
      </c>
      <c r="H2" s="2" t="s">
        <v>17</v>
      </c>
      <c r="I2" s="2" t="s">
        <v>18</v>
      </c>
      <c r="J2" s="2" t="s">
        <v>19</v>
      </c>
      <c r="K2" s="2" t="s">
        <v>20</v>
      </c>
      <c r="L2" s="2"/>
    </row>
    <row r="3" customFormat="false" ht="23.85" hidden="false" customHeight="false" outlineLevel="0" collapsed="false">
      <c r="A3" s="2" t="n">
        <v>2</v>
      </c>
      <c r="B3" s="2" t="s">
        <v>12</v>
      </c>
      <c r="C3" s="2" t="s">
        <v>21</v>
      </c>
      <c r="D3" s="2" t="s">
        <v>14</v>
      </c>
      <c r="E3" s="2" t="s">
        <v>22</v>
      </c>
      <c r="F3" s="2" t="s">
        <v>23</v>
      </c>
      <c r="G3" s="2" t="n">
        <v>24</v>
      </c>
      <c r="H3" s="2" t="s">
        <v>17</v>
      </c>
      <c r="I3" s="2" t="s">
        <v>24</v>
      </c>
      <c r="J3" s="2" t="s">
        <v>25</v>
      </c>
      <c r="K3" s="2" t="s">
        <v>26</v>
      </c>
      <c r="L3" s="2"/>
    </row>
    <row r="4" customFormat="false" ht="23.85" hidden="false" customHeight="false" outlineLevel="0" collapsed="false">
      <c r="A4" s="2" t="n">
        <v>3</v>
      </c>
      <c r="B4" s="2" t="s">
        <v>12</v>
      </c>
      <c r="C4" s="2" t="s">
        <v>27</v>
      </c>
      <c r="D4" s="2" t="s">
        <v>28</v>
      </c>
      <c r="E4" s="2" t="s">
        <v>29</v>
      </c>
      <c r="F4" s="2" t="s">
        <v>30</v>
      </c>
      <c r="G4" s="2" t="n">
        <v>72</v>
      </c>
      <c r="H4" s="2" t="s">
        <v>17</v>
      </c>
      <c r="I4" s="2"/>
      <c r="J4" s="2" t="s">
        <v>31</v>
      </c>
      <c r="K4" s="2" t="s">
        <v>20</v>
      </c>
      <c r="L4" s="2"/>
    </row>
    <row r="5" customFormat="false" ht="15" hidden="false" customHeight="false" outlineLevel="0" collapsed="false">
      <c r="A5" s="2" t="n">
        <v>4</v>
      </c>
      <c r="B5" s="2" t="s">
        <v>12</v>
      </c>
      <c r="C5" s="2" t="s">
        <v>32</v>
      </c>
      <c r="D5" s="2" t="s">
        <v>33</v>
      </c>
      <c r="E5" s="2" t="s">
        <v>34</v>
      </c>
      <c r="F5" s="2"/>
      <c r="G5" s="2"/>
      <c r="H5" s="2" t="s">
        <v>17</v>
      </c>
      <c r="I5" s="2" t="s">
        <v>35</v>
      </c>
      <c r="J5" s="2" t="s">
        <v>36</v>
      </c>
      <c r="K5" s="2" t="s">
        <v>37</v>
      </c>
      <c r="L5" s="2"/>
    </row>
    <row r="6" customFormat="false" ht="15" hidden="false" customHeight="false" outlineLevel="0" collapsed="false">
      <c r="A6" s="2" t="n">
        <v>5</v>
      </c>
      <c r="B6" s="2" t="s">
        <v>12</v>
      </c>
      <c r="C6" s="2" t="s">
        <v>38</v>
      </c>
      <c r="D6" s="2" t="s">
        <v>14</v>
      </c>
      <c r="E6" s="2" t="s">
        <v>39</v>
      </c>
      <c r="F6" s="2" t="s">
        <v>40</v>
      </c>
      <c r="G6" s="2" t="n">
        <v>60</v>
      </c>
      <c r="H6" s="2" t="s">
        <v>41</v>
      </c>
      <c r="I6" s="2"/>
      <c r="J6" s="2" t="s">
        <v>42</v>
      </c>
      <c r="K6" s="2" t="s">
        <v>20</v>
      </c>
      <c r="L6" s="2"/>
    </row>
    <row r="7" customFormat="false" ht="15" hidden="false" customHeight="false" outlineLevel="0" collapsed="false">
      <c r="A7" s="2" t="n">
        <v>6</v>
      </c>
      <c r="B7" s="2" t="s">
        <v>12</v>
      </c>
      <c r="C7" s="2" t="s">
        <v>43</v>
      </c>
      <c r="D7" s="2" t="s">
        <v>14</v>
      </c>
      <c r="E7" s="2" t="s">
        <v>44</v>
      </c>
      <c r="F7" s="2" t="s">
        <v>45</v>
      </c>
      <c r="G7" s="2" t="n">
        <v>578</v>
      </c>
      <c r="H7" s="2" t="s">
        <v>46</v>
      </c>
      <c r="I7" s="2" t="s">
        <v>47</v>
      </c>
      <c r="J7" s="2" t="s">
        <v>48</v>
      </c>
      <c r="K7" s="2" t="s">
        <v>20</v>
      </c>
      <c r="L7" s="2"/>
    </row>
    <row r="8" customFormat="false" ht="15" hidden="false" customHeight="false" outlineLevel="0" collapsed="false">
      <c r="A8" s="2" t="n">
        <v>7</v>
      </c>
      <c r="B8" s="2" t="s">
        <v>12</v>
      </c>
      <c r="C8" s="2" t="s">
        <v>49</v>
      </c>
      <c r="D8" s="2" t="s">
        <v>50</v>
      </c>
      <c r="E8" s="2" t="s">
        <v>51</v>
      </c>
      <c r="F8" s="2" t="s">
        <v>52</v>
      </c>
      <c r="G8" s="2" t="n">
        <v>30</v>
      </c>
      <c r="H8" s="2" t="s">
        <v>53</v>
      </c>
      <c r="I8" s="2" t="s">
        <v>54</v>
      </c>
      <c r="J8" s="2" t="s">
        <v>55</v>
      </c>
      <c r="K8" s="2" t="s">
        <v>26</v>
      </c>
      <c r="L8" s="2"/>
    </row>
    <row r="9" customFormat="false" ht="15" hidden="false" customHeight="false" outlineLevel="0" collapsed="false">
      <c r="A9" s="2" t="n">
        <v>8</v>
      </c>
      <c r="B9" s="2" t="s">
        <v>12</v>
      </c>
      <c r="C9" s="2" t="s">
        <v>56</v>
      </c>
      <c r="D9" s="2" t="s">
        <v>57</v>
      </c>
      <c r="E9" s="2" t="s">
        <v>58</v>
      </c>
      <c r="F9" s="2" t="s">
        <v>59</v>
      </c>
      <c r="G9" s="2" t="n">
        <v>344</v>
      </c>
      <c r="H9" s="2" t="s">
        <v>60</v>
      </c>
      <c r="I9" s="2"/>
      <c r="J9" s="2" t="s">
        <v>61</v>
      </c>
      <c r="K9" s="2" t="s">
        <v>20</v>
      </c>
      <c r="L9" s="2"/>
    </row>
    <row r="10" customFormat="false" ht="23.85" hidden="false" customHeight="false" outlineLevel="0" collapsed="false">
      <c r="A10" s="2" t="n">
        <v>9</v>
      </c>
      <c r="B10" s="2" t="s">
        <v>12</v>
      </c>
      <c r="C10" s="2" t="s">
        <v>62</v>
      </c>
      <c r="D10" s="2" t="s">
        <v>63</v>
      </c>
      <c r="E10" s="2" t="s">
        <v>64</v>
      </c>
      <c r="F10" s="2"/>
      <c r="G10" s="2"/>
      <c r="H10" s="2" t="s">
        <v>65</v>
      </c>
      <c r="I10" s="2"/>
      <c r="J10" s="2" t="s">
        <v>66</v>
      </c>
      <c r="K10" s="2" t="s">
        <v>67</v>
      </c>
      <c r="L10" s="2"/>
    </row>
    <row r="11" customFormat="false" ht="23.85" hidden="false" customHeight="false" outlineLevel="0" collapsed="false">
      <c r="A11" s="2" t="n">
        <v>10</v>
      </c>
      <c r="B11" s="2" t="s">
        <v>12</v>
      </c>
      <c r="C11" s="2" t="s">
        <v>68</v>
      </c>
      <c r="D11" s="2" t="s">
        <v>69</v>
      </c>
      <c r="E11" s="2" t="s">
        <v>70</v>
      </c>
      <c r="F11" s="2"/>
      <c r="G11" s="2"/>
      <c r="H11" s="2" t="s">
        <v>65</v>
      </c>
      <c r="I11" s="2" t="s">
        <v>71</v>
      </c>
      <c r="J11" s="2"/>
      <c r="K11" s="2" t="s">
        <v>37</v>
      </c>
      <c r="L11" s="2"/>
    </row>
    <row r="12" customFormat="false" ht="15" hidden="false" customHeight="false" outlineLevel="0" collapsed="false">
      <c r="A12" s="2" t="n">
        <v>11</v>
      </c>
      <c r="B12" s="2" t="s">
        <v>12</v>
      </c>
      <c r="C12" s="2" t="s">
        <v>72</v>
      </c>
      <c r="D12" s="2" t="s">
        <v>69</v>
      </c>
      <c r="E12" s="2" t="s">
        <v>73</v>
      </c>
      <c r="F12" s="2" t="s">
        <v>74</v>
      </c>
      <c r="G12" s="2"/>
      <c r="H12" s="2" t="s">
        <v>65</v>
      </c>
      <c r="I12" s="2" t="s">
        <v>75</v>
      </c>
      <c r="J12" s="2" t="s">
        <v>76</v>
      </c>
      <c r="K12" s="2" t="s">
        <v>26</v>
      </c>
      <c r="L12" s="2"/>
    </row>
    <row r="13" customFormat="false" ht="23.85" hidden="false" customHeight="false" outlineLevel="0" collapsed="false">
      <c r="A13" s="3" t="n">
        <v>12</v>
      </c>
      <c r="B13" s="3" t="s">
        <v>77</v>
      </c>
      <c r="C13" s="3" t="s">
        <v>78</v>
      </c>
      <c r="D13" s="3" t="s">
        <v>69</v>
      </c>
      <c r="E13" s="3" t="s">
        <v>79</v>
      </c>
      <c r="F13" s="3" t="s">
        <v>80</v>
      </c>
      <c r="G13" s="3" t="n">
        <v>465</v>
      </c>
      <c r="H13" s="3" t="s">
        <v>81</v>
      </c>
      <c r="I13" s="3"/>
      <c r="J13" s="3" t="s">
        <v>82</v>
      </c>
      <c r="K13" s="3" t="s">
        <v>20</v>
      </c>
      <c r="L13" s="3"/>
    </row>
    <row r="14" customFormat="false" ht="23.85" hidden="false" customHeight="false" outlineLevel="0" collapsed="false">
      <c r="A14" s="3" t="n">
        <v>13</v>
      </c>
      <c r="B14" s="3" t="s">
        <v>77</v>
      </c>
      <c r="C14" s="3" t="s">
        <v>83</v>
      </c>
      <c r="D14" s="3" t="s">
        <v>69</v>
      </c>
      <c r="E14" s="3" t="s">
        <v>84</v>
      </c>
      <c r="F14" s="3" t="s">
        <v>85</v>
      </c>
      <c r="G14" s="3" t="n">
        <v>525</v>
      </c>
      <c r="H14" s="3" t="s">
        <v>65</v>
      </c>
      <c r="I14" s="3"/>
      <c r="J14" s="3" t="s">
        <v>86</v>
      </c>
      <c r="K14" s="3" t="s">
        <v>20</v>
      </c>
      <c r="L14" s="3"/>
    </row>
    <row r="15" customFormat="false" ht="23.85" hidden="false" customHeight="false" outlineLevel="0" collapsed="false">
      <c r="A15" s="3" t="n">
        <v>14</v>
      </c>
      <c r="B15" s="3" t="s">
        <v>77</v>
      </c>
      <c r="C15" s="3" t="s">
        <v>87</v>
      </c>
      <c r="D15" s="3" t="s">
        <v>88</v>
      </c>
      <c r="E15" s="3" t="s">
        <v>89</v>
      </c>
      <c r="F15" s="3" t="s">
        <v>90</v>
      </c>
      <c r="G15" s="3"/>
      <c r="H15" s="3" t="s">
        <v>65</v>
      </c>
      <c r="I15" s="3"/>
      <c r="J15" s="3" t="s">
        <v>91</v>
      </c>
      <c r="K15" s="3" t="s">
        <v>20</v>
      </c>
      <c r="L15" s="3"/>
    </row>
    <row r="16" customFormat="false" ht="23.85" hidden="false" customHeight="false" outlineLevel="0" collapsed="false">
      <c r="A16" s="3" t="n">
        <v>15</v>
      </c>
      <c r="B16" s="3" t="s">
        <v>77</v>
      </c>
      <c r="C16" s="3" t="s">
        <v>92</v>
      </c>
      <c r="D16" s="3" t="s">
        <v>57</v>
      </c>
      <c r="E16" s="3" t="s">
        <v>58</v>
      </c>
      <c r="F16" s="3" t="s">
        <v>59</v>
      </c>
      <c r="G16" s="3" t="n">
        <v>344</v>
      </c>
      <c r="H16" s="3" t="s">
        <v>60</v>
      </c>
      <c r="I16" s="3"/>
      <c r="J16" s="3" t="s">
        <v>93</v>
      </c>
      <c r="K16" s="3" t="s">
        <v>20</v>
      </c>
      <c r="L16" s="3"/>
    </row>
    <row r="17" customFormat="false" ht="23.85" hidden="false" customHeight="false" outlineLevel="0" collapsed="false">
      <c r="A17" s="3" t="n">
        <v>16</v>
      </c>
      <c r="B17" s="3" t="s">
        <v>77</v>
      </c>
      <c r="C17" s="3" t="s">
        <v>94</v>
      </c>
      <c r="D17" s="3" t="s">
        <v>50</v>
      </c>
      <c r="E17" s="3" t="s">
        <v>51</v>
      </c>
      <c r="F17" s="3" t="s">
        <v>52</v>
      </c>
      <c r="G17" s="3" t="n">
        <v>30</v>
      </c>
      <c r="H17" s="3" t="s">
        <v>53</v>
      </c>
      <c r="I17" s="3" t="s">
        <v>95</v>
      </c>
      <c r="J17" s="3" t="s">
        <v>96</v>
      </c>
      <c r="K17" s="3" t="s">
        <v>26</v>
      </c>
      <c r="L17" s="3"/>
    </row>
    <row r="18" customFormat="false" ht="23.85" hidden="false" customHeight="false" outlineLevel="0" collapsed="false">
      <c r="A18" s="3" t="n">
        <v>17</v>
      </c>
      <c r="B18" s="3" t="s">
        <v>77</v>
      </c>
      <c r="C18" s="3" t="s">
        <v>97</v>
      </c>
      <c r="D18" s="3" t="s">
        <v>69</v>
      </c>
      <c r="E18" s="3" t="s">
        <v>98</v>
      </c>
      <c r="F18" s="3"/>
      <c r="G18" s="3"/>
      <c r="H18" s="3" t="s">
        <v>65</v>
      </c>
      <c r="I18" s="3"/>
      <c r="J18" s="3" t="s">
        <v>99</v>
      </c>
      <c r="K18" s="3" t="s">
        <v>20</v>
      </c>
      <c r="L18" s="3"/>
    </row>
    <row r="19" customFormat="false" ht="15" hidden="false" customHeight="false" outlineLevel="0" collapsed="false">
      <c r="A19" s="2" t="n">
        <v>18</v>
      </c>
      <c r="B19" s="2" t="s">
        <v>100</v>
      </c>
      <c r="C19" s="2" t="s">
        <v>101</v>
      </c>
      <c r="D19" s="2" t="s">
        <v>102</v>
      </c>
      <c r="E19" s="2" t="s">
        <v>103</v>
      </c>
      <c r="F19" s="2"/>
      <c r="G19" s="2"/>
      <c r="H19" s="2" t="s">
        <v>104</v>
      </c>
      <c r="I19" s="2"/>
      <c r="J19" s="2" t="s">
        <v>105</v>
      </c>
      <c r="K19" s="2" t="s">
        <v>20</v>
      </c>
      <c r="L19" s="2"/>
    </row>
    <row r="20" customFormat="false" ht="23.85" hidden="false" customHeight="false" outlineLevel="0" collapsed="false">
      <c r="A20" s="2" t="n">
        <v>19</v>
      </c>
      <c r="B20" s="2" t="s">
        <v>100</v>
      </c>
      <c r="C20" s="2" t="s">
        <v>106</v>
      </c>
      <c r="D20" s="2" t="s">
        <v>107</v>
      </c>
      <c r="E20" s="2" t="s">
        <v>108</v>
      </c>
      <c r="F20" s="2" t="s">
        <v>109</v>
      </c>
      <c r="G20" s="2" t="n">
        <v>114</v>
      </c>
      <c r="H20" s="2" t="s">
        <v>110</v>
      </c>
      <c r="I20" s="2"/>
      <c r="J20" s="2" t="s">
        <v>111</v>
      </c>
      <c r="K20" s="2" t="s">
        <v>20</v>
      </c>
      <c r="L20" s="2"/>
    </row>
    <row r="21" customFormat="false" ht="15" hidden="false" customHeight="false" outlineLevel="0" collapsed="false">
      <c r="A21" s="2" t="n">
        <v>20</v>
      </c>
      <c r="B21" s="2" t="s">
        <v>100</v>
      </c>
      <c r="C21" s="2" t="s">
        <v>112</v>
      </c>
      <c r="D21" s="2" t="s">
        <v>107</v>
      </c>
      <c r="E21" s="2" t="s">
        <v>113</v>
      </c>
      <c r="F21" s="2" t="s">
        <v>114</v>
      </c>
      <c r="G21" s="2"/>
      <c r="H21" s="2" t="s">
        <v>115</v>
      </c>
      <c r="I21" s="2"/>
      <c r="J21" s="2" t="s">
        <v>116</v>
      </c>
      <c r="K21" s="2" t="s">
        <v>20</v>
      </c>
      <c r="L21" s="2"/>
    </row>
    <row r="22" customFormat="false" ht="15" hidden="false" customHeight="false" outlineLevel="0" collapsed="false">
      <c r="A22" s="2" t="n">
        <v>21</v>
      </c>
      <c r="B22" s="2" t="s">
        <v>100</v>
      </c>
      <c r="C22" s="2" t="s">
        <v>117</v>
      </c>
      <c r="D22" s="2" t="s">
        <v>107</v>
      </c>
      <c r="E22" s="2" t="s">
        <v>118</v>
      </c>
      <c r="F22" s="2" t="s">
        <v>119</v>
      </c>
      <c r="G22" s="2" t="n">
        <v>317</v>
      </c>
      <c r="H22" s="2" t="s">
        <v>120</v>
      </c>
      <c r="I22" s="2"/>
      <c r="J22" s="2" t="s">
        <v>121</v>
      </c>
      <c r="K22" s="2" t="s">
        <v>20</v>
      </c>
      <c r="L22" s="2"/>
    </row>
    <row r="23" customFormat="false" ht="23.85" hidden="false" customHeight="false" outlineLevel="0" collapsed="false">
      <c r="A23" s="2" t="n">
        <v>22</v>
      </c>
      <c r="B23" s="2" t="s">
        <v>100</v>
      </c>
      <c r="C23" s="2" t="s">
        <v>122</v>
      </c>
      <c r="D23" s="2" t="s">
        <v>57</v>
      </c>
      <c r="E23" s="2" t="s">
        <v>123</v>
      </c>
      <c r="F23" s="2" t="s">
        <v>124</v>
      </c>
      <c r="G23" s="2" t="n">
        <v>344</v>
      </c>
      <c r="H23" s="2" t="s">
        <v>60</v>
      </c>
      <c r="I23" s="2"/>
      <c r="J23" s="2" t="s">
        <v>125</v>
      </c>
      <c r="K23" s="2" t="s">
        <v>20</v>
      </c>
      <c r="L23" s="2"/>
    </row>
    <row r="24" customFormat="false" ht="15" hidden="false" customHeight="false" outlineLevel="0" collapsed="false">
      <c r="A24" s="2" t="n">
        <v>23</v>
      </c>
      <c r="B24" s="2" t="s">
        <v>100</v>
      </c>
      <c r="C24" s="2" t="s">
        <v>126</v>
      </c>
      <c r="D24" s="2" t="s">
        <v>69</v>
      </c>
      <c r="E24" s="2" t="s">
        <v>98</v>
      </c>
      <c r="F24" s="2"/>
      <c r="G24" s="2"/>
      <c r="H24" s="2" t="s">
        <v>65</v>
      </c>
      <c r="I24" s="2"/>
      <c r="J24" s="2" t="s">
        <v>127</v>
      </c>
      <c r="K24" s="2" t="s">
        <v>20</v>
      </c>
      <c r="L24" s="2"/>
    </row>
    <row r="25" customFormat="false" ht="15" hidden="false" customHeight="false" outlineLevel="0" collapsed="false">
      <c r="A25" s="2" t="n">
        <v>24</v>
      </c>
      <c r="B25" s="2" t="s">
        <v>100</v>
      </c>
      <c r="C25" s="2" t="s">
        <v>128</v>
      </c>
      <c r="D25" s="2" t="s">
        <v>69</v>
      </c>
      <c r="E25" s="2" t="s">
        <v>73</v>
      </c>
      <c r="F25" s="2" t="s">
        <v>74</v>
      </c>
      <c r="G25" s="2"/>
      <c r="H25" s="2" t="s">
        <v>65</v>
      </c>
      <c r="I25" s="2"/>
      <c r="J25" s="2" t="s">
        <v>129</v>
      </c>
      <c r="K25" s="2" t="s">
        <v>20</v>
      </c>
      <c r="L25" s="2"/>
    </row>
    <row r="26" customFormat="false" ht="15" hidden="false" customHeight="false" outlineLevel="0" collapsed="false">
      <c r="A26" s="2" t="n">
        <v>25</v>
      </c>
      <c r="B26" s="2" t="s">
        <v>100</v>
      </c>
      <c r="C26" s="2" t="s">
        <v>130</v>
      </c>
      <c r="D26" s="2" t="s">
        <v>131</v>
      </c>
      <c r="E26" s="2" t="s">
        <v>132</v>
      </c>
      <c r="F26" s="2"/>
      <c r="G26" s="2"/>
      <c r="H26" s="2" t="s">
        <v>65</v>
      </c>
      <c r="I26" s="2" t="s">
        <v>133</v>
      </c>
      <c r="J26" s="2"/>
      <c r="K26" s="2" t="s">
        <v>134</v>
      </c>
      <c r="L26" s="2"/>
    </row>
    <row r="27" customFormat="false" ht="15" hidden="false" customHeight="false" outlineLevel="0" collapsed="false">
      <c r="A27" s="3" t="n">
        <v>26</v>
      </c>
      <c r="B27" s="3" t="s">
        <v>135</v>
      </c>
      <c r="C27" s="3" t="s">
        <v>136</v>
      </c>
      <c r="D27" s="3" t="s">
        <v>69</v>
      </c>
      <c r="E27" s="3" t="s">
        <v>79</v>
      </c>
      <c r="F27" s="3" t="s">
        <v>80</v>
      </c>
      <c r="G27" s="3" t="n">
        <v>465</v>
      </c>
      <c r="H27" s="3" t="s">
        <v>81</v>
      </c>
      <c r="I27" s="3"/>
      <c r="J27" s="3" t="s">
        <v>137</v>
      </c>
      <c r="K27" s="3" t="s">
        <v>20</v>
      </c>
      <c r="L27" s="3"/>
    </row>
    <row r="28" customFormat="false" ht="15" hidden="false" customHeight="false" outlineLevel="0" collapsed="false">
      <c r="A28" s="3" t="n">
        <v>27</v>
      </c>
      <c r="B28" s="3" t="s">
        <v>135</v>
      </c>
      <c r="C28" s="3" t="s">
        <v>138</v>
      </c>
      <c r="D28" s="3" t="s">
        <v>14</v>
      </c>
      <c r="E28" s="3" t="s">
        <v>139</v>
      </c>
      <c r="F28" s="3" t="s">
        <v>140</v>
      </c>
      <c r="G28" s="3" t="n">
        <v>153</v>
      </c>
      <c r="H28" s="3" t="s">
        <v>141</v>
      </c>
      <c r="I28" s="3" t="s">
        <v>142</v>
      </c>
      <c r="J28" s="3" t="s">
        <v>143</v>
      </c>
      <c r="K28" s="3" t="s">
        <v>26</v>
      </c>
      <c r="L28" s="3"/>
    </row>
    <row r="29" customFormat="false" ht="15" hidden="false" customHeight="false" outlineLevel="0" collapsed="false">
      <c r="A29" s="3" t="n">
        <v>28</v>
      </c>
      <c r="B29" s="3" t="s">
        <v>135</v>
      </c>
      <c r="C29" s="3" t="s">
        <v>144</v>
      </c>
      <c r="D29" s="3" t="s">
        <v>50</v>
      </c>
      <c r="E29" s="3" t="s">
        <v>145</v>
      </c>
      <c r="F29" s="3"/>
      <c r="G29" s="3" t="n">
        <v>30</v>
      </c>
      <c r="H29" s="3" t="s">
        <v>53</v>
      </c>
      <c r="I29" s="3"/>
      <c r="J29" s="3" t="s">
        <v>146</v>
      </c>
      <c r="K29" s="3" t="s">
        <v>26</v>
      </c>
      <c r="L29" s="3"/>
    </row>
    <row r="30" customFormat="false" ht="15" hidden="false" customHeight="false" outlineLevel="0" collapsed="false">
      <c r="A30" s="3" t="n">
        <v>29</v>
      </c>
      <c r="B30" s="3" t="s">
        <v>135</v>
      </c>
      <c r="C30" s="3" t="s">
        <v>147</v>
      </c>
      <c r="D30" s="3" t="s">
        <v>88</v>
      </c>
      <c r="E30" s="3" t="s">
        <v>89</v>
      </c>
      <c r="F30" s="3" t="s">
        <v>90</v>
      </c>
      <c r="G30" s="3"/>
      <c r="H30" s="3" t="s">
        <v>65</v>
      </c>
      <c r="I30" s="3"/>
      <c r="J30" s="3" t="s">
        <v>148</v>
      </c>
      <c r="K30" s="3" t="s">
        <v>20</v>
      </c>
      <c r="L30" s="3"/>
    </row>
    <row r="31" customFormat="false" ht="23.85" hidden="false" customHeight="false" outlineLevel="0" collapsed="false">
      <c r="A31" s="3" t="n">
        <v>30</v>
      </c>
      <c r="B31" s="3" t="s">
        <v>135</v>
      </c>
      <c r="C31" s="3" t="s">
        <v>149</v>
      </c>
      <c r="D31" s="3" t="s">
        <v>57</v>
      </c>
      <c r="E31" s="3" t="s">
        <v>58</v>
      </c>
      <c r="F31" s="3" t="s">
        <v>59</v>
      </c>
      <c r="G31" s="3" t="n">
        <v>344</v>
      </c>
      <c r="H31" s="3" t="s">
        <v>60</v>
      </c>
      <c r="I31" s="3"/>
      <c r="J31" s="3"/>
      <c r="K31" s="3" t="s">
        <v>20</v>
      </c>
      <c r="L31" s="3"/>
    </row>
    <row r="32" customFormat="false" ht="15" hidden="false" customHeight="false" outlineLevel="0" collapsed="false">
      <c r="A32" s="2" t="n">
        <v>31</v>
      </c>
      <c r="B32" s="2" t="s">
        <v>150</v>
      </c>
      <c r="C32" s="2" t="s">
        <v>151</v>
      </c>
      <c r="D32" s="2" t="s">
        <v>69</v>
      </c>
      <c r="E32" s="2" t="s">
        <v>84</v>
      </c>
      <c r="F32" s="2" t="s">
        <v>85</v>
      </c>
      <c r="G32" s="2" t="n">
        <v>525</v>
      </c>
      <c r="H32" s="2" t="s">
        <v>65</v>
      </c>
      <c r="I32" s="2"/>
      <c r="J32" s="2" t="s">
        <v>152</v>
      </c>
      <c r="K32" s="2" t="s">
        <v>20</v>
      </c>
      <c r="L32" s="2"/>
    </row>
    <row r="33" customFormat="false" ht="15" hidden="false" customHeight="false" outlineLevel="0" collapsed="false">
      <c r="A33" s="2" t="n">
        <v>32</v>
      </c>
      <c r="B33" s="2" t="s">
        <v>150</v>
      </c>
      <c r="C33" s="2" t="s">
        <v>153</v>
      </c>
      <c r="D33" s="2" t="s">
        <v>14</v>
      </c>
      <c r="E33" s="2" t="s">
        <v>154</v>
      </c>
      <c r="F33" s="2" t="s">
        <v>155</v>
      </c>
      <c r="G33" s="2" t="s">
        <v>156</v>
      </c>
      <c r="H33" s="2" t="s">
        <v>157</v>
      </c>
      <c r="I33" s="2" t="s">
        <v>158</v>
      </c>
      <c r="J33" s="2" t="s">
        <v>159</v>
      </c>
      <c r="K33" s="2" t="s">
        <v>26</v>
      </c>
      <c r="L33" s="2"/>
    </row>
    <row r="34" customFormat="false" ht="15" hidden="false" customHeight="false" outlineLevel="0" collapsed="false">
      <c r="A34" s="2" t="n">
        <v>33</v>
      </c>
      <c r="B34" s="2" t="s">
        <v>150</v>
      </c>
      <c r="C34" s="2" t="s">
        <v>160</v>
      </c>
      <c r="D34" s="2" t="s">
        <v>69</v>
      </c>
      <c r="E34" s="2" t="s">
        <v>79</v>
      </c>
      <c r="F34" s="2" t="s">
        <v>80</v>
      </c>
      <c r="G34" s="2" t="n">
        <v>465</v>
      </c>
      <c r="H34" s="2" t="s">
        <v>81</v>
      </c>
      <c r="I34" s="2"/>
      <c r="J34" s="2" t="s">
        <v>161</v>
      </c>
      <c r="K34" s="2" t="s">
        <v>20</v>
      </c>
      <c r="L34" s="2"/>
    </row>
    <row r="35" customFormat="false" ht="15" hidden="false" customHeight="false" outlineLevel="0" collapsed="false">
      <c r="A35" s="2" t="n">
        <v>34</v>
      </c>
      <c r="B35" s="2" t="s">
        <v>150</v>
      </c>
      <c r="C35" s="2" t="s">
        <v>162</v>
      </c>
      <c r="D35" s="2" t="s">
        <v>69</v>
      </c>
      <c r="E35" s="2" t="s">
        <v>73</v>
      </c>
      <c r="F35" s="2" t="s">
        <v>74</v>
      </c>
      <c r="G35" s="2"/>
      <c r="H35" s="2" t="s">
        <v>65</v>
      </c>
      <c r="I35" s="2"/>
      <c r="J35" s="2" t="s">
        <v>163</v>
      </c>
      <c r="K35" s="2" t="s">
        <v>20</v>
      </c>
      <c r="L35" s="2"/>
    </row>
    <row r="36" customFormat="false" ht="15" hidden="false" customHeight="false" outlineLevel="0" collapsed="false">
      <c r="A36" s="2" t="n">
        <v>35</v>
      </c>
      <c r="B36" s="2" t="s">
        <v>150</v>
      </c>
      <c r="C36" s="2" t="s">
        <v>162</v>
      </c>
      <c r="D36" s="2" t="s">
        <v>14</v>
      </c>
      <c r="E36" s="2" t="s">
        <v>164</v>
      </c>
      <c r="F36" s="2" t="s">
        <v>165</v>
      </c>
      <c r="G36" s="2" t="s">
        <v>156</v>
      </c>
      <c r="H36" s="2" t="s">
        <v>104</v>
      </c>
      <c r="I36" s="2"/>
      <c r="J36" s="2" t="s">
        <v>166</v>
      </c>
      <c r="K36" s="2" t="s">
        <v>20</v>
      </c>
      <c r="L36" s="2"/>
    </row>
    <row r="37" customFormat="false" ht="23.85" hidden="false" customHeight="false" outlineLevel="0" collapsed="false">
      <c r="A37" s="2" t="n">
        <v>36</v>
      </c>
      <c r="B37" s="2" t="s">
        <v>150</v>
      </c>
      <c r="C37" s="2" t="s">
        <v>167</v>
      </c>
      <c r="D37" s="2" t="s">
        <v>88</v>
      </c>
      <c r="E37" s="2" t="s">
        <v>168</v>
      </c>
      <c r="F37" s="2" t="s">
        <v>169</v>
      </c>
      <c r="G37" s="2" t="n">
        <v>151</v>
      </c>
      <c r="H37" s="2" t="s">
        <v>65</v>
      </c>
      <c r="I37" s="2" t="s">
        <v>170</v>
      </c>
      <c r="J37" s="2" t="s">
        <v>171</v>
      </c>
      <c r="K37" s="2" t="s">
        <v>26</v>
      </c>
      <c r="L37" s="2"/>
    </row>
    <row r="38" customFormat="false" ht="15" hidden="false" customHeight="false" outlineLevel="0" collapsed="false">
      <c r="A38" s="3" t="n">
        <v>37</v>
      </c>
      <c r="B38" s="3" t="s">
        <v>172</v>
      </c>
      <c r="C38" s="3" t="s">
        <v>173</v>
      </c>
      <c r="D38" s="3" t="s">
        <v>69</v>
      </c>
      <c r="E38" s="3" t="s">
        <v>79</v>
      </c>
      <c r="F38" s="3" t="s">
        <v>80</v>
      </c>
      <c r="G38" s="3" t="n">
        <v>465</v>
      </c>
      <c r="H38" s="3" t="s">
        <v>81</v>
      </c>
      <c r="I38" s="3"/>
      <c r="J38" s="3" t="s">
        <v>174</v>
      </c>
      <c r="K38" s="3" t="s">
        <v>20</v>
      </c>
      <c r="L38" s="3"/>
    </row>
    <row r="39" customFormat="false" ht="15" hidden="false" customHeight="false" outlineLevel="0" collapsed="false">
      <c r="A39" s="3" t="n">
        <v>38</v>
      </c>
      <c r="B39" s="3" t="s">
        <v>172</v>
      </c>
      <c r="C39" s="3" t="s">
        <v>175</v>
      </c>
      <c r="D39" s="3" t="s">
        <v>69</v>
      </c>
      <c r="E39" s="3" t="s">
        <v>79</v>
      </c>
      <c r="F39" s="3" t="s">
        <v>80</v>
      </c>
      <c r="G39" s="3" t="n">
        <v>465</v>
      </c>
      <c r="H39" s="3" t="s">
        <v>81</v>
      </c>
      <c r="I39" s="3"/>
      <c r="J39" s="3" t="s">
        <v>176</v>
      </c>
      <c r="K39" s="3" t="s">
        <v>20</v>
      </c>
      <c r="L39" s="3"/>
    </row>
    <row r="40" customFormat="false" ht="15" hidden="false" customHeight="false" outlineLevel="0" collapsed="false">
      <c r="A40" s="3" t="n">
        <v>39</v>
      </c>
      <c r="B40" s="3" t="s">
        <v>172</v>
      </c>
      <c r="C40" s="3" t="s">
        <v>177</v>
      </c>
      <c r="D40" s="3" t="s">
        <v>14</v>
      </c>
      <c r="E40" s="3" t="s">
        <v>178</v>
      </c>
      <c r="F40" s="3" t="s">
        <v>179</v>
      </c>
      <c r="G40" s="3" t="n">
        <v>20</v>
      </c>
      <c r="H40" s="3" t="s">
        <v>41</v>
      </c>
      <c r="I40" s="3"/>
      <c r="J40" s="3" t="s">
        <v>180</v>
      </c>
      <c r="K40" s="3" t="s">
        <v>20</v>
      </c>
      <c r="L40" s="3"/>
    </row>
    <row r="41" customFormat="false" ht="15" hidden="false" customHeight="false" outlineLevel="0" collapsed="false">
      <c r="A41" s="3" t="n">
        <v>40</v>
      </c>
      <c r="B41" s="3" t="s">
        <v>172</v>
      </c>
      <c r="C41" s="3" t="s">
        <v>177</v>
      </c>
      <c r="D41" s="3" t="s">
        <v>88</v>
      </c>
      <c r="E41" s="3" t="s">
        <v>168</v>
      </c>
      <c r="F41" s="3" t="s">
        <v>169</v>
      </c>
      <c r="G41" s="3" t="n">
        <v>151</v>
      </c>
      <c r="H41" s="3" t="s">
        <v>65</v>
      </c>
      <c r="I41" s="3"/>
      <c r="J41" s="3" t="s">
        <v>181</v>
      </c>
      <c r="K41" s="3" t="s">
        <v>20</v>
      </c>
      <c r="L41" s="3"/>
    </row>
    <row r="42" customFormat="false" ht="15" hidden="false" customHeight="false" outlineLevel="0" collapsed="false">
      <c r="A42" s="3" t="n">
        <v>41</v>
      </c>
      <c r="B42" s="3" t="s">
        <v>172</v>
      </c>
      <c r="C42" s="3" t="s">
        <v>182</v>
      </c>
      <c r="D42" s="3" t="s">
        <v>14</v>
      </c>
      <c r="E42" s="3" t="s">
        <v>15</v>
      </c>
      <c r="F42" s="3" t="s">
        <v>16</v>
      </c>
      <c r="G42" s="3" t="n">
        <v>30</v>
      </c>
      <c r="H42" s="3" t="s">
        <v>17</v>
      </c>
      <c r="I42" s="3"/>
      <c r="J42" s="3"/>
      <c r="K42" s="3" t="s">
        <v>20</v>
      </c>
      <c r="L42" s="3"/>
    </row>
    <row r="43" customFormat="false" ht="15" hidden="false" customHeight="false" outlineLevel="0" collapsed="false">
      <c r="A43" s="3" t="n">
        <v>42</v>
      </c>
      <c r="B43" s="3" t="s">
        <v>172</v>
      </c>
      <c r="C43" s="3" t="s">
        <v>183</v>
      </c>
      <c r="D43" s="3" t="s">
        <v>14</v>
      </c>
      <c r="E43" s="3" t="s">
        <v>184</v>
      </c>
      <c r="F43" s="3" t="s">
        <v>185</v>
      </c>
      <c r="G43" s="3" t="n">
        <v>54</v>
      </c>
      <c r="H43" s="3" t="s">
        <v>186</v>
      </c>
      <c r="I43" s="3"/>
      <c r="J43" s="3" t="s">
        <v>187</v>
      </c>
      <c r="K43" s="3" t="s">
        <v>20</v>
      </c>
      <c r="L43" s="3"/>
    </row>
    <row r="44" customFormat="false" ht="15" hidden="false" customHeight="false" outlineLevel="0" collapsed="false">
      <c r="A44" s="3" t="n">
        <v>43</v>
      </c>
      <c r="B44" s="3" t="s">
        <v>172</v>
      </c>
      <c r="C44" s="3" t="s">
        <v>188</v>
      </c>
      <c r="D44" s="3" t="s">
        <v>189</v>
      </c>
      <c r="E44" s="3" t="s">
        <v>190</v>
      </c>
      <c r="F44" s="3" t="s">
        <v>191</v>
      </c>
      <c r="G44" s="3" t="n">
        <v>60</v>
      </c>
      <c r="H44" s="3" t="s">
        <v>186</v>
      </c>
      <c r="I44" s="3"/>
      <c r="J44" s="3" t="s">
        <v>192</v>
      </c>
      <c r="K44" s="3" t="s">
        <v>20</v>
      </c>
      <c r="L44" s="3"/>
    </row>
    <row r="45" customFormat="false" ht="15" hidden="false" customHeight="false" outlineLevel="0" collapsed="false">
      <c r="A45" s="3" t="n">
        <v>44</v>
      </c>
      <c r="B45" s="3" t="s">
        <v>172</v>
      </c>
      <c r="C45" s="3" t="s">
        <v>193</v>
      </c>
      <c r="D45" s="3" t="s">
        <v>14</v>
      </c>
      <c r="E45" s="3" t="s">
        <v>194</v>
      </c>
      <c r="F45" s="3" t="s">
        <v>195</v>
      </c>
      <c r="G45" s="3" t="n">
        <v>84</v>
      </c>
      <c r="H45" s="3" t="s">
        <v>196</v>
      </c>
      <c r="I45" s="3"/>
      <c r="J45" s="3" t="s">
        <v>197</v>
      </c>
      <c r="K45" s="3" t="s">
        <v>20</v>
      </c>
      <c r="L45" s="3"/>
    </row>
    <row r="46" customFormat="false" ht="15" hidden="false" customHeight="false" outlineLevel="0" collapsed="false">
      <c r="A46" s="3" t="n">
        <v>45</v>
      </c>
      <c r="B46" s="3" t="s">
        <v>172</v>
      </c>
      <c r="C46" s="3" t="s">
        <v>198</v>
      </c>
      <c r="D46" s="3" t="s">
        <v>88</v>
      </c>
      <c r="E46" s="3" t="s">
        <v>89</v>
      </c>
      <c r="F46" s="3" t="s">
        <v>90</v>
      </c>
      <c r="G46" s="3"/>
      <c r="H46" s="3" t="s">
        <v>65</v>
      </c>
      <c r="I46" s="3"/>
      <c r="J46" s="3" t="s">
        <v>199</v>
      </c>
      <c r="K46" s="3" t="s">
        <v>20</v>
      </c>
      <c r="L46" s="3"/>
    </row>
    <row r="47" customFormat="false" ht="15" hidden="false" customHeight="false" outlineLevel="0" collapsed="false">
      <c r="A47" s="3" t="n">
        <v>46</v>
      </c>
      <c r="B47" s="3" t="s">
        <v>172</v>
      </c>
      <c r="C47" s="3" t="s">
        <v>200</v>
      </c>
      <c r="D47" s="3" t="s">
        <v>14</v>
      </c>
      <c r="E47" s="3" t="s">
        <v>201</v>
      </c>
      <c r="F47" s="3" t="s">
        <v>202</v>
      </c>
      <c r="G47" s="3" t="n">
        <v>72</v>
      </c>
      <c r="H47" s="3" t="s">
        <v>17</v>
      </c>
      <c r="I47" s="3"/>
      <c r="J47" s="3" t="s">
        <v>203</v>
      </c>
      <c r="K47" s="3" t="s">
        <v>20</v>
      </c>
      <c r="L47" s="3"/>
    </row>
    <row r="48" customFormat="false" ht="15" hidden="false" customHeight="false" outlineLevel="0" collapsed="false">
      <c r="A48" s="2" t="n">
        <v>47</v>
      </c>
      <c r="B48" s="2" t="s">
        <v>204</v>
      </c>
      <c r="C48" s="2" t="s">
        <v>205</v>
      </c>
      <c r="D48" s="2" t="s">
        <v>69</v>
      </c>
      <c r="E48" s="2" t="s">
        <v>79</v>
      </c>
      <c r="F48" s="2" t="s">
        <v>80</v>
      </c>
      <c r="G48" s="2" t="n">
        <v>465</v>
      </c>
      <c r="H48" s="2" t="s">
        <v>81</v>
      </c>
      <c r="I48" s="2"/>
      <c r="J48" s="2" t="s">
        <v>206</v>
      </c>
      <c r="K48" s="2" t="s">
        <v>20</v>
      </c>
      <c r="L48" s="2"/>
    </row>
    <row r="49" customFormat="false" ht="15" hidden="false" customHeight="false" outlineLevel="0" collapsed="false">
      <c r="A49" s="2" t="n">
        <v>48</v>
      </c>
      <c r="B49" s="2" t="s">
        <v>204</v>
      </c>
      <c r="C49" s="2" t="s">
        <v>207</v>
      </c>
      <c r="D49" s="2" t="s">
        <v>28</v>
      </c>
      <c r="E49" s="2" t="s">
        <v>208</v>
      </c>
      <c r="F49" s="2" t="s">
        <v>209</v>
      </c>
      <c r="G49" s="2" t="n">
        <v>30</v>
      </c>
      <c r="H49" s="2" t="s">
        <v>17</v>
      </c>
      <c r="I49" s="2"/>
      <c r="J49" s="2" t="s">
        <v>210</v>
      </c>
      <c r="K49" s="2" t="s">
        <v>20</v>
      </c>
      <c r="L49" s="2"/>
    </row>
    <row r="50" customFormat="false" ht="15" hidden="false" customHeight="false" outlineLevel="0" collapsed="false">
      <c r="A50" s="2" t="n">
        <v>49</v>
      </c>
      <c r="B50" s="2" t="s">
        <v>204</v>
      </c>
      <c r="C50" s="2" t="s">
        <v>211</v>
      </c>
      <c r="D50" s="2" t="s">
        <v>14</v>
      </c>
      <c r="E50" s="2" t="s">
        <v>201</v>
      </c>
      <c r="F50" s="2" t="s">
        <v>202</v>
      </c>
      <c r="G50" s="2" t="n">
        <v>72</v>
      </c>
      <c r="H50" s="2" t="s">
        <v>17</v>
      </c>
      <c r="I50" s="2"/>
      <c r="J50" s="2" t="s">
        <v>212</v>
      </c>
      <c r="K50" s="2" t="s">
        <v>20</v>
      </c>
      <c r="L50" s="2"/>
    </row>
    <row r="51" customFormat="false" ht="23.85" hidden="false" customHeight="false" outlineLevel="0" collapsed="false">
      <c r="A51" s="2" t="n">
        <v>50</v>
      </c>
      <c r="B51" s="2" t="s">
        <v>204</v>
      </c>
      <c r="C51" s="2" t="s">
        <v>213</v>
      </c>
      <c r="D51" s="2" t="s">
        <v>88</v>
      </c>
      <c r="E51" s="2" t="s">
        <v>168</v>
      </c>
      <c r="F51" s="2" t="s">
        <v>169</v>
      </c>
      <c r="G51" s="2" t="n">
        <v>151</v>
      </c>
      <c r="H51" s="2" t="s">
        <v>65</v>
      </c>
      <c r="I51" s="2" t="s">
        <v>214</v>
      </c>
      <c r="J51" s="2" t="s">
        <v>215</v>
      </c>
      <c r="K51" s="2" t="s">
        <v>26</v>
      </c>
      <c r="L51" s="2"/>
    </row>
    <row r="52" customFormat="false" ht="23.85" hidden="false" customHeight="false" outlineLevel="0" collapsed="false">
      <c r="A52" s="2" t="n">
        <v>51</v>
      </c>
      <c r="B52" s="2" t="s">
        <v>204</v>
      </c>
      <c r="C52" s="2" t="s">
        <v>216</v>
      </c>
      <c r="D52" s="2" t="s">
        <v>217</v>
      </c>
      <c r="E52" s="2" t="s">
        <v>218</v>
      </c>
      <c r="F52" s="2" t="s">
        <v>219</v>
      </c>
      <c r="G52" s="2"/>
      <c r="H52" s="2" t="s">
        <v>220</v>
      </c>
      <c r="I52" s="2" t="s">
        <v>221</v>
      </c>
      <c r="J52" s="2" t="s">
        <v>222</v>
      </c>
      <c r="K52" s="2" t="s">
        <v>37</v>
      </c>
      <c r="L52" s="2"/>
    </row>
    <row r="53" customFormat="false" ht="15" hidden="false" customHeight="false" outlineLevel="0" collapsed="false">
      <c r="A53" s="2" t="n">
        <v>52</v>
      </c>
      <c r="B53" s="2" t="s">
        <v>204</v>
      </c>
      <c r="C53" s="2" t="s">
        <v>216</v>
      </c>
      <c r="D53" s="2" t="s">
        <v>223</v>
      </c>
      <c r="E53" s="2" t="s">
        <v>224</v>
      </c>
      <c r="F53" s="2"/>
      <c r="G53" s="2"/>
      <c r="H53" s="2" t="s">
        <v>225</v>
      </c>
      <c r="I53" s="2"/>
      <c r="J53" s="2" t="s">
        <v>226</v>
      </c>
      <c r="K53" s="2" t="s">
        <v>20</v>
      </c>
      <c r="L53" s="2"/>
    </row>
    <row r="54" customFormat="false" ht="23.85" hidden="false" customHeight="false" outlineLevel="0" collapsed="false">
      <c r="A54" s="2" t="n">
        <v>53</v>
      </c>
      <c r="B54" s="2" t="s">
        <v>204</v>
      </c>
      <c r="C54" s="2" t="s">
        <v>216</v>
      </c>
      <c r="D54" s="2" t="s">
        <v>227</v>
      </c>
      <c r="E54" s="2" t="s">
        <v>228</v>
      </c>
      <c r="F54" s="2"/>
      <c r="G54" s="2"/>
      <c r="H54" s="2" t="s">
        <v>220</v>
      </c>
      <c r="I54" s="2" t="s">
        <v>229</v>
      </c>
      <c r="J54" s="2" t="s">
        <v>230</v>
      </c>
      <c r="K54" s="2" t="s">
        <v>67</v>
      </c>
      <c r="L54" s="2"/>
    </row>
    <row r="55" customFormat="false" ht="15" hidden="false" customHeight="false" outlineLevel="0" collapsed="false">
      <c r="A55" s="3" t="n">
        <v>54</v>
      </c>
      <c r="B55" s="3" t="s">
        <v>231</v>
      </c>
      <c r="C55" s="3" t="s">
        <v>232</v>
      </c>
      <c r="D55" s="3" t="s">
        <v>69</v>
      </c>
      <c r="E55" s="3" t="s">
        <v>79</v>
      </c>
      <c r="F55" s="3" t="s">
        <v>80</v>
      </c>
      <c r="G55" s="3" t="n">
        <v>465</v>
      </c>
      <c r="H55" s="3" t="s">
        <v>81</v>
      </c>
      <c r="I55" s="3"/>
      <c r="J55" s="3" t="s">
        <v>233</v>
      </c>
      <c r="K55" s="3" t="s">
        <v>20</v>
      </c>
      <c r="L55" s="3"/>
    </row>
    <row r="56" customFormat="false" ht="15" hidden="false" customHeight="false" outlineLevel="0" collapsed="false">
      <c r="A56" s="3" t="n">
        <v>55</v>
      </c>
      <c r="B56" s="3" t="s">
        <v>231</v>
      </c>
      <c r="C56" s="3" t="s">
        <v>234</v>
      </c>
      <c r="D56" s="3" t="s">
        <v>235</v>
      </c>
      <c r="E56" s="3" t="s">
        <v>236</v>
      </c>
      <c r="F56" s="3" t="s">
        <v>237</v>
      </c>
      <c r="G56" s="3" t="n">
        <v>9</v>
      </c>
      <c r="H56" s="3" t="s">
        <v>220</v>
      </c>
      <c r="I56" s="3"/>
      <c r="J56" s="3" t="s">
        <v>238</v>
      </c>
      <c r="K56" s="3" t="s">
        <v>20</v>
      </c>
      <c r="L56" s="3"/>
    </row>
    <row r="57" customFormat="false" ht="15" hidden="false" customHeight="false" outlineLevel="0" collapsed="false">
      <c r="A57" s="3" t="n">
        <v>56</v>
      </c>
      <c r="B57" s="3" t="s">
        <v>231</v>
      </c>
      <c r="C57" s="3" t="s">
        <v>239</v>
      </c>
      <c r="D57" s="3" t="s">
        <v>88</v>
      </c>
      <c r="E57" s="3" t="s">
        <v>89</v>
      </c>
      <c r="F57" s="3" t="s">
        <v>90</v>
      </c>
      <c r="G57" s="3"/>
      <c r="H57" s="3" t="s">
        <v>65</v>
      </c>
      <c r="I57" s="3"/>
      <c r="J57" s="3" t="s">
        <v>240</v>
      </c>
      <c r="K57" s="3" t="s">
        <v>20</v>
      </c>
      <c r="L57" s="3"/>
    </row>
    <row r="58" customFormat="false" ht="15" hidden="false" customHeight="false" outlineLevel="0" collapsed="false">
      <c r="A58" s="3" t="n">
        <v>57</v>
      </c>
      <c r="B58" s="3" t="s">
        <v>231</v>
      </c>
      <c r="C58" s="3" t="s">
        <v>241</v>
      </c>
      <c r="D58" s="3" t="s">
        <v>69</v>
      </c>
      <c r="E58" s="3" t="s">
        <v>84</v>
      </c>
      <c r="F58" s="3" t="s">
        <v>85</v>
      </c>
      <c r="G58" s="3" t="n">
        <v>525</v>
      </c>
      <c r="H58" s="3" t="s">
        <v>65</v>
      </c>
      <c r="I58" s="3"/>
      <c r="J58" s="3" t="s">
        <v>242</v>
      </c>
      <c r="K58" s="3" t="s">
        <v>20</v>
      </c>
      <c r="L58" s="3"/>
    </row>
    <row r="59" customFormat="false" ht="15" hidden="false" customHeight="false" outlineLevel="0" collapsed="false">
      <c r="A59" s="3" t="n">
        <v>58</v>
      </c>
      <c r="B59" s="3" t="s">
        <v>231</v>
      </c>
      <c r="C59" s="3" t="s">
        <v>241</v>
      </c>
      <c r="D59" s="3" t="s">
        <v>69</v>
      </c>
      <c r="E59" s="3" t="s">
        <v>243</v>
      </c>
      <c r="F59" s="3" t="s">
        <v>244</v>
      </c>
      <c r="G59" s="3"/>
      <c r="H59" s="3" t="s">
        <v>65</v>
      </c>
      <c r="I59" s="3"/>
      <c r="J59" s="3" t="s">
        <v>245</v>
      </c>
      <c r="K59" s="3" t="s">
        <v>20</v>
      </c>
      <c r="L59" s="3"/>
    </row>
    <row r="60" customFormat="false" ht="15" hidden="false" customHeight="false" outlineLevel="0" collapsed="false">
      <c r="A60" s="3" t="n">
        <v>59</v>
      </c>
      <c r="B60" s="3" t="s">
        <v>231</v>
      </c>
      <c r="C60" s="3" t="s">
        <v>246</v>
      </c>
      <c r="D60" s="3" t="s">
        <v>14</v>
      </c>
      <c r="E60" s="3" t="s">
        <v>184</v>
      </c>
      <c r="F60" s="3" t="s">
        <v>185</v>
      </c>
      <c r="G60" s="3" t="n">
        <v>54</v>
      </c>
      <c r="H60" s="3" t="s">
        <v>186</v>
      </c>
      <c r="I60" s="3"/>
      <c r="J60" s="3" t="s">
        <v>247</v>
      </c>
      <c r="K60" s="3" t="s">
        <v>20</v>
      </c>
      <c r="L60" s="3"/>
    </row>
    <row r="61" customFormat="false" ht="15" hidden="false" customHeight="false" outlineLevel="0" collapsed="false">
      <c r="A61" s="3" t="n">
        <v>60</v>
      </c>
      <c r="B61" s="3" t="s">
        <v>231</v>
      </c>
      <c r="C61" s="3" t="s">
        <v>248</v>
      </c>
      <c r="D61" s="3" t="s">
        <v>28</v>
      </c>
      <c r="E61" s="3" t="s">
        <v>249</v>
      </c>
      <c r="F61" s="3" t="s">
        <v>250</v>
      </c>
      <c r="G61" s="3" t="n">
        <v>146</v>
      </c>
      <c r="H61" s="3" t="s">
        <v>157</v>
      </c>
      <c r="I61" s="3"/>
      <c r="J61" s="3" t="s">
        <v>251</v>
      </c>
      <c r="K61" s="3" t="s">
        <v>20</v>
      </c>
      <c r="L61" s="3"/>
    </row>
    <row r="62" customFormat="false" ht="15" hidden="false" customHeight="false" outlineLevel="0" collapsed="false">
      <c r="A62" s="3" t="n">
        <v>61</v>
      </c>
      <c r="B62" s="3" t="s">
        <v>231</v>
      </c>
      <c r="C62" s="3" t="s">
        <v>252</v>
      </c>
      <c r="D62" s="3" t="s">
        <v>28</v>
      </c>
      <c r="E62" s="3" t="s">
        <v>253</v>
      </c>
      <c r="F62" s="3" t="s">
        <v>254</v>
      </c>
      <c r="G62" s="3" t="n">
        <v>64</v>
      </c>
      <c r="H62" s="3" t="s">
        <v>255</v>
      </c>
      <c r="I62" s="3"/>
      <c r="J62" s="3" t="s">
        <v>256</v>
      </c>
      <c r="K62" s="3" t="s">
        <v>20</v>
      </c>
      <c r="L62" s="3"/>
    </row>
    <row r="63" customFormat="false" ht="15" hidden="false" customHeight="false" outlineLevel="0" collapsed="false">
      <c r="A63" s="3" t="n">
        <v>62</v>
      </c>
      <c r="B63" s="3" t="s">
        <v>231</v>
      </c>
      <c r="C63" s="3" t="s">
        <v>257</v>
      </c>
      <c r="D63" s="3" t="s">
        <v>258</v>
      </c>
      <c r="E63" s="3" t="s">
        <v>259</v>
      </c>
      <c r="F63" s="3"/>
      <c r="G63" s="3"/>
      <c r="H63" s="3" t="s">
        <v>260</v>
      </c>
      <c r="I63" s="3" t="s">
        <v>261</v>
      </c>
      <c r="J63" s="3" t="s">
        <v>262</v>
      </c>
      <c r="K63" s="3" t="s">
        <v>37</v>
      </c>
      <c r="L63" s="3"/>
    </row>
    <row r="64" customFormat="false" ht="23.85" hidden="false" customHeight="false" outlineLevel="0" collapsed="false">
      <c r="A64" s="2" t="n">
        <v>63</v>
      </c>
      <c r="B64" s="2" t="s">
        <v>263</v>
      </c>
      <c r="C64" s="2" t="s">
        <v>264</v>
      </c>
      <c r="D64" s="2" t="s">
        <v>88</v>
      </c>
      <c r="E64" s="2" t="s">
        <v>265</v>
      </c>
      <c r="F64" s="2" t="s">
        <v>266</v>
      </c>
      <c r="G64" s="2" t="n">
        <v>403</v>
      </c>
      <c r="H64" s="2" t="s">
        <v>65</v>
      </c>
      <c r="I64" s="2" t="s">
        <v>267</v>
      </c>
      <c r="J64" s="2"/>
      <c r="K64" s="2" t="s">
        <v>26</v>
      </c>
      <c r="L64" s="2"/>
    </row>
    <row r="65" customFormat="false" ht="15" hidden="false" customHeight="false" outlineLevel="0" collapsed="false">
      <c r="A65" s="2" t="n">
        <v>64</v>
      </c>
      <c r="B65" s="2" t="s">
        <v>263</v>
      </c>
      <c r="C65" s="2" t="s">
        <v>268</v>
      </c>
      <c r="D65" s="2" t="s">
        <v>69</v>
      </c>
      <c r="E65" s="2" t="s">
        <v>79</v>
      </c>
      <c r="F65" s="2" t="s">
        <v>80</v>
      </c>
      <c r="G65" s="2" t="n">
        <v>465</v>
      </c>
      <c r="H65" s="2" t="s">
        <v>81</v>
      </c>
      <c r="I65" s="2"/>
      <c r="J65" s="2" t="s">
        <v>269</v>
      </c>
      <c r="K65" s="2" t="s">
        <v>20</v>
      </c>
      <c r="L65" s="2"/>
    </row>
    <row r="66" customFormat="false" ht="15" hidden="false" customHeight="false" outlineLevel="0" collapsed="false">
      <c r="A66" s="2" t="n">
        <v>65</v>
      </c>
      <c r="B66" s="2" t="s">
        <v>263</v>
      </c>
      <c r="C66" s="2" t="s">
        <v>270</v>
      </c>
      <c r="D66" s="2" t="s">
        <v>88</v>
      </c>
      <c r="E66" s="2" t="s">
        <v>89</v>
      </c>
      <c r="F66" s="2" t="s">
        <v>90</v>
      </c>
      <c r="G66" s="2"/>
      <c r="H66" s="2" t="s">
        <v>65</v>
      </c>
      <c r="I66" s="2"/>
      <c r="J66" s="2" t="s">
        <v>271</v>
      </c>
      <c r="K66" s="2" t="s">
        <v>20</v>
      </c>
      <c r="L66" s="2"/>
    </row>
    <row r="67" customFormat="false" ht="15" hidden="false" customHeight="false" outlineLevel="0" collapsed="false">
      <c r="A67" s="2" t="n">
        <v>66</v>
      </c>
      <c r="B67" s="2" t="s">
        <v>263</v>
      </c>
      <c r="C67" s="2" t="s">
        <v>270</v>
      </c>
      <c r="D67" s="2" t="s">
        <v>69</v>
      </c>
      <c r="E67" s="2" t="s">
        <v>73</v>
      </c>
      <c r="F67" s="2" t="s">
        <v>74</v>
      </c>
      <c r="G67" s="2"/>
      <c r="H67" s="2" t="s">
        <v>65</v>
      </c>
      <c r="I67" s="2"/>
      <c r="J67" s="2"/>
      <c r="K67" s="2" t="s">
        <v>20</v>
      </c>
      <c r="L67" s="2"/>
    </row>
    <row r="68" customFormat="false" ht="15" hidden="false" customHeight="false" outlineLevel="0" collapsed="false">
      <c r="A68" s="2" t="n">
        <v>67</v>
      </c>
      <c r="B68" s="2" t="s">
        <v>263</v>
      </c>
      <c r="C68" s="2" t="s">
        <v>272</v>
      </c>
      <c r="D68" s="2" t="s">
        <v>273</v>
      </c>
      <c r="E68" s="2" t="s">
        <v>274</v>
      </c>
      <c r="F68" s="2" t="s">
        <v>275</v>
      </c>
      <c r="G68" s="2" t="n">
        <v>22</v>
      </c>
      <c r="H68" s="2" t="s">
        <v>276</v>
      </c>
      <c r="I68" s="2"/>
      <c r="J68" s="2" t="s">
        <v>277</v>
      </c>
      <c r="K68" s="2" t="s">
        <v>20</v>
      </c>
      <c r="L68" s="2"/>
    </row>
    <row r="69" customFormat="false" ht="15" hidden="false" customHeight="false" outlineLevel="0" collapsed="false">
      <c r="A69" s="2" t="n">
        <v>68</v>
      </c>
      <c r="B69" s="2" t="s">
        <v>263</v>
      </c>
      <c r="C69" s="2" t="s">
        <v>278</v>
      </c>
      <c r="D69" s="2" t="s">
        <v>28</v>
      </c>
      <c r="E69" s="2" t="s">
        <v>279</v>
      </c>
      <c r="F69" s="2" t="s">
        <v>280</v>
      </c>
      <c r="G69" s="2" t="n">
        <v>52</v>
      </c>
      <c r="H69" s="2" t="s">
        <v>41</v>
      </c>
      <c r="I69" s="2" t="s">
        <v>281</v>
      </c>
      <c r="J69" s="2" t="s">
        <v>282</v>
      </c>
      <c r="K69" s="2" t="s">
        <v>20</v>
      </c>
      <c r="L69" s="2"/>
    </row>
    <row r="70" customFormat="false" ht="15" hidden="false" customHeight="false" outlineLevel="0" collapsed="false">
      <c r="A70" s="2" t="n">
        <v>69</v>
      </c>
      <c r="B70" s="2" t="s">
        <v>263</v>
      </c>
      <c r="C70" s="2" t="s">
        <v>283</v>
      </c>
      <c r="D70" s="2" t="s">
        <v>14</v>
      </c>
      <c r="E70" s="2" t="s">
        <v>284</v>
      </c>
      <c r="F70" s="2" t="s">
        <v>285</v>
      </c>
      <c r="G70" s="2" t="n">
        <v>50</v>
      </c>
      <c r="H70" s="2" t="s">
        <v>104</v>
      </c>
      <c r="I70" s="2" t="s">
        <v>286</v>
      </c>
      <c r="J70" s="2" t="s">
        <v>287</v>
      </c>
      <c r="K70" s="2" t="s">
        <v>26</v>
      </c>
      <c r="L70" s="2"/>
    </row>
    <row r="71" customFormat="false" ht="15" hidden="false" customHeight="false" outlineLevel="0" collapsed="false">
      <c r="A71" s="2" t="n">
        <v>70</v>
      </c>
      <c r="B71" s="2" t="s">
        <v>263</v>
      </c>
      <c r="C71" s="2" t="s">
        <v>288</v>
      </c>
      <c r="D71" s="2" t="s">
        <v>227</v>
      </c>
      <c r="E71" s="2" t="s">
        <v>64</v>
      </c>
      <c r="F71" s="2"/>
      <c r="G71" s="2"/>
      <c r="H71" s="2" t="s">
        <v>65</v>
      </c>
      <c r="I71" s="2"/>
      <c r="J71" s="2" t="s">
        <v>289</v>
      </c>
      <c r="K71" s="2" t="s">
        <v>67</v>
      </c>
      <c r="L71" s="2"/>
    </row>
    <row r="72" customFormat="false" ht="15" hidden="false" customHeight="false" outlineLevel="0" collapsed="false">
      <c r="A72" s="3" t="n">
        <v>71</v>
      </c>
      <c r="B72" s="3" t="s">
        <v>290</v>
      </c>
      <c r="C72" s="3" t="s">
        <v>291</v>
      </c>
      <c r="D72" s="3" t="s">
        <v>292</v>
      </c>
      <c r="E72" s="3" t="s">
        <v>293</v>
      </c>
      <c r="F72" s="3" t="s">
        <v>294</v>
      </c>
      <c r="G72" s="3" t="n">
        <v>453</v>
      </c>
      <c r="H72" s="3" t="s">
        <v>65</v>
      </c>
      <c r="I72" s="3"/>
      <c r="J72" s="3" t="s">
        <v>295</v>
      </c>
      <c r="K72" s="3" t="s">
        <v>20</v>
      </c>
      <c r="L72" s="3"/>
    </row>
    <row r="73" customFormat="false" ht="15" hidden="false" customHeight="false" outlineLevel="0" collapsed="false">
      <c r="A73" s="3" t="n">
        <v>72</v>
      </c>
      <c r="B73" s="3" t="s">
        <v>290</v>
      </c>
      <c r="C73" s="3" t="s">
        <v>291</v>
      </c>
      <c r="D73" s="3" t="s">
        <v>292</v>
      </c>
      <c r="E73" s="3" t="s">
        <v>296</v>
      </c>
      <c r="F73" s="3" t="s">
        <v>297</v>
      </c>
      <c r="G73" s="3" t="n">
        <v>453</v>
      </c>
      <c r="H73" s="3" t="s">
        <v>298</v>
      </c>
      <c r="I73" s="3"/>
      <c r="J73" s="3" t="s">
        <v>299</v>
      </c>
      <c r="K73" s="3" t="s">
        <v>20</v>
      </c>
      <c r="L73" s="3"/>
    </row>
    <row r="74" customFormat="false" ht="15" hidden="false" customHeight="false" outlineLevel="0" collapsed="false">
      <c r="A74" s="3" t="n">
        <v>73</v>
      </c>
      <c r="B74" s="3" t="s">
        <v>290</v>
      </c>
      <c r="C74" s="3" t="s">
        <v>300</v>
      </c>
      <c r="D74" s="3" t="s">
        <v>14</v>
      </c>
      <c r="E74" s="3" t="s">
        <v>301</v>
      </c>
      <c r="F74" s="3" t="s">
        <v>302</v>
      </c>
      <c r="G74" s="3" t="n">
        <v>240</v>
      </c>
      <c r="H74" s="3" t="s">
        <v>303</v>
      </c>
      <c r="I74" s="3" t="s">
        <v>304</v>
      </c>
      <c r="J74" s="3" t="s">
        <v>305</v>
      </c>
      <c r="K74" s="3" t="s">
        <v>26</v>
      </c>
      <c r="L74" s="3"/>
    </row>
    <row r="75" customFormat="false" ht="15" hidden="false" customHeight="false" outlineLevel="0" collapsed="false">
      <c r="A75" s="3" t="n">
        <v>74</v>
      </c>
      <c r="B75" s="3" t="s">
        <v>290</v>
      </c>
      <c r="C75" s="3" t="s">
        <v>306</v>
      </c>
      <c r="D75" s="3" t="s">
        <v>14</v>
      </c>
      <c r="E75" s="3" t="s">
        <v>307</v>
      </c>
      <c r="F75" s="3" t="s">
        <v>308</v>
      </c>
      <c r="G75" s="3" t="n">
        <v>100</v>
      </c>
      <c r="H75" s="3" t="s">
        <v>309</v>
      </c>
      <c r="I75" s="3"/>
      <c r="J75" s="3" t="s">
        <v>310</v>
      </c>
      <c r="K75" s="3" t="s">
        <v>20</v>
      </c>
      <c r="L75" s="3"/>
    </row>
    <row r="76" customFormat="false" ht="15" hidden="false" customHeight="false" outlineLevel="0" collapsed="false">
      <c r="A76" s="2" t="n">
        <v>75</v>
      </c>
      <c r="B76" s="2" t="s">
        <v>311</v>
      </c>
      <c r="C76" s="2" t="s">
        <v>312</v>
      </c>
      <c r="D76" s="2" t="s">
        <v>50</v>
      </c>
      <c r="E76" s="2" t="s">
        <v>145</v>
      </c>
      <c r="F76" s="2"/>
      <c r="G76" s="2" t="n">
        <v>30</v>
      </c>
      <c r="H76" s="2" t="s">
        <v>53</v>
      </c>
      <c r="I76" s="2"/>
      <c r="J76" s="2"/>
      <c r="K76" s="2" t="s">
        <v>26</v>
      </c>
      <c r="L76" s="2"/>
    </row>
    <row r="77" customFormat="false" ht="15" hidden="false" customHeight="false" outlineLevel="0" collapsed="false">
      <c r="A77" s="2" t="n">
        <v>76</v>
      </c>
      <c r="B77" s="2" t="s">
        <v>311</v>
      </c>
      <c r="C77" s="2" t="s">
        <v>312</v>
      </c>
      <c r="D77" s="2" t="s">
        <v>57</v>
      </c>
      <c r="E77" s="2" t="s">
        <v>58</v>
      </c>
      <c r="F77" s="2" t="s">
        <v>59</v>
      </c>
      <c r="G77" s="2" t="n">
        <v>344</v>
      </c>
      <c r="H77" s="2" t="s">
        <v>60</v>
      </c>
      <c r="I77" s="2"/>
      <c r="J77" s="2"/>
      <c r="K77" s="2" t="s">
        <v>20</v>
      </c>
      <c r="L77" s="2"/>
    </row>
    <row r="78" customFormat="false" ht="15" hidden="false" customHeight="false" outlineLevel="0" collapsed="false">
      <c r="A78" s="2" t="n">
        <v>77</v>
      </c>
      <c r="B78" s="2" t="s">
        <v>311</v>
      </c>
      <c r="C78" s="2" t="s">
        <v>313</v>
      </c>
      <c r="D78" s="2" t="s">
        <v>50</v>
      </c>
      <c r="E78" s="2" t="s">
        <v>314</v>
      </c>
      <c r="F78" s="2"/>
      <c r="G78" s="2" t="n">
        <v>30</v>
      </c>
      <c r="H78" s="2" t="s">
        <v>53</v>
      </c>
      <c r="I78" s="2" t="s">
        <v>315</v>
      </c>
      <c r="J78" s="2"/>
      <c r="K78" s="2" t="s">
        <v>26</v>
      </c>
      <c r="L78" s="2"/>
    </row>
    <row r="79" customFormat="false" ht="15" hidden="false" customHeight="false" outlineLevel="0" collapsed="false">
      <c r="A79" s="2" t="n">
        <v>78</v>
      </c>
      <c r="B79" s="2" t="s">
        <v>311</v>
      </c>
      <c r="C79" s="2" t="s">
        <v>313</v>
      </c>
      <c r="D79" s="2" t="s">
        <v>316</v>
      </c>
      <c r="E79" s="2" t="s">
        <v>317</v>
      </c>
      <c r="F79" s="2" t="s">
        <v>318</v>
      </c>
      <c r="G79" s="2" t="n">
        <v>20</v>
      </c>
      <c r="H79" s="2" t="s">
        <v>319</v>
      </c>
      <c r="I79" s="2"/>
      <c r="J79" s="2" t="s">
        <v>320</v>
      </c>
      <c r="K79" s="2" t="s">
        <v>20</v>
      </c>
      <c r="L79" s="2"/>
    </row>
    <row r="80" customFormat="false" ht="15" hidden="false" customHeight="false" outlineLevel="0" collapsed="false">
      <c r="A80" s="3" t="n">
        <v>79</v>
      </c>
      <c r="B80" s="3" t="s">
        <v>321</v>
      </c>
      <c r="C80" s="3" t="s">
        <v>322</v>
      </c>
      <c r="D80" s="3" t="s">
        <v>14</v>
      </c>
      <c r="E80" s="3" t="s">
        <v>323</v>
      </c>
      <c r="F80" s="3" t="s">
        <v>324</v>
      </c>
      <c r="G80" s="3" t="n">
        <v>1000</v>
      </c>
      <c r="H80" s="3" t="s">
        <v>325</v>
      </c>
      <c r="I80" s="3"/>
      <c r="J80" s="3" t="s">
        <v>326</v>
      </c>
      <c r="K80" s="3" t="s">
        <v>20</v>
      </c>
      <c r="L80" s="3"/>
    </row>
    <row r="81" customFormat="false" ht="15" hidden="false" customHeight="false" outlineLevel="0" collapsed="false">
      <c r="A81" s="3" t="n">
        <v>80</v>
      </c>
      <c r="B81" s="3" t="s">
        <v>321</v>
      </c>
      <c r="C81" s="3" t="s">
        <v>327</v>
      </c>
      <c r="D81" s="3" t="s">
        <v>50</v>
      </c>
      <c r="E81" s="3" t="s">
        <v>328</v>
      </c>
      <c r="F81" s="3"/>
      <c r="G81" s="3" t="n">
        <v>30</v>
      </c>
      <c r="H81" s="3" t="s">
        <v>53</v>
      </c>
      <c r="I81" s="3" t="s">
        <v>329</v>
      </c>
      <c r="J81" s="3"/>
      <c r="K81" s="3" t="s">
        <v>26</v>
      </c>
      <c r="L81" s="3"/>
    </row>
    <row r="82" customFormat="false" ht="23.85" hidden="false" customHeight="false" outlineLevel="0" collapsed="false">
      <c r="A82" s="3" t="n">
        <v>81</v>
      </c>
      <c r="B82" s="3" t="s">
        <v>321</v>
      </c>
      <c r="C82" s="3" t="s">
        <v>330</v>
      </c>
      <c r="D82" s="3" t="s">
        <v>331</v>
      </c>
      <c r="E82" s="3" t="s">
        <v>332</v>
      </c>
      <c r="F82" s="3"/>
      <c r="G82" s="3" t="s">
        <v>333</v>
      </c>
      <c r="H82" s="3" t="s">
        <v>334</v>
      </c>
      <c r="I82" s="3" t="s">
        <v>335</v>
      </c>
      <c r="J82" s="3"/>
      <c r="K82" s="3" t="s">
        <v>26</v>
      </c>
      <c r="L82" s="3"/>
    </row>
    <row r="83" customFormat="false" ht="15" hidden="false" customHeight="false" outlineLevel="0" collapsed="false">
      <c r="A83" s="2" t="n">
        <v>82</v>
      </c>
      <c r="B83" s="2" t="s">
        <v>336</v>
      </c>
      <c r="C83" s="2" t="s">
        <v>337</v>
      </c>
      <c r="D83" s="2" t="s">
        <v>338</v>
      </c>
      <c r="E83" s="2" t="s">
        <v>339</v>
      </c>
      <c r="F83" s="2"/>
      <c r="G83" s="2"/>
      <c r="H83" s="2" t="s">
        <v>104</v>
      </c>
      <c r="I83" s="2"/>
      <c r="J83" s="2" t="s">
        <v>340</v>
      </c>
      <c r="K83" s="2" t="s">
        <v>134</v>
      </c>
      <c r="L83" s="2"/>
    </row>
  </sheetData>
  <autoFilter ref="A1:L83"/>
  <dataValidations count="1">
    <dataValidation allowBlank="true" errorStyle="stop" operator="between" showDropDown="false" showErrorMessage="false" showInputMessage="false" sqref="K2:K83" type="list">
      <formula1>"Pronto no pacote,Requer adaptação,Conferir no pacote,Buscar na literatura,Simular"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60"/>
  </cols>
  <sheetData>
    <row r="1" customFormat="false" ht="23.85" hidden="false" customHeight="false" outlineLevel="0" collapsed="false">
      <c r="A1" s="1" t="s">
        <v>3</v>
      </c>
      <c r="B1" s="1" t="s">
        <v>341</v>
      </c>
      <c r="C1" s="1" t="s">
        <v>342</v>
      </c>
      <c r="D1" s="1" t="s">
        <v>343</v>
      </c>
      <c r="E1" s="1" t="s">
        <v>9</v>
      </c>
    </row>
    <row r="2" customFormat="false" ht="15" hidden="false" customHeight="false" outlineLevel="0" collapsed="false">
      <c r="A2" s="2" t="s">
        <v>69</v>
      </c>
      <c r="B2" s="2" t="n">
        <f aca="false">COUNTIF(levantamento_conjuntos!$D$2:$D$83,A2)</f>
        <v>19</v>
      </c>
      <c r="C2" s="2" t="s">
        <v>344</v>
      </c>
      <c r="D2" s="2" t="s">
        <v>345</v>
      </c>
      <c r="E2" s="2" t="s">
        <v>346</v>
      </c>
    </row>
    <row r="3" customFormat="false" ht="15" hidden="false" customHeight="false" outlineLevel="0" collapsed="false">
      <c r="A3" s="3" t="s">
        <v>88</v>
      </c>
      <c r="B3" s="3" t="n">
        <f aca="false">COUNTIF(levantamento_conjuntos!$D$2:$D$83,A3)</f>
        <v>9</v>
      </c>
      <c r="C3" s="3" t="s">
        <v>344</v>
      </c>
      <c r="D3" s="3" t="s">
        <v>345</v>
      </c>
      <c r="E3" s="3" t="s">
        <v>347</v>
      </c>
    </row>
    <row r="4" customFormat="false" ht="15" hidden="false" customHeight="false" outlineLevel="0" collapsed="false">
      <c r="A4" s="2" t="s">
        <v>57</v>
      </c>
      <c r="B4" s="2" t="n">
        <f aca="false">COUNTIF(levantamento_conjuntos!$D$2:$D$83,A4)</f>
        <v>5</v>
      </c>
      <c r="C4" s="2" t="s">
        <v>344</v>
      </c>
      <c r="D4" s="2" t="s">
        <v>345</v>
      </c>
      <c r="E4" s="2" t="s">
        <v>348</v>
      </c>
    </row>
    <row r="5" customFormat="false" ht="15" hidden="false" customHeight="false" outlineLevel="0" collapsed="false">
      <c r="A5" s="3" t="s">
        <v>50</v>
      </c>
      <c r="B5" s="3" t="n">
        <f aca="false">COUNTIF(levantamento_conjuntos!$D$2:$D$83,A5)</f>
        <v>6</v>
      </c>
      <c r="C5" s="3" t="s">
        <v>344</v>
      </c>
      <c r="D5" s="3" t="s">
        <v>345</v>
      </c>
      <c r="E5" s="3" t="s">
        <v>349</v>
      </c>
    </row>
    <row r="6" customFormat="false" ht="15" hidden="false" customHeight="false" outlineLevel="0" collapsed="false">
      <c r="A6" s="2" t="s">
        <v>107</v>
      </c>
      <c r="B6" s="2" t="n">
        <f aca="false">COUNTIF(levantamento_conjuntos!$D$2:$D$83,A6)</f>
        <v>3</v>
      </c>
      <c r="C6" s="2" t="s">
        <v>344</v>
      </c>
      <c r="D6" s="2" t="s">
        <v>350</v>
      </c>
      <c r="E6" s="2" t="s">
        <v>351</v>
      </c>
    </row>
    <row r="7" customFormat="false" ht="15" hidden="false" customHeight="false" outlineLevel="0" collapsed="false">
      <c r="A7" s="3" t="s">
        <v>292</v>
      </c>
      <c r="B7" s="3" t="n">
        <f aca="false">COUNTIF(levantamento_conjuntos!$D$2:$D$83,A7)</f>
        <v>2</v>
      </c>
      <c r="C7" s="3" t="s">
        <v>344</v>
      </c>
      <c r="D7" s="3" t="s">
        <v>345</v>
      </c>
      <c r="E7" s="3" t="s">
        <v>352</v>
      </c>
    </row>
    <row r="8" customFormat="false" ht="15" hidden="false" customHeight="false" outlineLevel="0" collapsed="false">
      <c r="A8" s="2" t="s">
        <v>28</v>
      </c>
      <c r="B8" s="2" t="n">
        <f aca="false">COUNTIF(levantamento_conjuntos!$D$2:$D$83,A8)</f>
        <v>5</v>
      </c>
      <c r="C8" s="2" t="s">
        <v>353</v>
      </c>
      <c r="D8" s="2" t="s">
        <v>354</v>
      </c>
      <c r="E8" s="2" t="s">
        <v>355</v>
      </c>
    </row>
    <row r="9" customFormat="false" ht="15" hidden="false" customHeight="false" outlineLevel="0" collapsed="false">
      <c r="A9" s="3" t="s">
        <v>14</v>
      </c>
      <c r="B9" s="3" t="n">
        <f aca="false">COUNTIF(levantamento_conjuntos!$D$2:$D$83,A9)</f>
        <v>18</v>
      </c>
      <c r="C9" s="3" t="s">
        <v>356</v>
      </c>
      <c r="D9" s="3" t="s">
        <v>354</v>
      </c>
      <c r="E9" s="3" t="s">
        <v>357</v>
      </c>
    </row>
    <row r="10" customFormat="false" ht="15" hidden="false" customHeight="false" outlineLevel="0" collapsed="false">
      <c r="A10" s="2" t="s">
        <v>189</v>
      </c>
      <c r="B10" s="2" t="n">
        <f aca="false">COUNTIF(levantamento_conjuntos!$D$2:$D$83,A10)</f>
        <v>1</v>
      </c>
      <c r="C10" s="2" t="s">
        <v>344</v>
      </c>
      <c r="D10" s="2" t="s">
        <v>358</v>
      </c>
      <c r="E10" s="2" t="s">
        <v>359</v>
      </c>
    </row>
    <row r="11" customFormat="false" ht="15" hidden="false" customHeight="false" outlineLevel="0" collapsed="false">
      <c r="A11" s="3" t="s">
        <v>273</v>
      </c>
      <c r="B11" s="3" t="n">
        <f aca="false">COUNTIF(levantamento_conjuntos!$D$2:$D$83,A11)</f>
        <v>1</v>
      </c>
      <c r="C11" s="3" t="s">
        <v>344</v>
      </c>
      <c r="D11" s="3" t="s">
        <v>358</v>
      </c>
      <c r="E11" s="3" t="s">
        <v>360</v>
      </c>
    </row>
    <row r="12" customFormat="false" ht="15" hidden="false" customHeight="false" outlineLevel="0" collapsed="false">
      <c r="A12" s="2" t="s">
        <v>102</v>
      </c>
      <c r="B12" s="2" t="n">
        <f aca="false">COUNTIF(levantamento_conjuntos!$D$2:$D$83,A12)</f>
        <v>1</v>
      </c>
      <c r="C12" s="2" t="s">
        <v>344</v>
      </c>
      <c r="D12" s="2" t="s">
        <v>350</v>
      </c>
      <c r="E12" s="2" t="s">
        <v>361</v>
      </c>
    </row>
    <row r="13" customFormat="false" ht="15" hidden="false" customHeight="false" outlineLevel="0" collapsed="false">
      <c r="A13" s="3" t="s">
        <v>316</v>
      </c>
      <c r="B13" s="3" t="n">
        <f aca="false">COUNTIF(levantamento_conjuntos!$D$2:$D$83,A13)</f>
        <v>1</v>
      </c>
      <c r="C13" s="3" t="s">
        <v>344</v>
      </c>
      <c r="D13" s="3" t="s">
        <v>358</v>
      </c>
      <c r="E13" s="3" t="s">
        <v>362</v>
      </c>
    </row>
    <row r="14" customFormat="false" ht="15" hidden="false" customHeight="false" outlineLevel="0" collapsed="false">
      <c r="A14" s="2" t="s">
        <v>33</v>
      </c>
      <c r="B14" s="2" t="n">
        <f aca="false">COUNTIF(levantamento_conjuntos!$D$2:$D$83,A14)</f>
        <v>1</v>
      </c>
      <c r="C14" s="2" t="s">
        <v>344</v>
      </c>
      <c r="D14" s="2" t="s">
        <v>358</v>
      </c>
      <c r="E14" s="2" t="s">
        <v>363</v>
      </c>
    </row>
    <row r="15" customFormat="false" ht="15" hidden="false" customHeight="false" outlineLevel="0" collapsed="false">
      <c r="A15" s="3" t="s">
        <v>235</v>
      </c>
      <c r="B15" s="3" t="n">
        <f aca="false">COUNTIF(levantamento_conjuntos!$D$2:$D$83,A15)</f>
        <v>1</v>
      </c>
      <c r="C15" s="3" t="s">
        <v>344</v>
      </c>
      <c r="D15" s="3" t="s">
        <v>358</v>
      </c>
      <c r="E15" s="3" t="s">
        <v>364</v>
      </c>
    </row>
    <row r="16" customFormat="false" ht="15" hidden="false" customHeight="false" outlineLevel="0" collapsed="false">
      <c r="A16" s="2" t="s">
        <v>223</v>
      </c>
      <c r="B16" s="2" t="n">
        <f aca="false">COUNTIF(levantamento_conjuntos!$D$2:$D$83,A16)</f>
        <v>1</v>
      </c>
      <c r="C16" s="2" t="s">
        <v>344</v>
      </c>
      <c r="D16" s="2" t="s">
        <v>344</v>
      </c>
      <c r="E16" s="2" t="s">
        <v>365</v>
      </c>
    </row>
    <row r="17" customFormat="false" ht="15" hidden="false" customHeight="false" outlineLevel="0" collapsed="false">
      <c r="A17" s="3" t="s">
        <v>217</v>
      </c>
      <c r="B17" s="3" t="n">
        <f aca="false">COUNTIF(levantamento_conjuntos!$D$2:$D$83,A17)</f>
        <v>1</v>
      </c>
      <c r="C17" s="3" t="s">
        <v>344</v>
      </c>
      <c r="D17" s="3" t="s">
        <v>344</v>
      </c>
      <c r="E17" s="3" t="s">
        <v>366</v>
      </c>
    </row>
    <row r="18" customFormat="false" ht="15" hidden="false" customHeight="false" outlineLevel="0" collapsed="false">
      <c r="A18" s="2" t="s">
        <v>258</v>
      </c>
      <c r="B18" s="2" t="n">
        <f aca="false">COUNTIF(levantamento_conjuntos!$D$2:$D$83,A18)</f>
        <v>1</v>
      </c>
      <c r="C18" s="2" t="s">
        <v>344</v>
      </c>
      <c r="D18" s="2" t="s">
        <v>344</v>
      </c>
      <c r="E18" s="2" t="s">
        <v>366</v>
      </c>
    </row>
    <row r="19" customFormat="false" ht="15" hidden="false" customHeight="false" outlineLevel="0" collapsed="false">
      <c r="A19" s="3" t="s">
        <v>367</v>
      </c>
      <c r="B19" s="3" t="n">
        <f aca="false">COUNTIF(levantamento_conjuntos!$D$2:$D$83,A19)</f>
        <v>0</v>
      </c>
      <c r="C19" s="3" t="s">
        <v>344</v>
      </c>
      <c r="D19" s="3" t="s">
        <v>344</v>
      </c>
      <c r="E19" s="3" t="s">
        <v>368</v>
      </c>
    </row>
  </sheetData>
  <autoFilter ref="A1:E19"/>
  <dataValidations count="1">
    <dataValidation allowBlank="true" errorStyle="stop" operator="between" showDropDown="false" showErrorMessage="false" showInputMessage="false" sqref="D2:D19" type="list">
      <formula1>"Sim,Avaliar,Não,Não precisa,Já no tidyverse"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2026-10-10T12:53:32Z</dcterms:created>
  <dc:creator>openpyxl</dc:creator>
  <dc:description/>
  <dc:language>en-US</dc:language>
  <cp:lastModifiedBy/>
  <dcterms:modified xsi:type="dcterms:W3CDTF">2026-10-10T12:53:32Z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