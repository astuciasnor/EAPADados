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827"/>
  <workbookPr defaultThemeVersion="166925"/>
  <mc:AlternateContent xmlns:mc="http://schemas.openxmlformats.org/markup-compatibility/2006">
    <mc:Choice Requires="x15">
      <x15ac:absPath xmlns:x15ac="http://schemas.microsoft.com/office/spreadsheetml/2010/11/ac" url="C:\Users\ahappel\Desktop\DATA\2015 J. LAT feeding\R testing 2020\"/>
    </mc:Choice>
  </mc:AlternateContent>
  <xr:revisionPtr revIDLastSave="0" documentId="13_ncr:1_{3707FE84-A2DE-4A96-A01E-2ABEFC947409}" xr6:coauthVersionLast="45" xr6:coauthVersionMax="45" xr10:uidLastSave="{00000000-0000-0000-0000-000000000000}"/>
  <bookViews>
    <workbookView xWindow="28680" yWindow="-120" windowWidth="19440" windowHeight="15000" xr2:uid="{0A94BAC3-51C6-4A12-BF12-82FA68A0D2A8}"/>
  </bookViews>
  <sheets>
    <sheet name="MetaData" sheetId="6" r:id="rId1"/>
    <sheet name="Survival Data" sheetId="7" r:id="rId2"/>
    <sheet name="FAS as mg" sheetId="5" r:id="rId3"/>
    <sheet name="FAS as percentage"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N3" i="5" l="1"/>
  <c r="AN4" i="5"/>
  <c r="AN5" i="5"/>
  <c r="AN6" i="5"/>
  <c r="AN7" i="5"/>
  <c r="AN8" i="5"/>
  <c r="AN9" i="5"/>
  <c r="AN10" i="5"/>
  <c r="AN11" i="5"/>
  <c r="AN12" i="5"/>
  <c r="AN13" i="5"/>
  <c r="AN14" i="5"/>
  <c r="AN15" i="5"/>
  <c r="AN16" i="5"/>
  <c r="AN17" i="5"/>
  <c r="AN18" i="5"/>
  <c r="AN19" i="5"/>
  <c r="AN20" i="5"/>
  <c r="AN21" i="5"/>
  <c r="AN22" i="5"/>
  <c r="AN23" i="5"/>
  <c r="AN24" i="5"/>
  <c r="AN25" i="5"/>
  <c r="AN26" i="5"/>
  <c r="AN27" i="5"/>
  <c r="AN28" i="5"/>
  <c r="AN29" i="5"/>
  <c r="AN30" i="5"/>
  <c r="AN31" i="5"/>
  <c r="AN32" i="5"/>
  <c r="AN33" i="5"/>
  <c r="AN34" i="5"/>
  <c r="AN35" i="5"/>
  <c r="AN36" i="5"/>
  <c r="AN37" i="5"/>
  <c r="AN38" i="5"/>
  <c r="AN39" i="5"/>
  <c r="AN40" i="5"/>
  <c r="AN41" i="5"/>
  <c r="AN42" i="5"/>
  <c r="AN43" i="5"/>
  <c r="AN44" i="5"/>
  <c r="AN45" i="5"/>
  <c r="AN46" i="5"/>
  <c r="AN47" i="5"/>
  <c r="AN48" i="5"/>
  <c r="AN49" i="5"/>
  <c r="AN50" i="5"/>
  <c r="AN51" i="5"/>
  <c r="AN52" i="5"/>
  <c r="AN53" i="5"/>
  <c r="AN54" i="5"/>
  <c r="AN55" i="5"/>
  <c r="AN56" i="5"/>
  <c r="AN57" i="5"/>
  <c r="AN58" i="5"/>
  <c r="AN59" i="5"/>
  <c r="AN60" i="5"/>
  <c r="AN61" i="5"/>
  <c r="AN62" i="5"/>
  <c r="AN63" i="5"/>
  <c r="AN64" i="5"/>
  <c r="AN65" i="5"/>
  <c r="AN66" i="5"/>
  <c r="AN67" i="5"/>
  <c r="AN68" i="5"/>
  <c r="AN69" i="5"/>
  <c r="AN70" i="5"/>
  <c r="AN71" i="5"/>
  <c r="AN72" i="5"/>
  <c r="AN73" i="5"/>
  <c r="AN74" i="5"/>
  <c r="AN75" i="5"/>
  <c r="AN76" i="5"/>
  <c r="AN77" i="5"/>
  <c r="AN78" i="5"/>
  <c r="AN79" i="5"/>
  <c r="AN80" i="5"/>
  <c r="AN81" i="5"/>
  <c r="AN82" i="5"/>
  <c r="AN83" i="5"/>
  <c r="AN84" i="5"/>
  <c r="AN85" i="5"/>
  <c r="AN86" i="5"/>
  <c r="AN87" i="5"/>
  <c r="AN88" i="5"/>
  <c r="AN89" i="5"/>
  <c r="AN90" i="5"/>
  <c r="AN91" i="5"/>
  <c r="AN92" i="5"/>
  <c r="AN93" i="5"/>
  <c r="AN94" i="5"/>
  <c r="AN95" i="5"/>
  <c r="AN96" i="5"/>
  <c r="AN97" i="5"/>
  <c r="AN98" i="5"/>
  <c r="AN99" i="5"/>
  <c r="AN100" i="5"/>
  <c r="AN101" i="5"/>
  <c r="AN102" i="5"/>
  <c r="AN103" i="5"/>
  <c r="AN104" i="5"/>
  <c r="AN105" i="5"/>
  <c r="AN106" i="5"/>
  <c r="AN107" i="5"/>
  <c r="AN108" i="5"/>
  <c r="AN109" i="5"/>
  <c r="AN110" i="5"/>
  <c r="AN111" i="5"/>
  <c r="AN112" i="5"/>
  <c r="AN113" i="5"/>
  <c r="AN114" i="5"/>
  <c r="AN115" i="5"/>
  <c r="AN116" i="5"/>
  <c r="AN117" i="5"/>
  <c r="AN118" i="5"/>
  <c r="AN119" i="5"/>
  <c r="AN120" i="5"/>
  <c r="AN121" i="5"/>
  <c r="AN122" i="5"/>
  <c r="AN123" i="5"/>
  <c r="AN124" i="5"/>
  <c r="AN125" i="5"/>
  <c r="AN126" i="5"/>
  <c r="AN127" i="5"/>
  <c r="AN128" i="5"/>
  <c r="AN129" i="5"/>
  <c r="AN130" i="5"/>
  <c r="AN131" i="5"/>
  <c r="AN132" i="5"/>
  <c r="AN133" i="5"/>
  <c r="AN134" i="5"/>
  <c r="AN135" i="5"/>
  <c r="AN136" i="5"/>
  <c r="AN137" i="5"/>
  <c r="AN138" i="5"/>
  <c r="AN139" i="5"/>
  <c r="AN140" i="5"/>
  <c r="AN141" i="5"/>
  <c r="AN142" i="5"/>
  <c r="AN143" i="5"/>
  <c r="AN144" i="5"/>
  <c r="AN145" i="5"/>
  <c r="AN146" i="5"/>
  <c r="AN147" i="5"/>
  <c r="AN148" i="5"/>
  <c r="AN149" i="5"/>
  <c r="AN150" i="5"/>
  <c r="AN151" i="5"/>
  <c r="AN152" i="5"/>
  <c r="AN153" i="5"/>
  <c r="AN154" i="5"/>
  <c r="AN155" i="5"/>
  <c r="AN156" i="5"/>
  <c r="AN157" i="5"/>
  <c r="AN158" i="5"/>
  <c r="AN159" i="5"/>
  <c r="AN160" i="5"/>
  <c r="AN161" i="5"/>
  <c r="AN162" i="5"/>
  <c r="AN163" i="5"/>
  <c r="AN164" i="5"/>
  <c r="AN165" i="5"/>
  <c r="AN166" i="5"/>
  <c r="AN167" i="5"/>
  <c r="AN168" i="5"/>
  <c r="AN169" i="5"/>
  <c r="AN170" i="5"/>
  <c r="AN171" i="5"/>
  <c r="AN172" i="5"/>
  <c r="AN173" i="5"/>
  <c r="AN174" i="5"/>
  <c r="AN175" i="5"/>
  <c r="AN176" i="5"/>
  <c r="AN177" i="5"/>
  <c r="AN178" i="5"/>
  <c r="AN179" i="5"/>
  <c r="AN180" i="5"/>
  <c r="AN181" i="5"/>
  <c r="AN182" i="5"/>
  <c r="AN183" i="5"/>
  <c r="AN184" i="5"/>
  <c r="AN185" i="5"/>
  <c r="AN186" i="5"/>
  <c r="AN187" i="5"/>
  <c r="AN188" i="5"/>
  <c r="AN189" i="5"/>
  <c r="AN190" i="5"/>
  <c r="AN191" i="5"/>
  <c r="AN192" i="5"/>
  <c r="AN193" i="5"/>
  <c r="AN194" i="5"/>
  <c r="AN195" i="5"/>
  <c r="AN196" i="5"/>
  <c r="AN197" i="5"/>
  <c r="AN198" i="5"/>
  <c r="AN199" i="5"/>
  <c r="AN200" i="5"/>
  <c r="AN201" i="5"/>
  <c r="AN202" i="5"/>
  <c r="AN203" i="5"/>
  <c r="AN204" i="5"/>
  <c r="AN205" i="5"/>
  <c r="AN206" i="5"/>
  <c r="AN207" i="5"/>
  <c r="AN208" i="5"/>
  <c r="AN209" i="5"/>
  <c r="AN210" i="5"/>
  <c r="AN211" i="5"/>
  <c r="AN212" i="5"/>
  <c r="AN213" i="5"/>
  <c r="AN214" i="5"/>
  <c r="AN215" i="5"/>
  <c r="AN216" i="5"/>
  <c r="AN217" i="5"/>
  <c r="AN218" i="5"/>
  <c r="AN219" i="5"/>
  <c r="AN220" i="5"/>
  <c r="AN221" i="5"/>
  <c r="AN222" i="5"/>
  <c r="AN223" i="5"/>
  <c r="AN224" i="5"/>
  <c r="AN225" i="5"/>
  <c r="AN226" i="5"/>
  <c r="AN227" i="5"/>
  <c r="AN228" i="5"/>
  <c r="AN229" i="5"/>
  <c r="AN230" i="5"/>
  <c r="AN231" i="5"/>
  <c r="AN232" i="5"/>
  <c r="AN233" i="5"/>
  <c r="AN234" i="5"/>
  <c r="AN235" i="5"/>
  <c r="AN236" i="5"/>
  <c r="AN237" i="5"/>
  <c r="AN2" i="5"/>
  <c r="AM3" i="5"/>
  <c r="AM4" i="5"/>
  <c r="AM5" i="5"/>
  <c r="AM6" i="5"/>
  <c r="AM7" i="5"/>
  <c r="AM8" i="5"/>
  <c r="AM9" i="5"/>
  <c r="AM10" i="5"/>
  <c r="AM11" i="5"/>
  <c r="AM12" i="5"/>
  <c r="AM13" i="5"/>
  <c r="AM14" i="5"/>
  <c r="AM15" i="5"/>
  <c r="AM16" i="5"/>
  <c r="AM17" i="5"/>
  <c r="AM18" i="5"/>
  <c r="AM19" i="5"/>
  <c r="AM20" i="5"/>
  <c r="AM21" i="5"/>
  <c r="AM22" i="5"/>
  <c r="AM23" i="5"/>
  <c r="AM24" i="5"/>
  <c r="AM25" i="5"/>
  <c r="AM26" i="5"/>
  <c r="AM27" i="5"/>
  <c r="AM28" i="5"/>
  <c r="AM29" i="5"/>
  <c r="AM30" i="5"/>
  <c r="AM31" i="5"/>
  <c r="AM32" i="5"/>
  <c r="AM33" i="5"/>
  <c r="AM34" i="5"/>
  <c r="AM35" i="5"/>
  <c r="AM36" i="5"/>
  <c r="AM37" i="5"/>
  <c r="AM38" i="5"/>
  <c r="AM39" i="5"/>
  <c r="AM40" i="5"/>
  <c r="AM41" i="5"/>
  <c r="AM42" i="5"/>
  <c r="AM43" i="5"/>
  <c r="AM44" i="5"/>
  <c r="AM45" i="5"/>
  <c r="AM46" i="5"/>
  <c r="AM47" i="5"/>
  <c r="AM48" i="5"/>
  <c r="AM49" i="5"/>
  <c r="AM50" i="5"/>
  <c r="AM51" i="5"/>
  <c r="AM52" i="5"/>
  <c r="AM53" i="5"/>
  <c r="AM54" i="5"/>
  <c r="AM55" i="5"/>
  <c r="AM56" i="5"/>
  <c r="AM57" i="5"/>
  <c r="AM58" i="5"/>
  <c r="AM59" i="5"/>
  <c r="AM60" i="5"/>
  <c r="AM61" i="5"/>
  <c r="AM62" i="5"/>
  <c r="AM63" i="5"/>
  <c r="AM64" i="5"/>
  <c r="AM65" i="5"/>
  <c r="AM66" i="5"/>
  <c r="AM67" i="5"/>
  <c r="AM68" i="5"/>
  <c r="AM69" i="5"/>
  <c r="AM70" i="5"/>
  <c r="AM71" i="5"/>
  <c r="AM72" i="5"/>
  <c r="AM73" i="5"/>
  <c r="AM74" i="5"/>
  <c r="AM75" i="5"/>
  <c r="AM76" i="5"/>
  <c r="AM77" i="5"/>
  <c r="AM78" i="5"/>
  <c r="AM79" i="5"/>
  <c r="AM80" i="5"/>
  <c r="AM81" i="5"/>
  <c r="AM82" i="5"/>
  <c r="AM83" i="5"/>
  <c r="AM84" i="5"/>
  <c r="AM85" i="5"/>
  <c r="AM86" i="5"/>
  <c r="AM87" i="5"/>
  <c r="AM88" i="5"/>
  <c r="AM89" i="5"/>
  <c r="AM90" i="5"/>
  <c r="AM91" i="5"/>
  <c r="AM92" i="5"/>
  <c r="AM93" i="5"/>
  <c r="AM94" i="5"/>
  <c r="AM95" i="5"/>
  <c r="AM96" i="5"/>
  <c r="AM97" i="5"/>
  <c r="AM98" i="5"/>
  <c r="AM99" i="5"/>
  <c r="AM100" i="5"/>
  <c r="AM101" i="5"/>
  <c r="AM102" i="5"/>
  <c r="AM103" i="5"/>
  <c r="AM104" i="5"/>
  <c r="AM105" i="5"/>
  <c r="AM106" i="5"/>
  <c r="AM107" i="5"/>
  <c r="AM108" i="5"/>
  <c r="AM109" i="5"/>
  <c r="AM110" i="5"/>
  <c r="AM111" i="5"/>
  <c r="AM112" i="5"/>
  <c r="AM113" i="5"/>
  <c r="AM114" i="5"/>
  <c r="AM115" i="5"/>
  <c r="AM116" i="5"/>
  <c r="AM117" i="5"/>
  <c r="AM118" i="5"/>
  <c r="AM119" i="5"/>
  <c r="AM120" i="5"/>
  <c r="AM121" i="5"/>
  <c r="AM122" i="5"/>
  <c r="AM123" i="5"/>
  <c r="AM124" i="5"/>
  <c r="AM125" i="5"/>
  <c r="AM126" i="5"/>
  <c r="AM127" i="5"/>
  <c r="AM128" i="5"/>
  <c r="AM129" i="5"/>
  <c r="AM130" i="5"/>
  <c r="AM131" i="5"/>
  <c r="AM132" i="5"/>
  <c r="AM133" i="5"/>
  <c r="AM134" i="5"/>
  <c r="AM135" i="5"/>
  <c r="AM136" i="5"/>
  <c r="AM137" i="5"/>
  <c r="AM138" i="5"/>
  <c r="AM139" i="5"/>
  <c r="AM140" i="5"/>
  <c r="AM141" i="5"/>
  <c r="AM142" i="5"/>
  <c r="AM143" i="5"/>
  <c r="AM144" i="5"/>
  <c r="AM145" i="5"/>
  <c r="AM146" i="5"/>
  <c r="AM147" i="5"/>
  <c r="AM148" i="5"/>
  <c r="AM149" i="5"/>
  <c r="AM150" i="5"/>
  <c r="AM151" i="5"/>
  <c r="AM152" i="5"/>
  <c r="AM153" i="5"/>
  <c r="AM154" i="5"/>
  <c r="AM155" i="5"/>
  <c r="AM156" i="5"/>
  <c r="AM157" i="5"/>
  <c r="AM158" i="5"/>
  <c r="AM159" i="5"/>
  <c r="AM160" i="5"/>
  <c r="AM161" i="5"/>
  <c r="AM162" i="5"/>
  <c r="AM163" i="5"/>
  <c r="AM164" i="5"/>
  <c r="AM165" i="5"/>
  <c r="AM166" i="5"/>
  <c r="AM167" i="5"/>
  <c r="AM168" i="5"/>
  <c r="AM169" i="5"/>
  <c r="AM170" i="5"/>
  <c r="AM171" i="5"/>
  <c r="AM172" i="5"/>
  <c r="AM173" i="5"/>
  <c r="AM174" i="5"/>
  <c r="AM175" i="5"/>
  <c r="AM176" i="5"/>
  <c r="AM177" i="5"/>
  <c r="AM178" i="5"/>
  <c r="AM179" i="5"/>
  <c r="AM180" i="5"/>
  <c r="AM181" i="5"/>
  <c r="AM182" i="5"/>
  <c r="AM183" i="5"/>
  <c r="AM184" i="5"/>
  <c r="AM185" i="5"/>
  <c r="AM186" i="5"/>
  <c r="AM187" i="5"/>
  <c r="AM188" i="5"/>
  <c r="AM189" i="5"/>
  <c r="AM190" i="5"/>
  <c r="AM191" i="5"/>
  <c r="AM192" i="5"/>
  <c r="AM193" i="5"/>
  <c r="AM194" i="5"/>
  <c r="AM195" i="5"/>
  <c r="AM196" i="5"/>
  <c r="AM197" i="5"/>
  <c r="AM198" i="5"/>
  <c r="AM199" i="5"/>
  <c r="AM200" i="5"/>
  <c r="AM201" i="5"/>
  <c r="AM202" i="5"/>
  <c r="AM203" i="5"/>
  <c r="AM204" i="5"/>
  <c r="AM205" i="5"/>
  <c r="AM206" i="5"/>
  <c r="AM207" i="5"/>
  <c r="AM208" i="5"/>
  <c r="AM209" i="5"/>
  <c r="AM210" i="5"/>
  <c r="AM211" i="5"/>
  <c r="AM212" i="5"/>
  <c r="AM213" i="5"/>
  <c r="AM214" i="5"/>
  <c r="AM215" i="5"/>
  <c r="AM216" i="5"/>
  <c r="AM217" i="5"/>
  <c r="AM218" i="5"/>
  <c r="AM219" i="5"/>
  <c r="AM220" i="5"/>
  <c r="AM221" i="5"/>
  <c r="AM222" i="5"/>
  <c r="AM223" i="5"/>
  <c r="AM224" i="5"/>
  <c r="AM225" i="5"/>
  <c r="AM226" i="5"/>
  <c r="AM227" i="5"/>
  <c r="AM228" i="5"/>
  <c r="AM229" i="5"/>
  <c r="AM230" i="5"/>
  <c r="AM231" i="5"/>
  <c r="AM232" i="5"/>
  <c r="AM233" i="5"/>
  <c r="AM234" i="5"/>
  <c r="AM235" i="5"/>
  <c r="AM236" i="5"/>
  <c r="AM237" i="5"/>
  <c r="AM2" i="5"/>
  <c r="J28" i="7" l="1"/>
  <c r="J29" i="7"/>
  <c r="J30" i="7"/>
  <c r="J31" i="7"/>
  <c r="J32" i="7"/>
  <c r="J33" i="7"/>
  <c r="J34" i="7"/>
  <c r="J35" i="7"/>
  <c r="J36" i="7"/>
  <c r="J37" i="7"/>
  <c r="J38" i="7"/>
  <c r="J39" i="7"/>
  <c r="J40" i="7"/>
  <c r="J41" i="7"/>
  <c r="J42" i="7"/>
  <c r="J43" i="7"/>
  <c r="J44" i="7"/>
  <c r="J45" i="7"/>
  <c r="G28" i="7"/>
  <c r="G29" i="7"/>
  <c r="G30" i="7"/>
  <c r="G31" i="7"/>
  <c r="G32" i="7"/>
  <c r="G33" i="7"/>
  <c r="G34" i="7"/>
  <c r="G35" i="7"/>
  <c r="G36" i="7"/>
  <c r="G37" i="7"/>
  <c r="G38" i="7"/>
  <c r="G39" i="7"/>
  <c r="G40" i="7"/>
  <c r="G41" i="7"/>
  <c r="G42" i="7"/>
  <c r="G43" i="7"/>
  <c r="G44" i="7"/>
  <c r="G45" i="7"/>
  <c r="D28" i="7"/>
  <c r="D29" i="7"/>
  <c r="D30" i="7"/>
  <c r="D31" i="7"/>
  <c r="D32" i="7"/>
  <c r="D33" i="7"/>
  <c r="D34" i="7"/>
  <c r="D35" i="7"/>
  <c r="D36" i="7"/>
  <c r="D37" i="7"/>
  <c r="D38" i="7"/>
  <c r="D39" i="7"/>
  <c r="D40" i="7"/>
  <c r="D41" i="7"/>
  <c r="D42" i="7"/>
  <c r="D43" i="7"/>
  <c r="D44" i="7"/>
  <c r="D45" i="7"/>
  <c r="J26" i="7"/>
  <c r="J27" i="7"/>
  <c r="J25" i="7"/>
  <c r="G26" i="7"/>
  <c r="G27" i="7"/>
  <c r="G25" i="7"/>
  <c r="D26" i="7"/>
  <c r="D27" i="7"/>
  <c r="D25" i="7"/>
</calcChain>
</file>

<file path=xl/sharedStrings.xml><?xml version="1.0" encoding="utf-8"?>
<sst xmlns="http://schemas.openxmlformats.org/spreadsheetml/2006/main" count="2308" uniqueCount="317">
  <si>
    <t>Aquarium</t>
  </si>
  <si>
    <t>Diet</t>
  </si>
  <si>
    <t>Week</t>
  </si>
  <si>
    <t>Standard Length (mm)</t>
  </si>
  <si>
    <t>Total Length (mm)</t>
  </si>
  <si>
    <t>Weight (g)</t>
  </si>
  <si>
    <t>NA</t>
  </si>
  <si>
    <t>B</t>
  </si>
  <si>
    <t>B:D</t>
  </si>
  <si>
    <t>B:S</t>
  </si>
  <si>
    <t>B:S:D</t>
  </si>
  <si>
    <t>D</t>
  </si>
  <si>
    <t>S</t>
  </si>
  <si>
    <t>S:D</t>
  </si>
  <si>
    <t>Sample Name</t>
  </si>
  <si>
    <t>Site</t>
  </si>
  <si>
    <t>Fish/Vial</t>
  </si>
  <si>
    <t>C12:0</t>
  </si>
  <si>
    <t xml:space="preserve">C14:0 </t>
  </si>
  <si>
    <t xml:space="preserve">C15:0 </t>
  </si>
  <si>
    <t>C16:0</t>
  </si>
  <si>
    <t>C16:1n-9</t>
  </si>
  <si>
    <t>C16:1n-7</t>
  </si>
  <si>
    <t>C17:0</t>
  </si>
  <si>
    <t>C17:1</t>
  </si>
  <si>
    <t>C18:0</t>
  </si>
  <si>
    <t xml:space="preserve">C18:1n-9 </t>
  </si>
  <si>
    <t>C18:1n-7</t>
  </si>
  <si>
    <t>C18:2n-6</t>
  </si>
  <si>
    <t>C18:3n-3</t>
  </si>
  <si>
    <t>C18:4n-3</t>
  </si>
  <si>
    <t>C20:0</t>
  </si>
  <si>
    <t>C20:1</t>
  </si>
  <si>
    <t>C20:2n-6</t>
  </si>
  <si>
    <t>C20:3n-6</t>
  </si>
  <si>
    <t>C20:4n-6</t>
  </si>
  <si>
    <t>C20:3n-3</t>
  </si>
  <si>
    <t>C20:4n-3</t>
  </si>
  <si>
    <t>C20:5n-3</t>
  </si>
  <si>
    <t>C22:0</t>
  </si>
  <si>
    <t>C22:4n-6</t>
  </si>
  <si>
    <t>C22:5n-6</t>
  </si>
  <si>
    <t>C22:5n-3</t>
  </si>
  <si>
    <t>C22:6n-3</t>
  </si>
  <si>
    <t>TL10857</t>
  </si>
  <si>
    <t>Shrimp</t>
  </si>
  <si>
    <t>TL10858</t>
  </si>
  <si>
    <t>TL10859</t>
  </si>
  <si>
    <t>TL10860</t>
  </si>
  <si>
    <t>Shrimp:Daphnia</t>
  </si>
  <si>
    <t>TL10861</t>
  </si>
  <si>
    <t>TL10862</t>
  </si>
  <si>
    <t>TL10863</t>
  </si>
  <si>
    <t>Bloodworm:Shrimp:Daphnia</t>
  </si>
  <si>
    <t>TL10864</t>
  </si>
  <si>
    <t>TL10865</t>
  </si>
  <si>
    <t>TL10866</t>
  </si>
  <si>
    <t>Bloodworm:Shrimp</t>
  </si>
  <si>
    <t>TL10867</t>
  </si>
  <si>
    <t>TL10868</t>
  </si>
  <si>
    <t>TL10869</t>
  </si>
  <si>
    <t>Daphnia</t>
  </si>
  <si>
    <t>TL10870</t>
  </si>
  <si>
    <t>TL10871</t>
  </si>
  <si>
    <t>TL10872</t>
  </si>
  <si>
    <t>Bloodworm</t>
  </si>
  <si>
    <t>TL10873</t>
  </si>
  <si>
    <t>TL10874</t>
  </si>
  <si>
    <t>TL10875</t>
  </si>
  <si>
    <t>Bloodworm:Daphnia</t>
  </si>
  <si>
    <t>TL10876</t>
  </si>
  <si>
    <t>TL10877</t>
  </si>
  <si>
    <t>TL10878</t>
  </si>
  <si>
    <t>Michigan</t>
  </si>
  <si>
    <t>TL10879</t>
  </si>
  <si>
    <t>TL10880</t>
  </si>
  <si>
    <t>TL10881</t>
  </si>
  <si>
    <t>TL10882</t>
  </si>
  <si>
    <t>TL10883</t>
  </si>
  <si>
    <t>TL10884v</t>
  </si>
  <si>
    <t>TL10885b</t>
  </si>
  <si>
    <t>TL10886b</t>
  </si>
  <si>
    <t>TL10887</t>
  </si>
  <si>
    <t>TL10888</t>
  </si>
  <si>
    <t>TL10889</t>
  </si>
  <si>
    <t>TL10890</t>
  </si>
  <si>
    <t>TL10891</t>
  </si>
  <si>
    <t>TL10892</t>
  </si>
  <si>
    <t>TL10893</t>
  </si>
  <si>
    <t>TL10894</t>
  </si>
  <si>
    <t>TL10895</t>
  </si>
  <si>
    <t>TL10896</t>
  </si>
  <si>
    <t>TL10897</t>
  </si>
  <si>
    <t>TL10898</t>
  </si>
  <si>
    <t>TL10899</t>
  </si>
  <si>
    <t>TL10900</t>
  </si>
  <si>
    <t>TL10901</t>
  </si>
  <si>
    <t>TL10902</t>
  </si>
  <si>
    <t>TL10903</t>
  </si>
  <si>
    <t>TL10904</t>
  </si>
  <si>
    <t>TL10914b</t>
  </si>
  <si>
    <t>TL10915</t>
  </si>
  <si>
    <t>TL10916</t>
  </si>
  <si>
    <t>TL10917</t>
  </si>
  <si>
    <t>TL10918</t>
  </si>
  <si>
    <t>TL10919</t>
  </si>
  <si>
    <t>TL10920</t>
  </si>
  <si>
    <t>TL10921</t>
  </si>
  <si>
    <t>TL10922</t>
  </si>
  <si>
    <t>TL10923</t>
  </si>
  <si>
    <t>TL10924</t>
  </si>
  <si>
    <t>TL10925</t>
  </si>
  <si>
    <t>TL10926</t>
  </si>
  <si>
    <t>TL10927</t>
  </si>
  <si>
    <t>TL10928</t>
  </si>
  <si>
    <t>TL10929</t>
  </si>
  <si>
    <t>TL10930</t>
  </si>
  <si>
    <t>TL10931</t>
  </si>
  <si>
    <t>TL10932</t>
  </si>
  <si>
    <t>TL10933</t>
  </si>
  <si>
    <t>TL10934</t>
  </si>
  <si>
    <t>TL10935</t>
  </si>
  <si>
    <t>TL10936</t>
  </si>
  <si>
    <t>TL10937</t>
  </si>
  <si>
    <t>TL10938</t>
  </si>
  <si>
    <t>TL10939</t>
  </si>
  <si>
    <t>TL10940</t>
  </si>
  <si>
    <t>TL10941</t>
  </si>
  <si>
    <t>TL10942</t>
  </si>
  <si>
    <t>TL10943</t>
  </si>
  <si>
    <t>TL10944</t>
  </si>
  <si>
    <t>TL10945</t>
  </si>
  <si>
    <t>TL10946</t>
  </si>
  <si>
    <t>TL10947</t>
  </si>
  <si>
    <t>Initial</t>
  </si>
  <si>
    <t>TL10948</t>
  </si>
  <si>
    <t>TL10949</t>
  </si>
  <si>
    <t>TL10950</t>
  </si>
  <si>
    <t>TL10951</t>
  </si>
  <si>
    <t>TL10952</t>
  </si>
  <si>
    <t>TL10953</t>
  </si>
  <si>
    <t>TL10954</t>
  </si>
  <si>
    <t>TL10955</t>
  </si>
  <si>
    <t>TL10956</t>
  </si>
  <si>
    <t>TL10957</t>
  </si>
  <si>
    <t>TL10958</t>
  </si>
  <si>
    <t>TL10959</t>
  </si>
  <si>
    <t>TL10960</t>
  </si>
  <si>
    <t>TL10961</t>
  </si>
  <si>
    <t>TL10962</t>
  </si>
  <si>
    <t>TL10963</t>
  </si>
  <si>
    <t>TL10964</t>
  </si>
  <si>
    <t>TL10965</t>
  </si>
  <si>
    <t>TL10966</t>
  </si>
  <si>
    <t>TL10967</t>
  </si>
  <si>
    <t>TL10968</t>
  </si>
  <si>
    <t>TL10969</t>
  </si>
  <si>
    <t>TL10970</t>
  </si>
  <si>
    <t>TL10971</t>
  </si>
  <si>
    <t>TL10972</t>
  </si>
  <si>
    <t>TL10973</t>
  </si>
  <si>
    <t>TL10974</t>
  </si>
  <si>
    <t>TL10975</t>
  </si>
  <si>
    <t>TL10976</t>
  </si>
  <si>
    <t>TL11018</t>
  </si>
  <si>
    <t>TL11019</t>
  </si>
  <si>
    <t>TL11020</t>
  </si>
  <si>
    <t>TL11021</t>
  </si>
  <si>
    <t>TL11022</t>
  </si>
  <si>
    <t>TL11023</t>
  </si>
  <si>
    <t>TL11024</t>
  </si>
  <si>
    <t>TL11025</t>
  </si>
  <si>
    <t>TL11026</t>
  </si>
  <si>
    <t>TL11027</t>
  </si>
  <si>
    <t>TL11028</t>
  </si>
  <si>
    <t>TL11030</t>
  </si>
  <si>
    <t>TL11031</t>
  </si>
  <si>
    <t>TL11032</t>
  </si>
  <si>
    <t>TL11033</t>
  </si>
  <si>
    <t>TL11034</t>
  </si>
  <si>
    <t>TL11035</t>
  </si>
  <si>
    <t>TL11036</t>
  </si>
  <si>
    <t>TL11037</t>
  </si>
  <si>
    <t>TL11038</t>
  </si>
  <si>
    <t>TL11039</t>
  </si>
  <si>
    <t>TL11040</t>
  </si>
  <si>
    <t>TL11041</t>
  </si>
  <si>
    <t>TL11042</t>
  </si>
  <si>
    <t>TL11043</t>
  </si>
  <si>
    <t>TL11044</t>
  </si>
  <si>
    <t>TL11045</t>
  </si>
  <si>
    <t>TL11046</t>
  </si>
  <si>
    <t>TL11047</t>
  </si>
  <si>
    <t>TL11048</t>
  </si>
  <si>
    <t>TL11049</t>
  </si>
  <si>
    <t>TL11050</t>
  </si>
  <si>
    <t>TL11211</t>
  </si>
  <si>
    <t>TL11212</t>
  </si>
  <si>
    <t>TL11213</t>
  </si>
  <si>
    <t>TL11214</t>
  </si>
  <si>
    <t>TL11215</t>
  </si>
  <si>
    <t>TL11216</t>
  </si>
  <si>
    <t>TL11217</t>
  </si>
  <si>
    <t>TL11218</t>
  </si>
  <si>
    <t>TL11219</t>
  </si>
  <si>
    <t>TL11220</t>
  </si>
  <si>
    <t>TL11221</t>
  </si>
  <si>
    <t>TL11222</t>
  </si>
  <si>
    <t>TL11223</t>
  </si>
  <si>
    <t>TL11224</t>
  </si>
  <si>
    <t>TL11225</t>
  </si>
  <si>
    <t>TL11226</t>
  </si>
  <si>
    <t>TL11227</t>
  </si>
  <si>
    <t>TL11228</t>
  </si>
  <si>
    <t>TL11229</t>
  </si>
  <si>
    <t>TL11230</t>
  </si>
  <si>
    <t>TL11231</t>
  </si>
  <si>
    <t>TL11232</t>
  </si>
  <si>
    <t>TL11233</t>
  </si>
  <si>
    <t>TL11234</t>
  </si>
  <si>
    <t>TL11235</t>
  </si>
  <si>
    <t>TL11236</t>
  </si>
  <si>
    <t>TL11237</t>
  </si>
  <si>
    <t>TL11238</t>
  </si>
  <si>
    <t>TL11239</t>
  </si>
  <si>
    <t>TL11240</t>
  </si>
  <si>
    <t>TL11289b</t>
  </si>
  <si>
    <t>TL11290</t>
  </si>
  <si>
    <t>TL11291</t>
  </si>
  <si>
    <t>TL11292</t>
  </si>
  <si>
    <t>TL11293</t>
  </si>
  <si>
    <t>TL11294</t>
  </si>
  <si>
    <t>TL11295</t>
  </si>
  <si>
    <t>TL11296</t>
  </si>
  <si>
    <t>TL11297</t>
  </si>
  <si>
    <t>TL11298</t>
  </si>
  <si>
    <t>TL11299</t>
  </si>
  <si>
    <t>TL11300</t>
  </si>
  <si>
    <t>TL11301</t>
  </si>
  <si>
    <t>TL11302</t>
  </si>
  <si>
    <t>TL11303</t>
  </si>
  <si>
    <t>TL11304</t>
  </si>
  <si>
    <t>TL11305</t>
  </si>
  <si>
    <t>TL11306</t>
  </si>
  <si>
    <t>TL11307</t>
  </si>
  <si>
    <t>TL11308</t>
  </si>
  <si>
    <t>TL11309</t>
  </si>
  <si>
    <t>TL11310</t>
  </si>
  <si>
    <t>TL11311</t>
  </si>
  <si>
    <t>TL11312</t>
  </si>
  <si>
    <t>TL11313</t>
  </si>
  <si>
    <t>TL11314</t>
  </si>
  <si>
    <t>TL11315</t>
  </si>
  <si>
    <t>TL11316</t>
  </si>
  <si>
    <t>TL11317</t>
  </si>
  <si>
    <t>TL11318</t>
  </si>
  <si>
    <t>TL11319</t>
  </si>
  <si>
    <t>TL11320</t>
  </si>
  <si>
    <t>TL11321</t>
  </si>
  <si>
    <t>TL11322</t>
  </si>
  <si>
    <t>TL11323</t>
  </si>
  <si>
    <t>TL11324</t>
  </si>
  <si>
    <t>TL11325</t>
  </si>
  <si>
    <t>TL11326</t>
  </si>
  <si>
    <t>TL11327</t>
  </si>
  <si>
    <t>TL11328</t>
  </si>
  <si>
    <t>TL11329</t>
  </si>
  <si>
    <t>TL11330</t>
  </si>
  <si>
    <t>TL11331</t>
  </si>
  <si>
    <t>TL11332</t>
  </si>
  <si>
    <t>TL11333</t>
  </si>
  <si>
    <t>TL11334</t>
  </si>
  <si>
    <t>TL11335</t>
  </si>
  <si>
    <t>TL11336</t>
  </si>
  <si>
    <t>TL11337</t>
  </si>
  <si>
    <t>TL11338</t>
  </si>
  <si>
    <t>TL11339</t>
  </si>
  <si>
    <t>TL11340</t>
  </si>
  <si>
    <t>TL11341</t>
  </si>
  <si>
    <t>TL11342</t>
  </si>
  <si>
    <t>TL11343</t>
  </si>
  <si>
    <t>TL11344</t>
  </si>
  <si>
    <t>TL11345</t>
  </si>
  <si>
    <t>TL11346</t>
  </si>
  <si>
    <t>TL11347</t>
  </si>
  <si>
    <t>TL11348</t>
  </si>
  <si>
    <t>TL11349</t>
  </si>
  <si>
    <t>TL11350</t>
  </si>
  <si>
    <t>TL11351</t>
  </si>
  <si>
    <t>Week 12</t>
  </si>
  <si>
    <t>Week 8</t>
  </si>
  <si>
    <t>Week 4</t>
  </si>
  <si>
    <t>Week 2</t>
  </si>
  <si>
    <t>sampled</t>
  </si>
  <si>
    <t>Week 6</t>
  </si>
  <si>
    <t xml:space="preserve">Week 10 </t>
  </si>
  <si>
    <t>Sampled</t>
  </si>
  <si>
    <t>TANK</t>
  </si>
  <si>
    <t>DIET</t>
  </si>
  <si>
    <t>Survival to Wk 12</t>
  </si>
  <si>
    <t>Survival to Wk 8</t>
  </si>
  <si>
    <t>Survival to Wk 4</t>
  </si>
  <si>
    <t>Diet Creation:</t>
  </si>
  <si>
    <t>Fish Source:</t>
  </si>
  <si>
    <r>
      <t>Lake Trout gametes were collected from sexually mature females and males from Lake Michigan by employees of the Illinois Natural History Survey - Lake Michigan Biological Station (INHS-LMBS) in October 2014 near Waukegan, Illinois. Unfertilized eggs and milt were transported on ice to the INHS-LMBS. Milt were analyzed for sperm motility and sperm with a motility of 80% or higher were pooled and used to fertilize eggs. Fertilized eggs were then transported to The College at Brockport - State University of New York and incubated in hatching trays kept at 8</t>
    </r>
    <r>
      <rPr>
        <vertAlign val="superscript"/>
        <sz val="11"/>
        <color theme="1"/>
        <rFont val="Arial"/>
        <family val="2"/>
      </rPr>
      <t>o</t>
    </r>
    <r>
      <rPr>
        <sz val="11"/>
        <color theme="1"/>
        <rFont val="Arial"/>
        <family val="2"/>
      </rPr>
      <t xml:space="preserve">C using a coil water chiller (Frigid Units, Inc., Toledo, OH). Upon hatching, alevins were transferred to 40 L aquaria marked with each specific female to track survival. Maternal lines with no signs of thiamine deficiency complex (Fitzsimons et al., 1999) were combined and moved to a 350 L circular tank upon yolk absorption. Post yolk absorption, alevins were fed a commercial diet (Zeigler Finfish Starter Diet Meal [&lt;0.6 mm], Zeigler Bros. Inc., Gardners, PA) for 12 weeks. </t>
    </r>
  </si>
  <si>
    <t>Experimental Set-up:</t>
  </si>
  <si>
    <t># of fish counted</t>
  </si>
  <si>
    <r>
      <t>Freeze dried bloodworms (Chironomidae</t>
    </r>
    <r>
      <rPr>
        <i/>
        <sz val="11"/>
        <color theme="1"/>
        <rFont val="Arial"/>
        <family val="2"/>
      </rPr>
      <t xml:space="preserve"> Chironomus</t>
    </r>
    <r>
      <rPr>
        <sz val="11"/>
        <color theme="1"/>
        <rFont val="Arial"/>
        <family val="2"/>
      </rPr>
      <t xml:space="preserve"> </t>
    </r>
    <r>
      <rPr>
        <i/>
        <sz val="11"/>
        <color theme="1"/>
        <rFont val="Arial"/>
        <family val="2"/>
      </rPr>
      <t>spp</t>
    </r>
    <r>
      <rPr>
        <sz val="11"/>
        <color theme="1"/>
        <rFont val="Arial"/>
        <family val="2"/>
      </rPr>
      <t xml:space="preserve">.), </t>
    </r>
    <r>
      <rPr>
        <i/>
        <sz val="11"/>
        <color theme="1"/>
        <rFont val="Arial"/>
        <family val="2"/>
      </rPr>
      <t xml:space="preserve">Daphnia </t>
    </r>
    <r>
      <rPr>
        <sz val="11"/>
        <color theme="1"/>
        <rFont val="Arial"/>
        <family val="2"/>
      </rPr>
      <t xml:space="preserve">spp., and shrimp (grass shrimp; </t>
    </r>
    <r>
      <rPr>
        <i/>
        <sz val="11"/>
        <color theme="1"/>
        <rFont val="Arial"/>
        <family val="2"/>
      </rPr>
      <t>Palaemonetes spp.</t>
    </r>
    <r>
      <rPr>
        <sz val="11"/>
        <color theme="1"/>
        <rFont val="Arial"/>
        <family val="2"/>
      </rPr>
      <t>) were purchased in bulk from JEHM Co. Inc. (JEHM Co. Inc., Lambertville, NJ). Diet treatments consisted of 100% of each species, 50:50 mixtures of each pair of species, and an even mix of all three species. This generated 7 diets which were each fed to 3 tanks (21 tanks total) of lake trout.
Each prey species was ground to a powder (Hamilton Beach Fresh Grind™ Coffee Grinder 80335, Hamilton Beach, Southern Pines, NC), and mixed together based on dry weights. Powdered forms of each diet were then moistened and pelletized (Kitchen Aid, Shelton, CT) before being oven dried overnight at 80</t>
    </r>
    <r>
      <rPr>
        <vertAlign val="superscript"/>
        <sz val="11"/>
        <color theme="1"/>
        <rFont val="Arial"/>
        <family val="2"/>
      </rPr>
      <t>o</t>
    </r>
    <r>
      <rPr>
        <sz val="11"/>
        <color theme="1"/>
        <rFont val="Arial"/>
        <family val="2"/>
      </rPr>
      <t>C. Dried diets were separated into &lt; 425, 425, and 600 µm fractions by sieving. Each diet was then stored frozen (-20</t>
    </r>
    <r>
      <rPr>
        <vertAlign val="superscript"/>
        <sz val="11"/>
        <color theme="1"/>
        <rFont val="Arial"/>
        <family val="2"/>
      </rPr>
      <t>o</t>
    </r>
    <r>
      <rPr>
        <sz val="11"/>
        <color theme="1"/>
        <rFont val="Arial"/>
        <family val="2"/>
      </rPr>
      <t>C) until being fed to fish. A subsample of each diet was stored at -80</t>
    </r>
    <r>
      <rPr>
        <vertAlign val="superscript"/>
        <sz val="11"/>
        <color theme="1"/>
        <rFont val="Arial"/>
        <family val="2"/>
      </rPr>
      <t>o</t>
    </r>
    <r>
      <rPr>
        <sz val="11"/>
        <color theme="1"/>
        <rFont val="Arial"/>
        <family val="2"/>
      </rPr>
      <t xml:space="preserve">C for fatty acid analysis. We refer to the mixed diets using colons to separate the species mixed into the diet, i.e., 'Bloodworm:Daphnia:Shrimp' includes a 33:33:33 mix of bloodworm, </t>
    </r>
    <r>
      <rPr>
        <i/>
        <sz val="11"/>
        <color theme="1"/>
        <rFont val="Arial"/>
        <family val="2"/>
      </rPr>
      <t>Daphnia</t>
    </r>
    <r>
      <rPr>
        <sz val="11"/>
        <color theme="1"/>
        <rFont val="Arial"/>
        <family val="2"/>
      </rPr>
      <t>, and shrimp</t>
    </r>
    <r>
      <rPr>
        <i/>
        <sz val="11"/>
        <color theme="1"/>
        <rFont val="Arial"/>
        <family val="2"/>
      </rPr>
      <t>.</t>
    </r>
  </si>
  <si>
    <t xml:space="preserve"> Lipid Mass (g)</t>
  </si>
  <si>
    <t>Lipid Content (% WW)</t>
  </si>
  <si>
    <t>% of sample mass composed of FA</t>
  </si>
  <si>
    <t>% of lipid mass composed of FA</t>
  </si>
  <si>
    <t>Diet Abbv.</t>
  </si>
  <si>
    <t>I</t>
  </si>
  <si>
    <t>Lab Analyses</t>
  </si>
  <si>
    <r>
      <t>Lipids were extracted from approximately 1.0 g sub samples of diets or whole fish with chloroform/methanol (2:1, v/v) containing 0.01% butylated hydroxytoluene as an antioxidant (Folch et al., 1957), a method that performs well on wet fish tissues (Iverson et al., 2001). The organic solvent was evaporated under nitrogen gas and the lipid content was determined gravimetrically. Fatty acid methyl esters (FAMEs) were prepared following the methods of Metcalfe and Schmitz (1961). Fatty acids profiles were determined using an Agilent Technologies 7890A GC system with Agilent Technologies 7693 Autosampler and Agilent Technologies 5975C inert XL EI/CI MSD with Triple-Axis detector (Agilent Technologies, Inc., Santa Clara, CA). The capillary column used was an Omegawax 250 Fused Silica Capillary Column with 30 m x 0.25 mm x 0.25 µm film thickness (Supelco, Bellefonte, PA). Helium was used as a carrier gas. The oven temperature was programmed from 175</t>
    </r>
    <r>
      <rPr>
        <vertAlign val="superscript"/>
        <sz val="11"/>
        <color theme="1"/>
        <rFont val="Arial"/>
        <family val="2"/>
      </rPr>
      <t>o</t>
    </r>
    <r>
      <rPr>
        <sz val="11"/>
        <color theme="1"/>
        <rFont val="Arial"/>
        <family val="2"/>
      </rPr>
      <t>C for 26 min to 205</t>
    </r>
    <r>
      <rPr>
        <vertAlign val="superscript"/>
        <sz val="11"/>
        <color theme="1"/>
        <rFont val="Arial"/>
        <family val="2"/>
      </rPr>
      <t>o</t>
    </r>
    <r>
      <rPr>
        <sz val="11"/>
        <color theme="1"/>
        <rFont val="Arial"/>
        <family val="2"/>
      </rPr>
      <t>C at 2</t>
    </r>
    <r>
      <rPr>
        <vertAlign val="superscript"/>
        <sz val="11"/>
        <color theme="1"/>
        <rFont val="Arial"/>
        <family val="2"/>
      </rPr>
      <t>o</t>
    </r>
    <r>
      <rPr>
        <sz val="11"/>
        <color theme="1"/>
        <rFont val="Arial"/>
        <family val="2"/>
      </rPr>
      <t>C min</t>
    </r>
    <r>
      <rPr>
        <vertAlign val="superscript"/>
        <sz val="11"/>
        <color theme="1"/>
        <rFont val="Arial"/>
        <family val="2"/>
      </rPr>
      <t>-1</t>
    </r>
    <r>
      <rPr>
        <sz val="11"/>
        <color theme="1"/>
        <rFont val="Arial"/>
        <family val="2"/>
      </rPr>
      <t>, and then held at 205</t>
    </r>
    <r>
      <rPr>
        <vertAlign val="superscript"/>
        <sz val="11"/>
        <color theme="1"/>
        <rFont val="Arial"/>
        <family val="2"/>
      </rPr>
      <t>o</t>
    </r>
    <r>
      <rPr>
        <sz val="11"/>
        <color theme="1"/>
        <rFont val="Arial"/>
        <family val="2"/>
      </rPr>
      <t>C for 24 min. The rate of helium carrier gas flow was 1.8 ml min</t>
    </r>
    <r>
      <rPr>
        <vertAlign val="superscript"/>
        <sz val="11"/>
        <color theme="1"/>
        <rFont val="Arial"/>
        <family val="2"/>
      </rPr>
      <t>-1</t>
    </r>
    <r>
      <rPr>
        <sz val="11"/>
        <color theme="1"/>
        <rFont val="Arial"/>
        <family val="2"/>
      </rPr>
      <t>. The source and analyzer temperature of the MS were set at 230</t>
    </r>
    <r>
      <rPr>
        <vertAlign val="superscript"/>
        <sz val="11"/>
        <color theme="1"/>
        <rFont val="Arial"/>
        <family val="2"/>
      </rPr>
      <t>o</t>
    </r>
    <r>
      <rPr>
        <sz val="11"/>
        <color theme="1"/>
        <rFont val="Arial"/>
        <family val="2"/>
      </rPr>
      <t>C. Individual fatty acid methyl esters (FAMEs) were identified by comparing the retention times of authentic standard mixtures (FAME mix 37 components, Supelco), with known spectrographic patterns of FAMEs. Spectrographic patterns for FAMEs were acquired from the NIST Mass Spectral Library provided with the GC/MS and the AOCS mass spectral library is available online at http://lipidlibrary.aocs.org/index.html. Nonadocanoic acid (19:0) was used as the internal standard and added to each sample based on the amount of total lipids present (8 mg 50 mg</t>
    </r>
    <r>
      <rPr>
        <vertAlign val="superscript"/>
        <sz val="11"/>
        <color theme="1"/>
        <rFont val="Arial"/>
        <family val="2"/>
      </rPr>
      <t>-1</t>
    </r>
    <r>
      <rPr>
        <sz val="11"/>
        <color theme="1"/>
        <rFont val="Arial"/>
        <family val="2"/>
      </rPr>
      <t xml:space="preserve"> of lipids). Individual FAMEs were identified by their retention times and their peak area was quantified in proportion to that of the internal standard. </t>
    </r>
  </si>
  <si>
    <r>
      <t>A flow through system of 21 40-L aquaria supplied with dechlorinated (Siemens Water Technologies, Warrendale, PA) municipal water at a rate of 1.26 L min</t>
    </r>
    <r>
      <rPr>
        <vertAlign val="superscript"/>
        <sz val="11"/>
        <color theme="1"/>
        <rFont val="Arial"/>
        <family val="2"/>
      </rPr>
      <t xml:space="preserve">-1 </t>
    </r>
    <r>
      <rPr>
        <sz val="11"/>
        <color theme="1"/>
        <rFont val="Arial"/>
        <family val="2"/>
      </rPr>
      <t>and an airstone. Each of aquarium was randomly assigned to one of the seven diets. Lake Trout (</t>
    </r>
    <r>
      <rPr>
        <i/>
        <sz val="11"/>
        <color theme="1"/>
        <rFont val="Arial"/>
        <family val="2"/>
      </rPr>
      <t>n</t>
    </r>
    <r>
      <rPr>
        <sz val="11"/>
        <color theme="1"/>
        <rFont val="Arial"/>
        <family val="2"/>
      </rPr>
      <t xml:space="preserve"> = 65 per aquarium) were fed diets at a rate of 5% of the aquarium biomass per day, adjusted every two weeks. Biomass was calculated bi-weekly by counting the number of individuals in each aquarium and weighing them as a group in a small container of water. Three fish from each aquarium (thus 9 per diet) were euthanized using an overdose of MS-222 after 4, 8 and 12 weeks of being fed treatment diets. 
Deviations from the 3 per aquaria method were accommodated by sampling more from another aquarium to ensure 9 per diet were sampled, except those fed 100% Daphnia diets of which only 6 remained at week 12 and all were sampled. See "Survival Data" for sampling plan and calculations of survival.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</si>
</sst>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scheme val="minor"/>
    </font>
    <font>
      <b/>
      <sz val="11"/>
      <color theme="1"/>
      <name val="Calibri"/>
      <family val="2"/>
      <scheme val="minor"/>
    </font>
    <font>
      <b/>
      <sz val="11"/>
      <color rgb="FFFF0000"/>
      <name val="Calibri"/>
      <family val="2"/>
      <scheme val="minor"/>
    </font>
    <font>
      <sz val="11"/>
      <color theme="1"/>
      <name val="Arial"/>
      <family val="2"/>
    </font>
    <font>
      <i/>
      <sz val="11"/>
      <color theme="1"/>
      <name val="Arial"/>
      <family val="2"/>
    </font>
    <font>
      <vertAlign val="superscript"/>
      <sz val="11"/>
      <color theme="1"/>
      <name val="Arial"/>
      <family val="2"/>
    </font>
    <font>
      <b/>
      <sz val="11"/>
      <color rgb="FF00B0F0"/>
      <name val="Calibri"/>
      <family val="2"/>
      <scheme val="minor"/>
    </font>
  </fonts>
  <fills count="4">
    <fill>
      <patternFill patternType="none"/>
    </fill>
    <fill>
      <patternFill patternType="gray125"/>
    </fill>
    <fill>
      <patternFill patternType="solid">
        <fgColor theme="9"/>
        <bgColor indexed="64"/>
      </patternFill>
    </fill>
    <fill>
      <patternFill patternType="solid">
        <fgColor rgb="FFFFFF00"/>
        <bgColor indexed="64"/>
      </patternFill>
    </fill>
  </fills>
  <borders count="2">
    <border>
      <left/>
      <right/>
      <top/>
      <bottom/>
      <diagonal/>
    </border>
    <border>
      <left/>
      <right/>
      <top/>
      <bottom style="thin">
        <color indexed="64"/>
      </bottom>
      <diagonal/>
    </border>
  </borders>
  <cellStyleXfs count="2">
    <xf numFmtId="0" fontId="0" fillId="0" borderId="0"/>
    <xf numFmtId="9" fontId="1" fillId="0" borderId="0" applyFont="0" applyFill="0" applyBorder="0" applyAlignment="0" applyProtection="0"/>
  </cellStyleXfs>
  <cellXfs count="12">
    <xf numFmtId="0" fontId="0" fillId="0" borderId="0" xfId="0"/>
    <xf numFmtId="10" fontId="0" fillId="0" borderId="0" xfId="1" applyNumberFormat="1" applyFont="1"/>
    <xf numFmtId="0" fontId="4" fillId="0" borderId="0" xfId="0" applyFont="1" applyAlignment="1">
      <alignment vertical="center" wrapText="1"/>
    </xf>
    <xf numFmtId="0" fontId="2" fillId="0" borderId="0" xfId="0" applyFont="1" applyAlignment="1">
      <alignment vertical="center"/>
    </xf>
    <xf numFmtId="0" fontId="0" fillId="0" borderId="0" xfId="0" applyAlignment="1">
      <alignment horizontal="center" vertical="center"/>
    </xf>
    <xf numFmtId="0" fontId="0" fillId="2" borderId="0" xfId="0" applyFill="1" applyAlignment="1">
      <alignment horizontal="center" vertical="center"/>
    </xf>
    <xf numFmtId="1" fontId="0" fillId="0" borderId="0" xfId="0" applyNumberFormat="1" applyAlignment="1">
      <alignment horizontal="center" vertical="center"/>
    </xf>
    <xf numFmtId="1" fontId="0" fillId="2" borderId="0" xfId="0" applyNumberFormat="1" applyFill="1" applyAlignment="1">
      <alignment horizontal="center" vertical="center"/>
    </xf>
    <xf numFmtId="0" fontId="3" fillId="3" borderId="0" xfId="0" applyFont="1" applyFill="1" applyAlignment="1">
      <alignment horizontal="center" vertical="center"/>
    </xf>
    <xf numFmtId="0" fontId="7" fillId="3" borderId="0" xfId="0" applyFont="1" applyFill="1" applyAlignment="1">
      <alignment horizontal="center" vertical="center"/>
    </xf>
    <xf numFmtId="0" fontId="4" fillId="0" borderId="0" xfId="0" applyFont="1" applyAlignment="1">
      <alignment wrapText="1"/>
    </xf>
    <xf numFmtId="0" fontId="0" fillId="0" borderId="1" xfId="0" applyBorder="1" applyAlignment="1">
      <alignment horizontal="center" vertic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4EA86-A1BB-4FCA-89E4-3A71DE12104D}">
  <dimension ref="B1:C5"/>
  <sheetViews>
    <sheetView tabSelected="1" zoomScale="70" zoomScaleNormal="70" workbookViewId="0">
      <selection activeCell="C2" sqref="C2"/>
    </sheetView>
  </sheetViews>
  <sheetFormatPr defaultRowHeight="14.5" x14ac:dyDescent="0.35"/>
  <cols>
    <col min="2" max="2" width="30.54296875" customWidth="1"/>
    <col min="3" max="3" width="115.26953125" customWidth="1"/>
  </cols>
  <sheetData>
    <row r="1" spans="2:3" ht="15.5" customHeight="1" x14ac:dyDescent="0.35"/>
    <row r="2" spans="2:3" ht="189.5" customHeight="1" x14ac:dyDescent="0.35">
      <c r="B2" s="3" t="s">
        <v>302</v>
      </c>
      <c r="C2" s="2" t="s">
        <v>307</v>
      </c>
    </row>
    <row r="3" spans="2:3" ht="171" customHeight="1" x14ac:dyDescent="0.35">
      <c r="B3" s="3" t="s">
        <v>303</v>
      </c>
      <c r="C3" s="2" t="s">
        <v>304</v>
      </c>
    </row>
    <row r="4" spans="2:3" ht="179.5" customHeight="1" x14ac:dyDescent="0.35">
      <c r="B4" s="3" t="s">
        <v>305</v>
      </c>
      <c r="C4" s="2" t="s">
        <v>316</v>
      </c>
    </row>
    <row r="5" spans="2:3" ht="251.5" customHeight="1" x14ac:dyDescent="0.35">
      <c r="B5" s="3" t="s">
        <v>314</v>
      </c>
      <c r="C5" s="10" t="s">
        <v>315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3D415-01ED-464C-B0BE-9434AD4029DB}">
  <dimension ref="A1:K45"/>
  <sheetViews>
    <sheetView workbookViewId="0">
      <selection activeCell="K18" sqref="K18:K20"/>
    </sheetView>
  </sheetViews>
  <sheetFormatPr defaultRowHeight="14.5" x14ac:dyDescent="0.35"/>
  <cols>
    <col min="3" max="3" width="15.08984375" customWidth="1"/>
    <col min="4" max="4" width="15.08984375" bestFit="1" customWidth="1"/>
    <col min="6" max="7" width="15.08984375" bestFit="1" customWidth="1"/>
    <col min="9" max="9" width="15.08984375" bestFit="1" customWidth="1"/>
    <col min="10" max="10" width="15.36328125" bestFit="1" customWidth="1"/>
  </cols>
  <sheetData>
    <row r="1" spans="1:11" x14ac:dyDescent="0.35">
      <c r="C1" s="4" t="s">
        <v>292</v>
      </c>
      <c r="D1" s="11" t="s">
        <v>291</v>
      </c>
      <c r="E1" s="11"/>
      <c r="F1" s="4" t="s">
        <v>294</v>
      </c>
      <c r="G1" s="11" t="s">
        <v>290</v>
      </c>
      <c r="H1" s="11"/>
      <c r="I1" s="4" t="s">
        <v>295</v>
      </c>
      <c r="J1" s="11" t="s">
        <v>289</v>
      </c>
      <c r="K1" s="11"/>
    </row>
    <row r="2" spans="1:11" x14ac:dyDescent="0.35">
      <c r="A2" t="s">
        <v>297</v>
      </c>
      <c r="B2" t="s">
        <v>298</v>
      </c>
      <c r="C2" s="4" t="s">
        <v>306</v>
      </c>
      <c r="D2" s="4" t="s">
        <v>306</v>
      </c>
      <c r="E2" s="5" t="s">
        <v>293</v>
      </c>
      <c r="F2" s="4" t="s">
        <v>306</v>
      </c>
      <c r="G2" s="4" t="s">
        <v>306</v>
      </c>
      <c r="H2" s="5" t="s">
        <v>293</v>
      </c>
      <c r="I2" s="4" t="s">
        <v>306</v>
      </c>
      <c r="J2" s="4" t="s">
        <v>306</v>
      </c>
      <c r="K2" s="5" t="s">
        <v>296</v>
      </c>
    </row>
    <row r="3" spans="1:11" x14ac:dyDescent="0.35">
      <c r="A3">
        <v>28</v>
      </c>
      <c r="B3" t="s">
        <v>7</v>
      </c>
      <c r="C3" s="4">
        <v>65</v>
      </c>
      <c r="D3" s="4">
        <v>58</v>
      </c>
      <c r="E3" s="5">
        <v>3</v>
      </c>
      <c r="F3" s="4">
        <v>46</v>
      </c>
      <c r="G3" s="6">
        <v>44</v>
      </c>
      <c r="H3" s="5">
        <v>3</v>
      </c>
      <c r="I3" s="4">
        <v>35</v>
      </c>
      <c r="J3" s="4">
        <v>24</v>
      </c>
      <c r="K3" s="5">
        <v>3</v>
      </c>
    </row>
    <row r="4" spans="1:11" x14ac:dyDescent="0.35">
      <c r="A4">
        <v>36</v>
      </c>
      <c r="B4" t="s">
        <v>7</v>
      </c>
      <c r="C4" s="4">
        <v>64</v>
      </c>
      <c r="D4" s="4">
        <v>57</v>
      </c>
      <c r="E4" s="5">
        <v>3</v>
      </c>
      <c r="F4" s="4">
        <v>51</v>
      </c>
      <c r="G4" s="6">
        <v>40</v>
      </c>
      <c r="H4" s="5">
        <v>3</v>
      </c>
      <c r="I4" s="4">
        <v>39</v>
      </c>
      <c r="J4" s="4">
        <v>23</v>
      </c>
      <c r="K4" s="5">
        <v>3</v>
      </c>
    </row>
    <row r="5" spans="1:11" x14ac:dyDescent="0.35">
      <c r="A5">
        <v>42</v>
      </c>
      <c r="B5" t="s">
        <v>7</v>
      </c>
      <c r="C5" s="4">
        <v>63</v>
      </c>
      <c r="D5" s="4">
        <v>58</v>
      </c>
      <c r="E5" s="5">
        <v>3</v>
      </c>
      <c r="F5" s="4">
        <v>42</v>
      </c>
      <c r="G5" s="6">
        <v>40</v>
      </c>
      <c r="H5" s="5">
        <v>3</v>
      </c>
      <c r="I5" s="4">
        <v>36</v>
      </c>
      <c r="J5" s="4">
        <v>23</v>
      </c>
      <c r="K5" s="5">
        <v>3</v>
      </c>
    </row>
    <row r="6" spans="1:11" x14ac:dyDescent="0.35">
      <c r="A6">
        <v>29</v>
      </c>
      <c r="B6" t="s">
        <v>8</v>
      </c>
      <c r="C6" s="4">
        <v>61</v>
      </c>
      <c r="D6" s="4">
        <v>55</v>
      </c>
      <c r="E6" s="5">
        <v>3</v>
      </c>
      <c r="F6" s="4">
        <v>32</v>
      </c>
      <c r="G6" s="6">
        <v>18</v>
      </c>
      <c r="H6" s="5">
        <v>3</v>
      </c>
      <c r="I6" s="4">
        <v>12</v>
      </c>
      <c r="J6" s="4">
        <v>7</v>
      </c>
      <c r="K6" s="5">
        <v>3</v>
      </c>
    </row>
    <row r="7" spans="1:11" x14ac:dyDescent="0.35">
      <c r="A7">
        <v>32</v>
      </c>
      <c r="B7" t="s">
        <v>8</v>
      </c>
      <c r="C7" s="4">
        <v>62</v>
      </c>
      <c r="D7" s="4">
        <v>58</v>
      </c>
      <c r="E7" s="5">
        <v>3</v>
      </c>
      <c r="F7" s="4">
        <v>44</v>
      </c>
      <c r="G7" s="6">
        <v>29</v>
      </c>
      <c r="H7" s="5">
        <v>3</v>
      </c>
      <c r="I7" s="4">
        <v>18</v>
      </c>
      <c r="J7" s="4">
        <v>9</v>
      </c>
      <c r="K7" s="5">
        <v>3</v>
      </c>
    </row>
    <row r="8" spans="1:11" x14ac:dyDescent="0.35">
      <c r="A8">
        <v>38</v>
      </c>
      <c r="B8" t="s">
        <v>8</v>
      </c>
      <c r="C8" s="4">
        <v>62</v>
      </c>
      <c r="D8" s="4">
        <v>56</v>
      </c>
      <c r="E8" s="5">
        <v>3</v>
      </c>
      <c r="F8" s="4">
        <v>35</v>
      </c>
      <c r="G8" s="6">
        <v>18</v>
      </c>
      <c r="H8" s="5">
        <v>3</v>
      </c>
      <c r="I8" s="4">
        <v>15</v>
      </c>
      <c r="J8" s="4">
        <v>9</v>
      </c>
      <c r="K8" s="5">
        <v>3</v>
      </c>
    </row>
    <row r="9" spans="1:11" x14ac:dyDescent="0.35">
      <c r="A9">
        <v>25</v>
      </c>
      <c r="B9" t="s">
        <v>9</v>
      </c>
      <c r="C9" s="4">
        <v>63</v>
      </c>
      <c r="D9" s="4">
        <v>57</v>
      </c>
      <c r="E9" s="5">
        <v>3</v>
      </c>
      <c r="F9" s="4">
        <v>42</v>
      </c>
      <c r="G9" s="6">
        <v>38</v>
      </c>
      <c r="H9" s="7">
        <v>2</v>
      </c>
      <c r="I9" s="4">
        <v>35</v>
      </c>
      <c r="J9" s="4">
        <v>31</v>
      </c>
      <c r="K9" s="5">
        <v>3</v>
      </c>
    </row>
    <row r="10" spans="1:11" x14ac:dyDescent="0.35">
      <c r="A10">
        <v>40</v>
      </c>
      <c r="B10" t="s">
        <v>9</v>
      </c>
      <c r="C10" s="4">
        <v>60</v>
      </c>
      <c r="D10" s="4">
        <v>54</v>
      </c>
      <c r="E10" s="5">
        <v>3</v>
      </c>
      <c r="F10" s="4">
        <v>42</v>
      </c>
      <c r="G10" s="6">
        <v>39</v>
      </c>
      <c r="H10" s="7">
        <v>3</v>
      </c>
      <c r="I10" s="4">
        <v>34</v>
      </c>
      <c r="J10" s="4">
        <v>31</v>
      </c>
      <c r="K10" s="5">
        <v>3</v>
      </c>
    </row>
    <row r="11" spans="1:11" x14ac:dyDescent="0.35">
      <c r="A11">
        <v>41</v>
      </c>
      <c r="B11" t="s">
        <v>9</v>
      </c>
      <c r="C11" s="4">
        <v>63</v>
      </c>
      <c r="D11" s="4">
        <v>49</v>
      </c>
      <c r="E11" s="5">
        <v>3</v>
      </c>
      <c r="F11" s="4">
        <v>48</v>
      </c>
      <c r="G11" s="6">
        <v>43</v>
      </c>
      <c r="H11" s="7">
        <v>3</v>
      </c>
      <c r="I11" s="4">
        <v>38</v>
      </c>
      <c r="J11" s="4">
        <v>30</v>
      </c>
      <c r="K11" s="5">
        <v>3</v>
      </c>
    </row>
    <row r="12" spans="1:11" x14ac:dyDescent="0.35">
      <c r="A12">
        <v>24</v>
      </c>
      <c r="B12" t="s">
        <v>10</v>
      </c>
      <c r="C12" s="4">
        <v>64</v>
      </c>
      <c r="D12" s="4">
        <v>56</v>
      </c>
      <c r="E12" s="5">
        <v>3</v>
      </c>
      <c r="F12" s="4">
        <v>39</v>
      </c>
      <c r="G12" s="6">
        <v>24</v>
      </c>
      <c r="H12" s="5">
        <v>3</v>
      </c>
      <c r="I12" s="4">
        <v>14</v>
      </c>
      <c r="J12" s="4">
        <v>13</v>
      </c>
      <c r="K12" s="5">
        <v>3</v>
      </c>
    </row>
    <row r="13" spans="1:11" x14ac:dyDescent="0.35">
      <c r="A13">
        <v>27</v>
      </c>
      <c r="B13" t="s">
        <v>10</v>
      </c>
      <c r="C13" s="4">
        <v>62</v>
      </c>
      <c r="D13" s="4">
        <v>59</v>
      </c>
      <c r="E13" s="5">
        <v>3</v>
      </c>
      <c r="F13" s="4">
        <v>34</v>
      </c>
      <c r="G13" s="6">
        <v>20</v>
      </c>
      <c r="H13" s="5">
        <v>3</v>
      </c>
      <c r="I13" s="4">
        <v>15</v>
      </c>
      <c r="J13" s="4">
        <v>9</v>
      </c>
      <c r="K13" s="5">
        <v>3</v>
      </c>
    </row>
    <row r="14" spans="1:11" x14ac:dyDescent="0.35">
      <c r="A14">
        <v>37</v>
      </c>
      <c r="B14" t="s">
        <v>10</v>
      </c>
      <c r="C14" s="4">
        <v>63</v>
      </c>
      <c r="D14" s="4">
        <v>58</v>
      </c>
      <c r="E14" s="5">
        <v>3</v>
      </c>
      <c r="F14" s="4">
        <v>45</v>
      </c>
      <c r="G14" s="6">
        <v>25</v>
      </c>
      <c r="H14" s="5">
        <v>3</v>
      </c>
      <c r="I14" s="4">
        <v>21</v>
      </c>
      <c r="J14" s="4">
        <v>16</v>
      </c>
      <c r="K14" s="5">
        <v>3</v>
      </c>
    </row>
    <row r="15" spans="1:11" x14ac:dyDescent="0.35">
      <c r="A15">
        <v>26</v>
      </c>
      <c r="B15" t="s">
        <v>11</v>
      </c>
      <c r="C15" s="4">
        <v>65</v>
      </c>
      <c r="D15" s="4">
        <v>46</v>
      </c>
      <c r="E15" s="5">
        <v>3</v>
      </c>
      <c r="F15" s="4">
        <v>25</v>
      </c>
      <c r="G15" s="6">
        <v>6</v>
      </c>
      <c r="H15" s="5">
        <v>3</v>
      </c>
      <c r="I15" s="4">
        <v>2</v>
      </c>
      <c r="J15" s="4">
        <v>2</v>
      </c>
      <c r="K15" s="8">
        <v>2</v>
      </c>
    </row>
    <row r="16" spans="1:11" x14ac:dyDescent="0.35">
      <c r="A16">
        <v>30</v>
      </c>
      <c r="B16" t="s">
        <v>11</v>
      </c>
      <c r="C16" s="4">
        <v>58</v>
      </c>
      <c r="D16" s="4">
        <v>44</v>
      </c>
      <c r="E16" s="5">
        <v>3</v>
      </c>
      <c r="F16" s="4">
        <v>31</v>
      </c>
      <c r="G16" s="6">
        <v>8</v>
      </c>
      <c r="H16" s="5">
        <v>3</v>
      </c>
      <c r="I16" s="4">
        <v>1</v>
      </c>
      <c r="J16" s="4">
        <v>1</v>
      </c>
      <c r="K16" s="8">
        <v>1</v>
      </c>
    </row>
    <row r="17" spans="1:11" x14ac:dyDescent="0.35">
      <c r="A17">
        <v>31</v>
      </c>
      <c r="B17" t="s">
        <v>11</v>
      </c>
      <c r="C17" s="4">
        <v>54</v>
      </c>
      <c r="D17" s="4">
        <v>37</v>
      </c>
      <c r="E17" s="5">
        <v>3</v>
      </c>
      <c r="F17" s="4">
        <v>27</v>
      </c>
      <c r="G17" s="6">
        <v>9</v>
      </c>
      <c r="H17" s="5">
        <v>3</v>
      </c>
      <c r="I17" s="4">
        <v>5</v>
      </c>
      <c r="J17" s="4">
        <v>3</v>
      </c>
      <c r="K17" s="5">
        <v>3</v>
      </c>
    </row>
    <row r="18" spans="1:11" x14ac:dyDescent="0.35">
      <c r="A18">
        <v>22</v>
      </c>
      <c r="B18" t="s">
        <v>12</v>
      </c>
      <c r="C18" s="4">
        <v>64</v>
      </c>
      <c r="D18" s="4">
        <v>60</v>
      </c>
      <c r="E18" s="5">
        <v>3</v>
      </c>
      <c r="F18" s="4">
        <v>49</v>
      </c>
      <c r="G18" s="6">
        <v>21</v>
      </c>
      <c r="H18" s="5">
        <v>3</v>
      </c>
      <c r="I18" s="4">
        <v>10</v>
      </c>
      <c r="J18" s="4">
        <v>7</v>
      </c>
      <c r="K18" s="5">
        <v>3</v>
      </c>
    </row>
    <row r="19" spans="1:11" x14ac:dyDescent="0.35">
      <c r="A19">
        <v>33</v>
      </c>
      <c r="B19" t="s">
        <v>12</v>
      </c>
      <c r="C19" s="4">
        <v>65</v>
      </c>
      <c r="D19" s="4">
        <v>16</v>
      </c>
      <c r="E19" s="8">
        <v>1</v>
      </c>
      <c r="F19" s="4">
        <v>12</v>
      </c>
      <c r="G19" s="6">
        <v>4</v>
      </c>
      <c r="H19" s="8">
        <v>1</v>
      </c>
      <c r="I19" s="4">
        <v>3</v>
      </c>
      <c r="J19" s="4">
        <v>2</v>
      </c>
      <c r="K19" s="8">
        <v>2</v>
      </c>
    </row>
    <row r="20" spans="1:11" x14ac:dyDescent="0.35">
      <c r="A20">
        <v>39</v>
      </c>
      <c r="B20" t="s">
        <v>12</v>
      </c>
      <c r="C20" s="4">
        <v>64</v>
      </c>
      <c r="D20" s="4">
        <v>60</v>
      </c>
      <c r="E20" s="9">
        <v>5</v>
      </c>
      <c r="F20" s="4">
        <v>49</v>
      </c>
      <c r="G20" s="6">
        <v>26</v>
      </c>
      <c r="H20" s="9">
        <v>5</v>
      </c>
      <c r="I20" s="4">
        <v>16</v>
      </c>
      <c r="J20" s="4">
        <v>14</v>
      </c>
      <c r="K20" s="9">
        <v>4</v>
      </c>
    </row>
    <row r="21" spans="1:11" x14ac:dyDescent="0.35">
      <c r="A21">
        <v>23</v>
      </c>
      <c r="B21" t="s">
        <v>13</v>
      </c>
      <c r="C21" s="4">
        <v>62</v>
      </c>
      <c r="D21" s="4">
        <v>56</v>
      </c>
      <c r="E21" s="5">
        <v>3</v>
      </c>
      <c r="F21" s="4">
        <v>36</v>
      </c>
      <c r="G21" s="6">
        <v>18</v>
      </c>
      <c r="H21" s="7">
        <v>3</v>
      </c>
      <c r="I21" s="4">
        <v>10</v>
      </c>
      <c r="J21" s="4">
        <v>5</v>
      </c>
      <c r="K21" s="5">
        <v>3</v>
      </c>
    </row>
    <row r="22" spans="1:11" x14ac:dyDescent="0.35">
      <c r="A22">
        <v>34</v>
      </c>
      <c r="B22" t="s">
        <v>13</v>
      </c>
      <c r="C22" s="4">
        <v>63</v>
      </c>
      <c r="D22" s="4">
        <v>50</v>
      </c>
      <c r="E22" s="5">
        <v>3</v>
      </c>
      <c r="F22" s="4">
        <v>18</v>
      </c>
      <c r="G22" s="6">
        <v>9</v>
      </c>
      <c r="H22" s="7">
        <v>3</v>
      </c>
      <c r="I22" s="4">
        <v>4</v>
      </c>
      <c r="J22" s="4">
        <v>2</v>
      </c>
      <c r="K22" s="8">
        <v>2</v>
      </c>
    </row>
    <row r="23" spans="1:11" x14ac:dyDescent="0.35">
      <c r="A23">
        <v>35</v>
      </c>
      <c r="B23" t="s">
        <v>13</v>
      </c>
      <c r="C23" s="4">
        <v>62</v>
      </c>
      <c r="D23" s="4">
        <v>53</v>
      </c>
      <c r="E23" s="5">
        <v>3</v>
      </c>
      <c r="F23" s="4">
        <v>22</v>
      </c>
      <c r="G23" s="6">
        <v>10</v>
      </c>
      <c r="H23" s="7">
        <v>3</v>
      </c>
      <c r="I23" s="4">
        <v>6</v>
      </c>
      <c r="J23" s="4">
        <v>4</v>
      </c>
      <c r="K23" s="9">
        <v>4</v>
      </c>
    </row>
    <row r="24" spans="1:11" x14ac:dyDescent="0.35">
      <c r="A24" t="s">
        <v>297</v>
      </c>
      <c r="B24" t="s">
        <v>298</v>
      </c>
      <c r="D24" t="s">
        <v>301</v>
      </c>
      <c r="G24" t="s">
        <v>300</v>
      </c>
      <c r="J24" t="s">
        <v>299</v>
      </c>
    </row>
    <row r="25" spans="1:11" x14ac:dyDescent="0.35">
      <c r="A25">
        <v>28</v>
      </c>
      <c r="B25" t="s">
        <v>7</v>
      </c>
      <c r="D25" s="1">
        <f>D3/65</f>
        <v>0.89230769230769236</v>
      </c>
      <c r="G25" s="1">
        <f>G3/(65-E3)</f>
        <v>0.70967741935483875</v>
      </c>
      <c r="J25" s="1">
        <f>J3/(65-E3-H3)</f>
        <v>0.40677966101694918</v>
      </c>
    </row>
    <row r="26" spans="1:11" x14ac:dyDescent="0.35">
      <c r="A26">
        <v>36</v>
      </c>
      <c r="B26" t="s">
        <v>7</v>
      </c>
      <c r="D26" s="1">
        <f t="shared" ref="D26:D45" si="0">D4/65</f>
        <v>0.87692307692307692</v>
      </c>
      <c r="G26" s="1">
        <f t="shared" ref="G26:G45" si="1">G4/(65-E4)</f>
        <v>0.64516129032258063</v>
      </c>
      <c r="J26" s="1">
        <f t="shared" ref="J26:J45" si="2">J4/(65-E4-H4)</f>
        <v>0.38983050847457629</v>
      </c>
    </row>
    <row r="27" spans="1:11" x14ac:dyDescent="0.35">
      <c r="A27">
        <v>42</v>
      </c>
      <c r="B27" t="s">
        <v>7</v>
      </c>
      <c r="D27" s="1">
        <f t="shared" si="0"/>
        <v>0.89230769230769236</v>
      </c>
      <c r="G27" s="1">
        <f t="shared" si="1"/>
        <v>0.64516129032258063</v>
      </c>
      <c r="J27" s="1">
        <f t="shared" si="2"/>
        <v>0.38983050847457629</v>
      </c>
    </row>
    <row r="28" spans="1:11" x14ac:dyDescent="0.35">
      <c r="A28">
        <v>29</v>
      </c>
      <c r="B28" t="s">
        <v>8</v>
      </c>
      <c r="D28" s="1">
        <f t="shared" si="0"/>
        <v>0.84615384615384615</v>
      </c>
      <c r="G28" s="1">
        <f t="shared" si="1"/>
        <v>0.29032258064516131</v>
      </c>
      <c r="J28" s="1">
        <f t="shared" si="2"/>
        <v>0.11864406779661017</v>
      </c>
    </row>
    <row r="29" spans="1:11" x14ac:dyDescent="0.35">
      <c r="A29">
        <v>32</v>
      </c>
      <c r="B29" t="s">
        <v>8</v>
      </c>
      <c r="D29" s="1">
        <f t="shared" si="0"/>
        <v>0.89230769230769236</v>
      </c>
      <c r="G29" s="1">
        <f t="shared" si="1"/>
        <v>0.46774193548387094</v>
      </c>
      <c r="J29" s="1">
        <f t="shared" si="2"/>
        <v>0.15254237288135594</v>
      </c>
    </row>
    <row r="30" spans="1:11" x14ac:dyDescent="0.35">
      <c r="A30">
        <v>38</v>
      </c>
      <c r="B30" t="s">
        <v>8</v>
      </c>
      <c r="D30" s="1">
        <f t="shared" si="0"/>
        <v>0.86153846153846159</v>
      </c>
      <c r="G30" s="1">
        <f t="shared" si="1"/>
        <v>0.29032258064516131</v>
      </c>
      <c r="J30" s="1">
        <f t="shared" si="2"/>
        <v>0.15254237288135594</v>
      </c>
    </row>
    <row r="31" spans="1:11" x14ac:dyDescent="0.35">
      <c r="A31">
        <v>25</v>
      </c>
      <c r="B31" t="s">
        <v>9</v>
      </c>
      <c r="D31" s="1">
        <f t="shared" si="0"/>
        <v>0.87692307692307692</v>
      </c>
      <c r="G31" s="1">
        <f t="shared" si="1"/>
        <v>0.61290322580645162</v>
      </c>
      <c r="J31" s="1">
        <f t="shared" si="2"/>
        <v>0.51666666666666672</v>
      </c>
    </row>
    <row r="32" spans="1:11" x14ac:dyDescent="0.35">
      <c r="A32">
        <v>40</v>
      </c>
      <c r="B32" t="s">
        <v>9</v>
      </c>
      <c r="D32" s="1">
        <f t="shared" si="0"/>
        <v>0.83076923076923082</v>
      </c>
      <c r="G32" s="1">
        <f t="shared" si="1"/>
        <v>0.62903225806451613</v>
      </c>
      <c r="J32" s="1">
        <f t="shared" si="2"/>
        <v>0.52542372881355937</v>
      </c>
    </row>
    <row r="33" spans="1:10" x14ac:dyDescent="0.35">
      <c r="A33">
        <v>41</v>
      </c>
      <c r="B33" t="s">
        <v>9</v>
      </c>
      <c r="D33" s="1">
        <f t="shared" si="0"/>
        <v>0.75384615384615383</v>
      </c>
      <c r="G33" s="1">
        <f t="shared" si="1"/>
        <v>0.69354838709677424</v>
      </c>
      <c r="J33" s="1">
        <f t="shared" si="2"/>
        <v>0.50847457627118642</v>
      </c>
    </row>
    <row r="34" spans="1:10" x14ac:dyDescent="0.35">
      <c r="A34">
        <v>24</v>
      </c>
      <c r="B34" t="s">
        <v>10</v>
      </c>
      <c r="D34" s="1">
        <f t="shared" si="0"/>
        <v>0.86153846153846159</v>
      </c>
      <c r="G34" s="1">
        <f t="shared" si="1"/>
        <v>0.38709677419354838</v>
      </c>
      <c r="J34" s="1">
        <f t="shared" si="2"/>
        <v>0.22033898305084745</v>
      </c>
    </row>
    <row r="35" spans="1:10" x14ac:dyDescent="0.35">
      <c r="A35">
        <v>27</v>
      </c>
      <c r="B35" t="s">
        <v>10</v>
      </c>
      <c r="D35" s="1">
        <f t="shared" si="0"/>
        <v>0.90769230769230769</v>
      </c>
      <c r="G35" s="1">
        <f t="shared" si="1"/>
        <v>0.32258064516129031</v>
      </c>
      <c r="J35" s="1">
        <f t="shared" si="2"/>
        <v>0.15254237288135594</v>
      </c>
    </row>
    <row r="36" spans="1:10" x14ac:dyDescent="0.35">
      <c r="A36">
        <v>37</v>
      </c>
      <c r="B36" t="s">
        <v>10</v>
      </c>
      <c r="D36" s="1">
        <f t="shared" si="0"/>
        <v>0.89230769230769236</v>
      </c>
      <c r="G36" s="1">
        <f t="shared" si="1"/>
        <v>0.40322580645161288</v>
      </c>
      <c r="J36" s="1">
        <f t="shared" si="2"/>
        <v>0.2711864406779661</v>
      </c>
    </row>
    <row r="37" spans="1:10" x14ac:dyDescent="0.35">
      <c r="A37">
        <v>26</v>
      </c>
      <c r="B37" t="s">
        <v>11</v>
      </c>
      <c r="D37" s="1">
        <f t="shared" si="0"/>
        <v>0.70769230769230773</v>
      </c>
      <c r="G37" s="1">
        <f t="shared" si="1"/>
        <v>9.6774193548387094E-2</v>
      </c>
      <c r="J37" s="1">
        <f t="shared" si="2"/>
        <v>3.3898305084745763E-2</v>
      </c>
    </row>
    <row r="38" spans="1:10" x14ac:dyDescent="0.35">
      <c r="A38">
        <v>30</v>
      </c>
      <c r="B38" t="s">
        <v>11</v>
      </c>
      <c r="D38" s="1">
        <f t="shared" si="0"/>
        <v>0.67692307692307696</v>
      </c>
      <c r="G38" s="1">
        <f t="shared" si="1"/>
        <v>0.12903225806451613</v>
      </c>
      <c r="J38" s="1">
        <f t="shared" si="2"/>
        <v>1.6949152542372881E-2</v>
      </c>
    </row>
    <row r="39" spans="1:10" x14ac:dyDescent="0.35">
      <c r="A39">
        <v>31</v>
      </c>
      <c r="B39" t="s">
        <v>11</v>
      </c>
      <c r="D39" s="1">
        <f t="shared" si="0"/>
        <v>0.56923076923076921</v>
      </c>
      <c r="G39" s="1">
        <f t="shared" si="1"/>
        <v>0.14516129032258066</v>
      </c>
      <c r="J39" s="1">
        <f t="shared" si="2"/>
        <v>5.0847457627118647E-2</v>
      </c>
    </row>
    <row r="40" spans="1:10" x14ac:dyDescent="0.35">
      <c r="A40">
        <v>22</v>
      </c>
      <c r="B40" t="s">
        <v>12</v>
      </c>
      <c r="D40" s="1">
        <f t="shared" si="0"/>
        <v>0.92307692307692313</v>
      </c>
      <c r="G40" s="1">
        <f t="shared" si="1"/>
        <v>0.33870967741935482</v>
      </c>
      <c r="J40" s="1">
        <f t="shared" si="2"/>
        <v>0.11864406779661017</v>
      </c>
    </row>
    <row r="41" spans="1:10" x14ac:dyDescent="0.35">
      <c r="A41">
        <v>33</v>
      </c>
      <c r="B41" t="s">
        <v>12</v>
      </c>
      <c r="D41" s="1">
        <f t="shared" si="0"/>
        <v>0.24615384615384617</v>
      </c>
      <c r="G41" s="1">
        <f t="shared" si="1"/>
        <v>6.25E-2</v>
      </c>
      <c r="J41" s="1">
        <f t="shared" si="2"/>
        <v>3.1746031746031744E-2</v>
      </c>
    </row>
    <row r="42" spans="1:10" x14ac:dyDescent="0.35">
      <c r="A42">
        <v>39</v>
      </c>
      <c r="B42" t="s">
        <v>12</v>
      </c>
      <c r="D42" s="1">
        <f t="shared" si="0"/>
        <v>0.92307692307692313</v>
      </c>
      <c r="G42" s="1">
        <f t="shared" si="1"/>
        <v>0.43333333333333335</v>
      </c>
      <c r="J42" s="1">
        <f t="shared" si="2"/>
        <v>0.25454545454545452</v>
      </c>
    </row>
    <row r="43" spans="1:10" x14ac:dyDescent="0.35">
      <c r="A43">
        <v>23</v>
      </c>
      <c r="B43" t="s">
        <v>13</v>
      </c>
      <c r="D43" s="1">
        <f t="shared" si="0"/>
        <v>0.86153846153846159</v>
      </c>
      <c r="G43" s="1">
        <f t="shared" si="1"/>
        <v>0.29032258064516131</v>
      </c>
      <c r="J43" s="1">
        <f t="shared" si="2"/>
        <v>8.4745762711864403E-2</v>
      </c>
    </row>
    <row r="44" spans="1:10" x14ac:dyDescent="0.35">
      <c r="A44">
        <v>34</v>
      </c>
      <c r="B44" t="s">
        <v>13</v>
      </c>
      <c r="D44" s="1">
        <f t="shared" si="0"/>
        <v>0.76923076923076927</v>
      </c>
      <c r="G44" s="1">
        <f t="shared" si="1"/>
        <v>0.14516129032258066</v>
      </c>
      <c r="J44" s="1">
        <f t="shared" si="2"/>
        <v>3.3898305084745763E-2</v>
      </c>
    </row>
    <row r="45" spans="1:10" x14ac:dyDescent="0.35">
      <c r="A45">
        <v>35</v>
      </c>
      <c r="B45" t="s">
        <v>13</v>
      </c>
      <c r="D45" s="1">
        <f t="shared" si="0"/>
        <v>0.81538461538461537</v>
      </c>
      <c r="G45" s="1">
        <f t="shared" si="1"/>
        <v>0.16129032258064516</v>
      </c>
      <c r="J45" s="1">
        <f t="shared" si="2"/>
        <v>6.7796610169491525E-2</v>
      </c>
    </row>
  </sheetData>
  <mergeCells count="3">
    <mergeCell ref="J1:K1"/>
    <mergeCell ref="G1:H1"/>
    <mergeCell ref="D1:E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6B6FF-9B9B-4B9A-B092-3A459BA80576}">
  <dimension ref="A1:AN237"/>
  <sheetViews>
    <sheetView workbookViewId="0">
      <selection activeCell="G2" sqref="G2:G22"/>
    </sheetView>
  </sheetViews>
  <sheetFormatPr defaultRowHeight="14.5" x14ac:dyDescent="0.35"/>
  <cols>
    <col min="1" max="1" width="12.81640625" bestFit="1" customWidth="1"/>
    <col min="4" max="4" width="22.6328125" customWidth="1"/>
    <col min="6" max="6" width="9.08984375" bestFit="1" customWidth="1"/>
    <col min="7" max="7" width="9.81640625" bestFit="1" customWidth="1"/>
    <col min="8" max="8" width="19.54296875" bestFit="1" customWidth="1"/>
    <col min="9" max="9" width="16.08984375" bestFit="1" customWidth="1"/>
    <col min="10" max="10" width="9.36328125" bestFit="1" customWidth="1"/>
    <col min="11" max="11" width="14.81640625" customWidth="1"/>
    <col min="39" max="39" width="24.36328125" bestFit="1" customWidth="1"/>
    <col min="40" max="40" width="30.36328125" bestFit="1" customWidth="1"/>
  </cols>
  <sheetData>
    <row r="1" spans="1:40" x14ac:dyDescent="0.35">
      <c r="A1" t="s">
        <v>14</v>
      </c>
      <c r="B1" t="s">
        <v>15</v>
      </c>
      <c r="C1" t="s">
        <v>16</v>
      </c>
      <c r="D1" t="s">
        <v>1</v>
      </c>
      <c r="E1" t="s">
        <v>2</v>
      </c>
      <c r="F1" t="s">
        <v>0</v>
      </c>
      <c r="G1" t="s">
        <v>312</v>
      </c>
      <c r="H1" t="s">
        <v>3</v>
      </c>
      <c r="I1" t="s">
        <v>4</v>
      </c>
      <c r="J1" t="s">
        <v>5</v>
      </c>
      <c r="K1" t="s">
        <v>308</v>
      </c>
      <c r="L1" t="s">
        <v>17</v>
      </c>
      <c r="M1" t="s">
        <v>18</v>
      </c>
      <c r="N1" t="s">
        <v>19</v>
      </c>
      <c r="O1" t="s">
        <v>20</v>
      </c>
      <c r="P1" t="s">
        <v>21</v>
      </c>
      <c r="Q1" t="s">
        <v>22</v>
      </c>
      <c r="R1" t="s">
        <v>23</v>
      </c>
      <c r="S1" t="s">
        <v>24</v>
      </c>
      <c r="T1" t="s">
        <v>25</v>
      </c>
      <c r="U1" t="s">
        <v>26</v>
      </c>
      <c r="V1" t="s">
        <v>27</v>
      </c>
      <c r="W1" t="s">
        <v>28</v>
      </c>
      <c r="X1" t="s">
        <v>29</v>
      </c>
      <c r="Y1" t="s">
        <v>30</v>
      </c>
      <c r="Z1" t="s">
        <v>31</v>
      </c>
      <c r="AA1" t="s">
        <v>32</v>
      </c>
      <c r="AB1" t="s">
        <v>33</v>
      </c>
      <c r="AC1" t="s">
        <v>34</v>
      </c>
      <c r="AD1" t="s">
        <v>35</v>
      </c>
      <c r="AE1" t="s">
        <v>36</v>
      </c>
      <c r="AF1" t="s">
        <v>37</v>
      </c>
      <c r="AG1" t="s">
        <v>38</v>
      </c>
      <c r="AH1" t="s">
        <v>39</v>
      </c>
      <c r="AI1" t="s">
        <v>40</v>
      </c>
      <c r="AJ1" t="s">
        <v>41</v>
      </c>
      <c r="AK1" t="s">
        <v>42</v>
      </c>
      <c r="AL1" t="s">
        <v>43</v>
      </c>
      <c r="AM1" t="s">
        <v>311</v>
      </c>
      <c r="AN1" t="s">
        <v>310</v>
      </c>
    </row>
    <row r="2" spans="1:40" x14ac:dyDescent="0.35">
      <c r="A2" t="s">
        <v>44</v>
      </c>
      <c r="B2" t="s">
        <v>1</v>
      </c>
      <c r="C2" t="s">
        <v>6</v>
      </c>
      <c r="D2" t="s">
        <v>45</v>
      </c>
      <c r="E2" t="s">
        <v>1</v>
      </c>
      <c r="F2" t="s">
        <v>6</v>
      </c>
      <c r="G2" t="s">
        <v>12</v>
      </c>
      <c r="H2" t="s">
        <v>6</v>
      </c>
      <c r="I2" t="s">
        <v>6</v>
      </c>
      <c r="J2">
        <v>0.79100000000000004</v>
      </c>
      <c r="K2">
        <v>4.3200000000000002E-2</v>
      </c>
      <c r="L2">
        <v>9.5349850781133953E-3</v>
      </c>
      <c r="M2">
        <v>0.25757506620630677</v>
      </c>
      <c r="N2">
        <v>0.11911933734918266</v>
      </c>
      <c r="O2">
        <v>2.5550358949629879</v>
      </c>
      <c r="P2">
        <v>5.556751710059659E-2</v>
      </c>
      <c r="Q2">
        <v>0.92554319404048402</v>
      </c>
      <c r="R2">
        <v>0.24609859280027652</v>
      </c>
      <c r="S2">
        <v>0.14752825093481259</v>
      </c>
      <c r="T2">
        <v>1.3216385100909809</v>
      </c>
      <c r="U2">
        <v>1.7844569392828591</v>
      </c>
      <c r="V2">
        <v>1.1497444604620235</v>
      </c>
      <c r="W2">
        <v>0.57277563615421112</v>
      </c>
      <c r="X2">
        <v>0.39519660404788448</v>
      </c>
      <c r="Y2">
        <v>5.1736667994266711E-2</v>
      </c>
      <c r="Z2">
        <v>8.3805025689154919E-2</v>
      </c>
      <c r="AA2">
        <v>0.1354090463456353</v>
      </c>
      <c r="AB2">
        <v>0.10157571291841232</v>
      </c>
      <c r="AC2">
        <v>3.4954977082468378E-2</v>
      </c>
      <c r="AD2">
        <v>1.1220698392740149</v>
      </c>
      <c r="AE2">
        <v>5.8507465825565361E-2</v>
      </c>
      <c r="AF2">
        <v>4.6240591550041607E-2</v>
      </c>
      <c r="AG2">
        <v>2.035473323219537</v>
      </c>
      <c r="AH2">
        <v>4.4046201984114249E-2</v>
      </c>
      <c r="AI2">
        <v>7.2210777070412943E-2</v>
      </c>
      <c r="AJ2">
        <v>0.19536819682431308</v>
      </c>
      <c r="AK2">
        <v>0.21597825815492885</v>
      </c>
      <c r="AL2">
        <v>1.1062231393366018</v>
      </c>
      <c r="AM2">
        <f>(SUM(L2:AL2)/1000)/K2*100</f>
        <v>34.359755119861553</v>
      </c>
      <c r="AN2">
        <f>(SUM(L2:AL2)/1000)/J2*100</f>
        <v>1.8765378270265725</v>
      </c>
    </row>
    <row r="3" spans="1:40" x14ac:dyDescent="0.35">
      <c r="A3" t="s">
        <v>46</v>
      </c>
      <c r="B3" t="s">
        <v>1</v>
      </c>
      <c r="C3" t="s">
        <v>6</v>
      </c>
      <c r="D3" t="s">
        <v>45</v>
      </c>
      <c r="E3" t="s">
        <v>1</v>
      </c>
      <c r="F3" t="s">
        <v>6</v>
      </c>
      <c r="G3" t="s">
        <v>12</v>
      </c>
      <c r="H3" t="s">
        <v>6</v>
      </c>
      <c r="I3" t="s">
        <v>6</v>
      </c>
      <c r="J3">
        <v>0.76910000000000001</v>
      </c>
      <c r="K3">
        <v>4.1599999999999998E-2</v>
      </c>
      <c r="L3">
        <v>1.116196546287204E-2</v>
      </c>
      <c r="M3">
        <v>0.28719987570809363</v>
      </c>
      <c r="N3">
        <v>0.12928154665740954</v>
      </c>
      <c r="O3">
        <v>2.6190159637417207</v>
      </c>
      <c r="P3">
        <v>6.0329670929895239E-2</v>
      </c>
      <c r="Q3">
        <v>1.0324004663374065</v>
      </c>
      <c r="R3">
        <v>0.24325070065920837</v>
      </c>
      <c r="S3">
        <v>0.15396817690233983</v>
      </c>
      <c r="T3">
        <v>1.2607613546846761</v>
      </c>
      <c r="U3">
        <v>1.7375009862028703</v>
      </c>
      <c r="V3">
        <v>1.131495556928485</v>
      </c>
      <c r="W3">
        <v>0.57237305900102819</v>
      </c>
      <c r="X3">
        <v>0.39720686105888453</v>
      </c>
      <c r="Y3">
        <v>4.9759882359652716E-2</v>
      </c>
      <c r="Z3">
        <v>7.3190332905675323E-2</v>
      </c>
      <c r="AA3">
        <v>0.13191734830986068</v>
      </c>
      <c r="AB3">
        <v>9.5456912341433761E-2</v>
      </c>
      <c r="AC3">
        <v>3.6663897206709338E-2</v>
      </c>
      <c r="AD3">
        <v>1.111608700190686</v>
      </c>
      <c r="AE3">
        <v>5.5032851176221413E-2</v>
      </c>
      <c r="AF3">
        <v>4.2816710706946634E-2</v>
      </c>
      <c r="AG3">
        <v>2.0339172463516566</v>
      </c>
      <c r="AH3">
        <v>4.5201440281016234E-2</v>
      </c>
      <c r="AI3">
        <v>5.9775273193367388E-2</v>
      </c>
      <c r="AJ3">
        <v>0.18745234364284527</v>
      </c>
      <c r="AK3">
        <v>0.2138580620415674</v>
      </c>
      <c r="AL3">
        <v>1.1081156303141164</v>
      </c>
      <c r="AM3">
        <f t="shared" ref="AM3:AM66" si="0">(SUM(L3:AL3)/1000)/K3*100</f>
        <v>35.77094426754001</v>
      </c>
      <c r="AN3">
        <f t="shared" ref="AN3:AN66" si="1">(SUM(L3:AL3)/1000)/J3*100</f>
        <v>1.9348215856581257</v>
      </c>
    </row>
    <row r="4" spans="1:40" x14ac:dyDescent="0.35">
      <c r="A4" t="s">
        <v>47</v>
      </c>
      <c r="B4" t="s">
        <v>1</v>
      </c>
      <c r="C4" t="s">
        <v>6</v>
      </c>
      <c r="D4" t="s">
        <v>45</v>
      </c>
      <c r="E4" t="s">
        <v>1</v>
      </c>
      <c r="F4" t="s">
        <v>6</v>
      </c>
      <c r="G4" t="s">
        <v>12</v>
      </c>
      <c r="H4" t="s">
        <v>6</v>
      </c>
      <c r="I4" t="s">
        <v>6</v>
      </c>
      <c r="J4">
        <v>0.76600000000000001</v>
      </c>
      <c r="K4">
        <v>4.2099999999999999E-2</v>
      </c>
      <c r="L4">
        <v>1.0065851226553487E-2</v>
      </c>
      <c r="M4">
        <v>0.28116366749672411</v>
      </c>
      <c r="N4">
        <v>0.12689551194708515</v>
      </c>
      <c r="O4">
        <v>2.634326959118364</v>
      </c>
      <c r="P4">
        <v>5.8215533037853755E-2</v>
      </c>
      <c r="Q4">
        <v>1.0359195000861379</v>
      </c>
      <c r="R4">
        <v>0.25327089630546112</v>
      </c>
      <c r="S4">
        <v>0.1489016616811013</v>
      </c>
      <c r="T4">
        <v>1.2974598988269566</v>
      </c>
      <c r="U4">
        <v>1.7748584256054456</v>
      </c>
      <c r="V4">
        <v>1.1861460796750769</v>
      </c>
      <c r="W4">
        <v>0.58726247043899082</v>
      </c>
      <c r="X4">
        <v>0.40780141266385805</v>
      </c>
      <c r="Y4">
        <v>5.4139376569408981E-2</v>
      </c>
      <c r="Z4">
        <v>7.9542852369840197E-2</v>
      </c>
      <c r="AA4">
        <v>0.13867952994732527</v>
      </c>
      <c r="AB4">
        <v>0.10194534149817543</v>
      </c>
      <c r="AC4">
        <v>3.3254336919808093E-2</v>
      </c>
      <c r="AD4">
        <v>1.1415855872787166</v>
      </c>
      <c r="AE4">
        <v>6.3114354773874587E-2</v>
      </c>
      <c r="AF4">
        <v>4.8846470689574158E-2</v>
      </c>
      <c r="AG4">
        <v>2.1083742254101994</v>
      </c>
      <c r="AH4">
        <v>5.0056370821652492E-2</v>
      </c>
      <c r="AI4">
        <v>5.6344426868803928E-2</v>
      </c>
      <c r="AJ4">
        <v>0.18743361889398755</v>
      </c>
      <c r="AK4">
        <v>0.2147648327094851</v>
      </c>
      <c r="AL4">
        <v>1.1088086952436138</v>
      </c>
      <c r="AM4">
        <f t="shared" si="0"/>
        <v>36.078807335164079</v>
      </c>
      <c r="AN4">
        <f t="shared" si="1"/>
        <v>1.982921395313848</v>
      </c>
    </row>
    <row r="5" spans="1:40" x14ac:dyDescent="0.35">
      <c r="A5" t="s">
        <v>48</v>
      </c>
      <c r="B5" t="s">
        <v>1</v>
      </c>
      <c r="C5" t="s">
        <v>6</v>
      </c>
      <c r="D5" t="s">
        <v>49</v>
      </c>
      <c r="E5" t="s">
        <v>1</v>
      </c>
      <c r="F5" t="s">
        <v>6</v>
      </c>
      <c r="G5" t="s">
        <v>13</v>
      </c>
      <c r="H5" t="s">
        <v>6</v>
      </c>
      <c r="I5" t="s">
        <v>6</v>
      </c>
      <c r="J5">
        <v>0.7903</v>
      </c>
      <c r="K5">
        <v>3.1600000000000003E-2</v>
      </c>
      <c r="L5">
        <v>1.2134905999089798E-2</v>
      </c>
      <c r="M5">
        <v>0.25151978220445187</v>
      </c>
      <c r="N5">
        <v>0.14361455843127752</v>
      </c>
      <c r="O5">
        <v>1.980087971928493</v>
      </c>
      <c r="P5">
        <v>0.21028635057573261</v>
      </c>
      <c r="Q5">
        <v>0.85578026261075224</v>
      </c>
      <c r="R5">
        <v>0.14741039262619965</v>
      </c>
      <c r="S5">
        <v>0.10036938180545003</v>
      </c>
      <c r="T5">
        <v>0.68709447489102426</v>
      </c>
      <c r="U5">
        <v>1.7150179570459785</v>
      </c>
      <c r="V5">
        <v>0.85237920097224973</v>
      </c>
      <c r="W5">
        <v>0.31555259774872702</v>
      </c>
      <c r="X5">
        <v>0.23281349005614513</v>
      </c>
      <c r="Y5">
        <v>3.0734076668588468E-2</v>
      </c>
      <c r="Z5">
        <v>3.6332306777669007E-2</v>
      </c>
      <c r="AA5">
        <v>9.6025071138661142E-2</v>
      </c>
      <c r="AB5">
        <v>4.0422951607584953E-2</v>
      </c>
      <c r="AC5">
        <v>1.3462958579845904E-2</v>
      </c>
      <c r="AD5">
        <v>0.41419190423231034</v>
      </c>
      <c r="AE5">
        <v>2.3617748512541534E-2</v>
      </c>
      <c r="AF5">
        <v>1.8992855698214687E-2</v>
      </c>
      <c r="AG5">
        <v>0.75871669314242796</v>
      </c>
      <c r="AH5">
        <v>3.6871720518672171E-2</v>
      </c>
      <c r="AI5">
        <v>2.156386181691743E-2</v>
      </c>
      <c r="AJ5">
        <v>6.9684968901994271E-2</v>
      </c>
      <c r="AK5">
        <v>8.0070767844403784E-2</v>
      </c>
      <c r="AL5">
        <v>0.38727269349345761</v>
      </c>
      <c r="AM5">
        <f t="shared" si="0"/>
        <v>30.164626284268554</v>
      </c>
      <c r="AN5">
        <f t="shared" si="1"/>
        <v>1.2061270284485466</v>
      </c>
    </row>
    <row r="6" spans="1:40" x14ac:dyDescent="0.35">
      <c r="A6" t="s">
        <v>50</v>
      </c>
      <c r="B6" t="s">
        <v>1</v>
      </c>
      <c r="C6" t="s">
        <v>6</v>
      </c>
      <c r="D6" t="s">
        <v>49</v>
      </c>
      <c r="E6" t="s">
        <v>1</v>
      </c>
      <c r="F6" t="s">
        <v>6</v>
      </c>
      <c r="G6" t="s">
        <v>13</v>
      </c>
      <c r="H6" t="s">
        <v>6</v>
      </c>
      <c r="I6" t="s">
        <v>6</v>
      </c>
      <c r="J6">
        <v>0.82079999999999997</v>
      </c>
      <c r="K6">
        <v>3.1699999999999999E-2</v>
      </c>
      <c r="L6">
        <v>1.4906485163140535E-2</v>
      </c>
      <c r="M6">
        <v>0.27145158285551918</v>
      </c>
      <c r="N6">
        <v>0.14955839431854323</v>
      </c>
      <c r="O6">
        <v>2.038902604941919</v>
      </c>
      <c r="P6">
        <v>0.21285055126615268</v>
      </c>
      <c r="Q6">
        <v>0.85286759074392238</v>
      </c>
      <c r="R6">
        <v>0.14873544681819981</v>
      </c>
      <c r="S6">
        <v>8.7147614002668364E-2</v>
      </c>
      <c r="T6">
        <v>0.68832198309036474</v>
      </c>
      <c r="U6">
        <v>1.7768427287251161</v>
      </c>
      <c r="V6">
        <v>0.87676623454827041</v>
      </c>
      <c r="W6">
        <v>0.31764856147666692</v>
      </c>
      <c r="X6">
        <v>0.23391058367032802</v>
      </c>
      <c r="Y6">
        <v>2.7565001232563002E-2</v>
      </c>
      <c r="Z6">
        <v>3.3165306456560156E-2</v>
      </c>
      <c r="AA6">
        <v>0.12018717080688657</v>
      </c>
      <c r="AB6">
        <v>4.2990150786676284E-2</v>
      </c>
      <c r="AC6">
        <v>1.5766409553398208E-2</v>
      </c>
      <c r="AD6">
        <v>0.4227394230099753</v>
      </c>
      <c r="AE6">
        <v>2.2648768471979421E-2</v>
      </c>
      <c r="AF6">
        <v>2.1362904181869844E-2</v>
      </c>
      <c r="AG6">
        <v>0.77229254835692773</v>
      </c>
      <c r="AH6">
        <v>3.5923330818026657E-2</v>
      </c>
      <c r="AI6">
        <v>2.6663865957362729E-2</v>
      </c>
      <c r="AJ6">
        <v>8.0409634314553849E-2</v>
      </c>
      <c r="AK6">
        <v>8.1897036768012826E-2</v>
      </c>
      <c r="AL6">
        <v>0.40674056712952072</v>
      </c>
      <c r="AM6">
        <f t="shared" si="0"/>
        <v>30.852563026703862</v>
      </c>
      <c r="AN6">
        <f t="shared" si="1"/>
        <v>1.1915524463285969</v>
      </c>
    </row>
    <row r="7" spans="1:40" x14ac:dyDescent="0.35">
      <c r="A7" t="s">
        <v>51</v>
      </c>
      <c r="B7" t="s">
        <v>1</v>
      </c>
      <c r="C7" t="s">
        <v>6</v>
      </c>
      <c r="D7" t="s">
        <v>49</v>
      </c>
      <c r="E7" t="s">
        <v>1</v>
      </c>
      <c r="F7" t="s">
        <v>6</v>
      </c>
      <c r="G7" t="s">
        <v>13</v>
      </c>
      <c r="H7" t="s">
        <v>6</v>
      </c>
      <c r="I7" t="s">
        <v>6</v>
      </c>
      <c r="J7">
        <v>0.74209999999999998</v>
      </c>
      <c r="K7">
        <v>2.8900000000000002E-2</v>
      </c>
      <c r="L7">
        <v>1.1960471627921465E-2</v>
      </c>
      <c r="M7">
        <v>0.21737297832241645</v>
      </c>
      <c r="N7">
        <v>0.12245755959747964</v>
      </c>
      <c r="O7">
        <v>1.6685955997848174</v>
      </c>
      <c r="P7">
        <v>0.17510977773677541</v>
      </c>
      <c r="Q7">
        <v>0.69337331858847095</v>
      </c>
      <c r="R7">
        <v>0.12648156512800113</v>
      </c>
      <c r="S7">
        <v>7.3827429996848937E-2</v>
      </c>
      <c r="T7">
        <v>0.58301784839230275</v>
      </c>
      <c r="U7">
        <v>1.5000964486527737</v>
      </c>
      <c r="V7">
        <v>0.73662724452788675</v>
      </c>
      <c r="W7">
        <v>0.26681687096608003</v>
      </c>
      <c r="X7">
        <v>0.19493207259168913</v>
      </c>
      <c r="Y7">
        <v>2.1039704495705341E-2</v>
      </c>
      <c r="Z7">
        <v>3.4183079911003646E-2</v>
      </c>
      <c r="AA7">
        <v>8.8146520480062676E-2</v>
      </c>
      <c r="AB7">
        <v>3.450010243925232E-2</v>
      </c>
      <c r="AC7">
        <v>1.3160628342005725E-2</v>
      </c>
      <c r="AD7">
        <v>0.36532029938620314</v>
      </c>
      <c r="AE7">
        <v>2.384462301756084E-2</v>
      </c>
      <c r="AF7">
        <v>1.8356155520756826E-2</v>
      </c>
      <c r="AG7">
        <v>0.66483961367821609</v>
      </c>
      <c r="AH7">
        <v>3.322434435883212E-2</v>
      </c>
      <c r="AI7">
        <v>2.5244386508690559E-2</v>
      </c>
      <c r="AJ7">
        <v>5.7859606705158259E-2</v>
      </c>
      <c r="AK7">
        <v>8.0264808462560525E-2</v>
      </c>
      <c r="AL7">
        <v>0.34561362310262739</v>
      </c>
      <c r="AM7">
        <f t="shared" si="0"/>
        <v>28.2915802156474</v>
      </c>
      <c r="AN7">
        <f t="shared" si="1"/>
        <v>1.101774246371392</v>
      </c>
    </row>
    <row r="8" spans="1:40" x14ac:dyDescent="0.35">
      <c r="A8" t="s">
        <v>52</v>
      </c>
      <c r="B8" t="s">
        <v>1</v>
      </c>
      <c r="C8" t="s">
        <v>6</v>
      </c>
      <c r="D8" t="s">
        <v>53</v>
      </c>
      <c r="E8" t="s">
        <v>1</v>
      </c>
      <c r="F8" t="s">
        <v>6</v>
      </c>
      <c r="G8" t="s">
        <v>10</v>
      </c>
      <c r="H8" t="s">
        <v>6</v>
      </c>
      <c r="I8" t="s">
        <v>6</v>
      </c>
      <c r="J8">
        <v>0.78549999999999998</v>
      </c>
      <c r="K8">
        <v>1.7299999999999999E-2</v>
      </c>
      <c r="L8">
        <v>9.7755490191330056E-3</v>
      </c>
      <c r="M8">
        <v>0.17044195364935422</v>
      </c>
      <c r="N8">
        <v>8.7051363489878367E-2</v>
      </c>
      <c r="O8">
        <v>1.211878149327243</v>
      </c>
      <c r="P8">
        <v>0.11178128277396002</v>
      </c>
      <c r="Q8">
        <v>0.52400695948928966</v>
      </c>
      <c r="R8">
        <v>9.9016804484176296E-2</v>
      </c>
      <c r="S8">
        <v>5.6474579049627341E-2</v>
      </c>
      <c r="T8">
        <v>0.4251962572254066</v>
      </c>
      <c r="U8">
        <v>0.85542916540150249</v>
      </c>
      <c r="V8">
        <v>0.46597856641226776</v>
      </c>
      <c r="W8">
        <v>0.17783615022512156</v>
      </c>
      <c r="X8">
        <v>0.1047179227340212</v>
      </c>
      <c r="Y8">
        <v>1.4185957702846943E-2</v>
      </c>
      <c r="Z8">
        <v>3.5907723431087828E-2</v>
      </c>
      <c r="AA8">
        <v>5.5111107799434074E-2</v>
      </c>
      <c r="AB8">
        <v>1.4766262869746154E-2</v>
      </c>
      <c r="AC8">
        <v>3.2088908593367249E-4</v>
      </c>
      <c r="AD8">
        <v>0.12098647407608867</v>
      </c>
      <c r="AE8">
        <v>8.7010008922899802E-3</v>
      </c>
      <c r="AF8">
        <v>8.1765802753618038E-3</v>
      </c>
      <c r="AG8">
        <v>0.22563878834844389</v>
      </c>
      <c r="AH8">
        <v>2.3659841921236314E-2</v>
      </c>
      <c r="AI8">
        <v>6.8019321151743303E-3</v>
      </c>
      <c r="AJ8">
        <v>1.1704013069533418E-2</v>
      </c>
      <c r="AK8">
        <v>2.0266308508795294E-2</v>
      </c>
      <c r="AL8">
        <v>0.11386845894627819</v>
      </c>
      <c r="AM8">
        <f t="shared" si="0"/>
        <v>28.668670764874193</v>
      </c>
      <c r="AN8">
        <f t="shared" si="1"/>
        <v>0.63140420653383011</v>
      </c>
    </row>
    <row r="9" spans="1:40" x14ac:dyDescent="0.35">
      <c r="A9" t="s">
        <v>54</v>
      </c>
      <c r="B9" t="s">
        <v>1</v>
      </c>
      <c r="C9" t="s">
        <v>6</v>
      </c>
      <c r="D9" t="s">
        <v>53</v>
      </c>
      <c r="E9" t="s">
        <v>1</v>
      </c>
      <c r="F9" t="s">
        <v>6</v>
      </c>
      <c r="G9" t="s">
        <v>10</v>
      </c>
      <c r="H9" t="s">
        <v>6</v>
      </c>
      <c r="I9" t="s">
        <v>6</v>
      </c>
      <c r="J9">
        <v>0.79139999999999999</v>
      </c>
      <c r="K9">
        <v>1.7999999999999999E-2</v>
      </c>
      <c r="L9">
        <v>1.0215490201997848E-2</v>
      </c>
      <c r="M9">
        <v>0.1847476970172531</v>
      </c>
      <c r="N9">
        <v>9.368438492954427E-2</v>
      </c>
      <c r="O9">
        <v>1.2878220093196129</v>
      </c>
      <c r="P9">
        <v>0.11515301199692785</v>
      </c>
      <c r="Q9">
        <v>0.54224535499082793</v>
      </c>
      <c r="R9">
        <v>0.10505960905927436</v>
      </c>
      <c r="S9">
        <v>5.6276904184555249E-2</v>
      </c>
      <c r="T9">
        <v>0.46371205661654258</v>
      </c>
      <c r="U9">
        <v>0.91097019202358442</v>
      </c>
      <c r="V9">
        <v>0.49644038131351725</v>
      </c>
      <c r="W9">
        <v>0.19432241924852151</v>
      </c>
      <c r="X9">
        <v>0.11318240564682122</v>
      </c>
      <c r="Y9">
        <v>1.5181608371344959E-2</v>
      </c>
      <c r="Z9">
        <v>3.8345099525129031E-2</v>
      </c>
      <c r="AA9">
        <v>6.7867397447054514E-2</v>
      </c>
      <c r="AB9">
        <v>1.3589149256672546E-2</v>
      </c>
      <c r="AC9">
        <v>7.62408342439563E-3</v>
      </c>
      <c r="AD9">
        <v>0.14122919720730137</v>
      </c>
      <c r="AE9">
        <v>1.0872517457932072E-2</v>
      </c>
      <c r="AF9">
        <v>8.2078963551389193E-3</v>
      </c>
      <c r="AG9">
        <v>0.2499872706911884</v>
      </c>
      <c r="AH9">
        <v>2.4026849689801833E-2</v>
      </c>
      <c r="AI9">
        <v>9.9602859827608789E-3</v>
      </c>
      <c r="AJ9">
        <v>2.0359477582510523E-2</v>
      </c>
      <c r="AK9">
        <v>2.6665893320547765E-2</v>
      </c>
      <c r="AL9">
        <v>0.12634358389351402</v>
      </c>
      <c r="AM9">
        <f t="shared" si="0"/>
        <v>29.633845704190403</v>
      </c>
      <c r="AN9">
        <f t="shared" si="1"/>
        <v>0.67400710472002423</v>
      </c>
    </row>
    <row r="10" spans="1:40" x14ac:dyDescent="0.35">
      <c r="A10" t="s">
        <v>55</v>
      </c>
      <c r="B10" t="s">
        <v>1</v>
      </c>
      <c r="C10" t="s">
        <v>6</v>
      </c>
      <c r="D10" t="s">
        <v>53</v>
      </c>
      <c r="E10" t="s">
        <v>1</v>
      </c>
      <c r="F10" t="s">
        <v>6</v>
      </c>
      <c r="G10" t="s">
        <v>10</v>
      </c>
      <c r="H10" t="s">
        <v>6</v>
      </c>
      <c r="I10" t="s">
        <v>6</v>
      </c>
      <c r="J10">
        <v>0.85719999999999996</v>
      </c>
      <c r="K10">
        <v>1.9E-2</v>
      </c>
      <c r="L10">
        <v>9.8293161022162852E-3</v>
      </c>
      <c r="M10">
        <v>0.18591401267627666</v>
      </c>
      <c r="N10">
        <v>9.7506830356592064E-2</v>
      </c>
      <c r="O10">
        <v>1.3788044099953436</v>
      </c>
      <c r="P10">
        <v>0.12848738122368977</v>
      </c>
      <c r="Q10">
        <v>0.58217961221761427</v>
      </c>
      <c r="R10">
        <v>0.11519470076739743</v>
      </c>
      <c r="S10">
        <v>6.6459563847250436E-2</v>
      </c>
      <c r="T10">
        <v>0.51107526880082599</v>
      </c>
      <c r="U10">
        <v>1.003934699704212</v>
      </c>
      <c r="V10">
        <v>0.54486601046704453</v>
      </c>
      <c r="W10">
        <v>0.21374942366367275</v>
      </c>
      <c r="X10">
        <v>0.12308003272417485</v>
      </c>
      <c r="Y10">
        <v>1.7895968379831952E-2</v>
      </c>
      <c r="Z10">
        <v>4.2739868247268886E-2</v>
      </c>
      <c r="AA10">
        <v>8.3443172971574123E-2</v>
      </c>
      <c r="AB10">
        <v>1.4626901909879964E-2</v>
      </c>
      <c r="AC10">
        <v>4.6190072255477659E-3</v>
      </c>
      <c r="AD10">
        <v>0.147463503268838</v>
      </c>
      <c r="AE10">
        <v>8.9447397990945251E-3</v>
      </c>
      <c r="AF10">
        <v>1.1217458417343508E-2</v>
      </c>
      <c r="AG10">
        <v>0.27201511855659033</v>
      </c>
      <c r="AH10">
        <v>2.1790516843643366E-2</v>
      </c>
      <c r="AI10">
        <v>9.1041262101539695E-3</v>
      </c>
      <c r="AJ10">
        <v>2.2178290090274791E-2</v>
      </c>
      <c r="AK10">
        <v>2.6865749392590635E-2</v>
      </c>
      <c r="AL10">
        <v>0.13276102076151183</v>
      </c>
      <c r="AM10">
        <f t="shared" si="0"/>
        <v>30.403930024318189</v>
      </c>
      <c r="AN10">
        <f t="shared" si="1"/>
        <v>0.67390885494872332</v>
      </c>
    </row>
    <row r="11" spans="1:40" x14ac:dyDescent="0.35">
      <c r="A11" t="s">
        <v>56</v>
      </c>
      <c r="B11" t="s">
        <v>1</v>
      </c>
      <c r="C11" t="s">
        <v>6</v>
      </c>
      <c r="D11" t="s">
        <v>57</v>
      </c>
      <c r="E11" t="s">
        <v>1</v>
      </c>
      <c r="F11" t="s">
        <v>6</v>
      </c>
      <c r="G11" t="s">
        <v>9</v>
      </c>
      <c r="H11" t="s">
        <v>6</v>
      </c>
      <c r="I11" t="s">
        <v>6</v>
      </c>
      <c r="J11">
        <v>0.78549999999999998</v>
      </c>
      <c r="K11">
        <v>9.4999999999999998E-3</v>
      </c>
      <c r="L11">
        <v>6.4147125876569981E-3</v>
      </c>
      <c r="M11">
        <v>0.11822031045086238</v>
      </c>
      <c r="N11">
        <v>4.9290567513924112E-2</v>
      </c>
      <c r="O11">
        <v>0.92504224530171331</v>
      </c>
      <c r="P11">
        <v>3.3794317485867469E-2</v>
      </c>
      <c r="Q11">
        <v>0.38414943453821965</v>
      </c>
      <c r="R11">
        <v>8.4046025735164454E-2</v>
      </c>
      <c r="S11">
        <v>4.4201732137532111E-2</v>
      </c>
      <c r="T11">
        <v>0.41863651084269354</v>
      </c>
      <c r="U11">
        <v>0.50403037813953933</v>
      </c>
      <c r="V11">
        <v>0.35330619587070217</v>
      </c>
      <c r="W11">
        <v>0.16816275423334798</v>
      </c>
      <c r="X11">
        <v>8.0221663583107006E-2</v>
      </c>
      <c r="Y11">
        <v>1.2827661614331661E-2</v>
      </c>
      <c r="Z11">
        <v>4.6783906063122653E-2</v>
      </c>
      <c r="AA11">
        <v>4.3805251563957946E-2</v>
      </c>
      <c r="AB11">
        <v>2.0735469059124184E-2</v>
      </c>
      <c r="AC11">
        <v>8.2956305371806767E-3</v>
      </c>
      <c r="AD11">
        <v>0.11509239456310183</v>
      </c>
      <c r="AE11">
        <v>7.40358932757023E-3</v>
      </c>
      <c r="AF11">
        <v>6.2737880327958214E-3</v>
      </c>
      <c r="AG11">
        <v>0.1867439533906865</v>
      </c>
      <c r="AH11">
        <v>2.2435221198644304E-2</v>
      </c>
      <c r="AI11">
        <v>0.31694397327082846</v>
      </c>
      <c r="AJ11">
        <v>1.3411720946936054E-2</v>
      </c>
      <c r="AK11">
        <v>2.1875691396066942E-2</v>
      </c>
      <c r="AL11">
        <v>8.5478518223997907E-2</v>
      </c>
      <c r="AM11">
        <f t="shared" si="0"/>
        <v>42.922353869565008</v>
      </c>
      <c r="AN11">
        <f t="shared" si="1"/>
        <v>0.51911185456507647</v>
      </c>
    </row>
    <row r="12" spans="1:40" x14ac:dyDescent="0.35">
      <c r="A12" t="s">
        <v>58</v>
      </c>
      <c r="B12" t="s">
        <v>1</v>
      </c>
      <c r="C12" t="s">
        <v>6</v>
      </c>
      <c r="D12" t="s">
        <v>57</v>
      </c>
      <c r="E12" t="s">
        <v>1</v>
      </c>
      <c r="F12" t="s">
        <v>6</v>
      </c>
      <c r="G12" t="s">
        <v>9</v>
      </c>
      <c r="H12" t="s">
        <v>6</v>
      </c>
      <c r="I12" t="s">
        <v>6</v>
      </c>
      <c r="J12">
        <v>0.74750000000000005</v>
      </c>
      <c r="K12">
        <v>9.2999999999999992E-3</v>
      </c>
      <c r="L12">
        <v>5.6777156079477588E-3</v>
      </c>
      <c r="M12">
        <v>0.11326344583726013</v>
      </c>
      <c r="N12">
        <v>4.612804295255403E-2</v>
      </c>
      <c r="O12">
        <v>0.90429362765271004</v>
      </c>
      <c r="P12">
        <v>3.5033928143622606E-2</v>
      </c>
      <c r="Q12">
        <v>0.36719350102214326</v>
      </c>
      <c r="R12">
        <v>8.7154343211407942E-2</v>
      </c>
      <c r="S12">
        <v>4.1051467770976478E-2</v>
      </c>
      <c r="T12">
        <v>0.41504670806437211</v>
      </c>
      <c r="U12">
        <v>0.48666343064493106</v>
      </c>
      <c r="V12">
        <v>0.33910568101284416</v>
      </c>
      <c r="W12">
        <v>0.17044428380272345</v>
      </c>
      <c r="X12">
        <v>7.998761240862691E-2</v>
      </c>
      <c r="Y12">
        <v>1.3028006474269455E-2</v>
      </c>
      <c r="Z12">
        <v>4.7541054765007223E-2</v>
      </c>
      <c r="AA12">
        <v>4.0223569312497036E-2</v>
      </c>
      <c r="AB12">
        <v>1.6677546155046904E-2</v>
      </c>
      <c r="AC12">
        <v>6.2251402994892213E-3</v>
      </c>
      <c r="AD12">
        <v>0.11321273517850571</v>
      </c>
      <c r="AE12">
        <v>1.1091360155863279E-2</v>
      </c>
      <c r="AF12">
        <v>1.0055234967732998E-2</v>
      </c>
      <c r="AG12">
        <v>0.17262534297517557</v>
      </c>
      <c r="AH12">
        <v>2.0049742356463795E-2</v>
      </c>
      <c r="AI12">
        <v>1.0001519232904248E-2</v>
      </c>
      <c r="AJ12">
        <v>2.0416361637532736E-2</v>
      </c>
      <c r="AK12">
        <v>1.7783163727396196E-2</v>
      </c>
      <c r="AL12">
        <v>7.5053277494567916E-2</v>
      </c>
      <c r="AM12">
        <f t="shared" si="0"/>
        <v>39.408901536178192</v>
      </c>
      <c r="AN12">
        <f t="shared" si="1"/>
        <v>0.49030472814241755</v>
      </c>
    </row>
    <row r="13" spans="1:40" x14ac:dyDescent="0.35">
      <c r="A13" t="s">
        <v>59</v>
      </c>
      <c r="B13" t="s">
        <v>1</v>
      </c>
      <c r="C13" t="s">
        <v>6</v>
      </c>
      <c r="D13" t="s">
        <v>57</v>
      </c>
      <c r="E13" t="s">
        <v>1</v>
      </c>
      <c r="F13" t="s">
        <v>6</v>
      </c>
      <c r="G13" t="s">
        <v>9</v>
      </c>
      <c r="H13" t="s">
        <v>6</v>
      </c>
      <c r="I13" t="s">
        <v>6</v>
      </c>
      <c r="J13">
        <v>0.86890000000000001</v>
      </c>
      <c r="K13">
        <v>1.24E-2</v>
      </c>
      <c r="L13">
        <v>6.8286715397727939E-3</v>
      </c>
      <c r="M13">
        <v>0.14038283756593617</v>
      </c>
      <c r="N13">
        <v>5.5855755944477253E-2</v>
      </c>
      <c r="O13">
        <v>1.1112202048211806</v>
      </c>
      <c r="P13">
        <v>4.0537072188397465E-2</v>
      </c>
      <c r="Q13">
        <v>0.45992751572212592</v>
      </c>
      <c r="R13">
        <v>0.10779664152182727</v>
      </c>
      <c r="S13">
        <v>5.0475571025643109E-2</v>
      </c>
      <c r="T13">
        <v>0.50943413192498255</v>
      </c>
      <c r="U13">
        <v>0.60017393143710107</v>
      </c>
      <c r="V13">
        <v>0.41805063194660619</v>
      </c>
      <c r="W13">
        <v>0.20958198649226709</v>
      </c>
      <c r="X13">
        <v>9.7287662985788739E-2</v>
      </c>
      <c r="Y13">
        <v>1.2770601048298729E-2</v>
      </c>
      <c r="Z13">
        <v>6.329408671651103E-2</v>
      </c>
      <c r="AA13">
        <v>5.681456262580805E-2</v>
      </c>
      <c r="AB13">
        <v>1.8843300278367375E-2</v>
      </c>
      <c r="AC13">
        <v>1.0630756233506592E-2</v>
      </c>
      <c r="AD13">
        <v>0.13156718562064021</v>
      </c>
      <c r="AE13">
        <v>1.1297322132411408E-2</v>
      </c>
      <c r="AF13">
        <v>1.2588062959583418E-2</v>
      </c>
      <c r="AG13">
        <v>0.22142062847397218</v>
      </c>
      <c r="AH13">
        <v>2.692815758136818E-2</v>
      </c>
      <c r="AI13">
        <v>1.303984794059098E-2</v>
      </c>
      <c r="AJ13">
        <v>2.1814521947603902E-2</v>
      </c>
      <c r="AK13">
        <v>3.3131369618005974E-2</v>
      </c>
      <c r="AL13">
        <v>9.1189143800877198E-2</v>
      </c>
      <c r="AM13">
        <f t="shared" si="0"/>
        <v>36.55550130720686</v>
      </c>
      <c r="AN13">
        <f t="shared" si="1"/>
        <v>0.52168053424947058</v>
      </c>
    </row>
    <row r="14" spans="1:40" x14ac:dyDescent="0.35">
      <c r="A14" t="s">
        <v>60</v>
      </c>
      <c r="B14" t="s">
        <v>1</v>
      </c>
      <c r="C14" t="s">
        <v>6</v>
      </c>
      <c r="D14" t="s">
        <v>61</v>
      </c>
      <c r="E14" t="s">
        <v>1</v>
      </c>
      <c r="F14" t="s">
        <v>6</v>
      </c>
      <c r="G14" t="s">
        <v>11</v>
      </c>
      <c r="H14" t="s">
        <v>6</v>
      </c>
      <c r="I14" t="s">
        <v>6</v>
      </c>
      <c r="J14">
        <v>0.77490000000000003</v>
      </c>
      <c r="K14">
        <v>2.8800000000000003E-2</v>
      </c>
      <c r="L14">
        <v>2.1484043015545202E-2</v>
      </c>
      <c r="M14">
        <v>0.34322562939497042</v>
      </c>
      <c r="N14">
        <v>0.21952000726331608</v>
      </c>
      <c r="O14">
        <v>2.2365375235651532</v>
      </c>
      <c r="P14">
        <v>0.373709271844823</v>
      </c>
      <c r="Q14">
        <v>0.88548231797797117</v>
      </c>
      <c r="R14">
        <v>0.13384836847504153</v>
      </c>
      <c r="S14">
        <v>8.8258472944534427E-2</v>
      </c>
      <c r="T14">
        <v>0.49840833816307745</v>
      </c>
      <c r="U14">
        <v>1.8838929001343043</v>
      </c>
      <c r="V14">
        <v>0.71617039595132026</v>
      </c>
      <c r="W14">
        <v>0.19420136666927174</v>
      </c>
      <c r="X14">
        <v>0.16724270231469196</v>
      </c>
      <c r="Y14">
        <v>2.3541501107681499E-2</v>
      </c>
      <c r="Z14">
        <v>1.9899835363115508E-2</v>
      </c>
      <c r="AA14">
        <v>0.18782553700435156</v>
      </c>
      <c r="AB14">
        <v>2.031665066209408E-3</v>
      </c>
      <c r="AC14">
        <v>2.1158535028347825E-3</v>
      </c>
      <c r="AD14">
        <v>2.0448091922217516E-2</v>
      </c>
      <c r="AE14">
        <v>4.6076661515799394E-3</v>
      </c>
      <c r="AF14">
        <v>7.7926921651362384E-3</v>
      </c>
      <c r="AG14">
        <v>4.765209953941394E-2</v>
      </c>
      <c r="AH14">
        <v>3.0549156735706857E-2</v>
      </c>
      <c r="AI14">
        <v>2.9208022559612198E-4</v>
      </c>
      <c r="AJ14">
        <v>4.7603608650671384E-4</v>
      </c>
      <c r="AK14">
        <v>2.0097925802234039E-4</v>
      </c>
      <c r="AL14">
        <v>1.6925693129537477E-2</v>
      </c>
      <c r="AM14">
        <f t="shared" si="0"/>
        <v>28.216459114485875</v>
      </c>
      <c r="AN14">
        <f t="shared" si="1"/>
        <v>1.0486953445569662</v>
      </c>
    </row>
    <row r="15" spans="1:40" x14ac:dyDescent="0.35">
      <c r="A15" t="s">
        <v>62</v>
      </c>
      <c r="B15" t="s">
        <v>1</v>
      </c>
      <c r="C15" t="s">
        <v>6</v>
      </c>
      <c r="D15" t="s">
        <v>61</v>
      </c>
      <c r="E15" t="s">
        <v>1</v>
      </c>
      <c r="F15" t="s">
        <v>6</v>
      </c>
      <c r="G15" t="s">
        <v>11</v>
      </c>
      <c r="H15" t="s">
        <v>6</v>
      </c>
      <c r="I15" t="s">
        <v>6</v>
      </c>
      <c r="J15">
        <v>0.78049999999999997</v>
      </c>
      <c r="K15">
        <v>2.93E-2</v>
      </c>
      <c r="L15">
        <v>1.9210460564670608E-2</v>
      </c>
      <c r="M15">
        <v>0.31667860414758059</v>
      </c>
      <c r="N15">
        <v>0.20361464145914884</v>
      </c>
      <c r="O15">
        <v>2.0789177146664444</v>
      </c>
      <c r="P15">
        <v>0.34601815607562253</v>
      </c>
      <c r="Q15">
        <v>0.84310377279920046</v>
      </c>
      <c r="R15">
        <v>0.12622919963354709</v>
      </c>
      <c r="S15">
        <v>7.2003664529024736E-2</v>
      </c>
      <c r="T15">
        <v>0.4650993587074207</v>
      </c>
      <c r="U15">
        <v>1.7522146248021986</v>
      </c>
      <c r="V15">
        <v>0.67280036645290253</v>
      </c>
      <c r="W15">
        <v>0.17986632797534771</v>
      </c>
      <c r="X15">
        <v>0.15410627134171731</v>
      </c>
      <c r="Y15">
        <v>2.0003747813775296E-2</v>
      </c>
      <c r="Z15">
        <v>1.5587740484717248E-2</v>
      </c>
      <c r="AA15">
        <v>0.15276488714916298</v>
      </c>
      <c r="AB15">
        <v>3.8323477971183477E-3</v>
      </c>
      <c r="AC15">
        <v>3.5847422336970098E-3</v>
      </c>
      <c r="AD15">
        <v>1.8109186307987007E-2</v>
      </c>
      <c r="AE15">
        <v>4.1043557924544012E-3</v>
      </c>
      <c r="AF15">
        <v>4.6595319397018413E-3</v>
      </c>
      <c r="AG15">
        <v>3.6156408761555764E-2</v>
      </c>
      <c r="AH15">
        <v>3.0968018655784125E-2</v>
      </c>
      <c r="AI15">
        <v>7.0375614225035393E-5</v>
      </c>
      <c r="AJ15">
        <v>1.3125676688598319E-4</v>
      </c>
      <c r="AK15">
        <v>2.8096110602148744E-3</v>
      </c>
      <c r="AL15">
        <v>1.742949945864912E-2</v>
      </c>
      <c r="AM15">
        <f t="shared" si="0"/>
        <v>25.734043935122031</v>
      </c>
      <c r="AN15">
        <f t="shared" si="1"/>
        <v>0.96605699846133952</v>
      </c>
    </row>
    <row r="16" spans="1:40" x14ac:dyDescent="0.35">
      <c r="A16" t="s">
        <v>63</v>
      </c>
      <c r="B16" t="s">
        <v>1</v>
      </c>
      <c r="C16" t="s">
        <v>6</v>
      </c>
      <c r="D16" t="s">
        <v>61</v>
      </c>
      <c r="E16" t="s">
        <v>1</v>
      </c>
      <c r="F16" t="s">
        <v>6</v>
      </c>
      <c r="G16" t="s">
        <v>11</v>
      </c>
      <c r="H16" t="s">
        <v>6</v>
      </c>
      <c r="I16" t="s">
        <v>6</v>
      </c>
      <c r="J16">
        <v>0.83240000000000003</v>
      </c>
      <c r="K16">
        <v>3.2399999999999998E-2</v>
      </c>
      <c r="L16">
        <v>1.9890716409064181E-2</v>
      </c>
      <c r="M16">
        <v>0.29985140885869555</v>
      </c>
      <c r="N16">
        <v>0.179444481726619</v>
      </c>
      <c r="O16">
        <v>2.4135793124508069</v>
      </c>
      <c r="P16">
        <v>0.31038266944184767</v>
      </c>
      <c r="Q16">
        <v>0.91343810838222939</v>
      </c>
      <c r="R16">
        <v>0.16484290938992316</v>
      </c>
      <c r="S16">
        <v>0.11999248807533983</v>
      </c>
      <c r="T16">
        <v>0.83940368635737728</v>
      </c>
      <c r="U16">
        <v>2.4715568047685115</v>
      </c>
      <c r="V16">
        <v>0.94861208868440916</v>
      </c>
      <c r="W16">
        <v>0.27167198067708243</v>
      </c>
      <c r="X16">
        <v>0.20628043374255289</v>
      </c>
      <c r="Y16">
        <v>1.7210769658413783E-2</v>
      </c>
      <c r="Z16">
        <v>1.3262327264315532E-2</v>
      </c>
      <c r="AA16">
        <v>0.13667568895291018</v>
      </c>
      <c r="AB16">
        <v>3.2535720224851402E-3</v>
      </c>
      <c r="AC16">
        <v>2.9882616639884197E-3</v>
      </c>
      <c r="AD16">
        <v>1.4014560163112115E-2</v>
      </c>
      <c r="AE16">
        <v>3.1790076733651468E-3</v>
      </c>
      <c r="AF16">
        <v>4.721345224092747E-3</v>
      </c>
      <c r="AG16">
        <v>3.2011827639825061E-2</v>
      </c>
      <c r="AH16">
        <v>2.6741827530579621E-2</v>
      </c>
      <c r="AI16">
        <v>7.2622207933612057E-5</v>
      </c>
      <c r="AJ16">
        <v>1.9567072452790799E-4</v>
      </c>
      <c r="AK16">
        <v>2.0880098619154961E-3</v>
      </c>
      <c r="AL16">
        <v>4.9615672801925366E-2</v>
      </c>
      <c r="AM16">
        <f t="shared" si="0"/>
        <v>29.212895840598318</v>
      </c>
      <c r="AN16">
        <f t="shared" si="1"/>
        <v>1.1370709097013281</v>
      </c>
    </row>
    <row r="17" spans="1:40" x14ac:dyDescent="0.35">
      <c r="A17" t="s">
        <v>64</v>
      </c>
      <c r="B17" t="s">
        <v>1</v>
      </c>
      <c r="C17" t="s">
        <v>6</v>
      </c>
      <c r="D17" t="s">
        <v>65</v>
      </c>
      <c r="E17" t="s">
        <v>1</v>
      </c>
      <c r="F17" t="s">
        <v>6</v>
      </c>
      <c r="G17" t="s">
        <v>7</v>
      </c>
      <c r="H17" t="s">
        <v>6</v>
      </c>
      <c r="I17" t="s">
        <v>6</v>
      </c>
      <c r="J17">
        <v>1.0551999999999999</v>
      </c>
      <c r="K17">
        <v>3.5999999999999999E-3</v>
      </c>
      <c r="L17">
        <v>2.0190441102113064E-3</v>
      </c>
      <c r="M17">
        <v>3.8411873679612435E-2</v>
      </c>
      <c r="N17">
        <v>1.415132656560813E-2</v>
      </c>
      <c r="O17">
        <v>0.29609704718215174</v>
      </c>
      <c r="P17">
        <v>1.3998751511175325E-2</v>
      </c>
      <c r="Q17">
        <v>0.16768048315304129</v>
      </c>
      <c r="R17">
        <v>4.2964979599721155E-2</v>
      </c>
      <c r="S17">
        <v>2.1717266173489461E-2</v>
      </c>
      <c r="T17">
        <v>0.18247805987393184</v>
      </c>
      <c r="U17">
        <v>0.16870376771943604</v>
      </c>
      <c r="V17">
        <v>0.14568731269382729</v>
      </c>
      <c r="W17">
        <v>0.10684998859450533</v>
      </c>
      <c r="X17">
        <v>4.1834756232735415E-2</v>
      </c>
      <c r="Y17">
        <v>5.6881257266724371E-3</v>
      </c>
      <c r="Z17">
        <v>3.4551479529983962E-2</v>
      </c>
      <c r="AA17">
        <v>3.2510617848835133E-2</v>
      </c>
      <c r="AB17">
        <v>3.6231961969269365E-3</v>
      </c>
      <c r="AC17">
        <v>1.8084757408810468E-3</v>
      </c>
      <c r="AD17">
        <v>1.7051942254682831E-2</v>
      </c>
      <c r="AE17">
        <v>1.4990197373942844E-3</v>
      </c>
      <c r="AF17">
        <v>1.5952755589252042E-3</v>
      </c>
      <c r="AG17">
        <v>3.3828976886410581E-2</v>
      </c>
      <c r="AH17">
        <v>8.6009038161055963E-3</v>
      </c>
      <c r="AI17">
        <v>1.7955580570176105E-3</v>
      </c>
      <c r="AJ17">
        <v>7.3266393196504815E-4</v>
      </c>
      <c r="AK17">
        <v>1.0705014650975154E-3</v>
      </c>
      <c r="AL17">
        <v>5.7335595333892243E-3</v>
      </c>
      <c r="AM17">
        <f t="shared" si="0"/>
        <v>38.685693149270406</v>
      </c>
      <c r="AN17">
        <f t="shared" si="1"/>
        <v>0.13198303197249189</v>
      </c>
    </row>
    <row r="18" spans="1:40" x14ac:dyDescent="0.35">
      <c r="A18" t="s">
        <v>66</v>
      </c>
      <c r="B18" t="s">
        <v>1</v>
      </c>
      <c r="C18" t="s">
        <v>6</v>
      </c>
      <c r="D18" t="s">
        <v>65</v>
      </c>
      <c r="E18" t="s">
        <v>1</v>
      </c>
      <c r="F18" t="s">
        <v>6</v>
      </c>
      <c r="G18" t="s">
        <v>7</v>
      </c>
      <c r="H18" t="s">
        <v>6</v>
      </c>
      <c r="I18" t="s">
        <v>6</v>
      </c>
      <c r="J18">
        <v>0.74680000000000002</v>
      </c>
      <c r="K18">
        <v>1.5E-3</v>
      </c>
      <c r="L18">
        <v>1.8226051193309567E-3</v>
      </c>
      <c r="M18">
        <v>3.2073131538896349E-2</v>
      </c>
      <c r="N18">
        <v>1.0473260350756122E-2</v>
      </c>
      <c r="O18">
        <v>0.2287754814472979</v>
      </c>
      <c r="P18">
        <v>1.0835762608693114E-2</v>
      </c>
      <c r="Q18">
        <v>0.12963522440083192</v>
      </c>
      <c r="R18">
        <v>3.1519649159560986E-2</v>
      </c>
      <c r="S18">
        <v>1.4855393121018612E-2</v>
      </c>
      <c r="T18">
        <v>0.13163905632665027</v>
      </c>
      <c r="U18">
        <v>0.11812502371441905</v>
      </c>
      <c r="V18">
        <v>0.10804464440046219</v>
      </c>
      <c r="W18">
        <v>8.2067407648350119E-2</v>
      </c>
      <c r="X18">
        <v>3.085846683402696E-2</v>
      </c>
      <c r="Y18">
        <v>5.6128016676790229E-3</v>
      </c>
      <c r="Z18">
        <v>2.672673400642827E-2</v>
      </c>
      <c r="AA18">
        <v>1.7665661229348997E-2</v>
      </c>
      <c r="AB18">
        <v>3.4414851371804152E-3</v>
      </c>
      <c r="AC18">
        <v>2.0633247145270396E-3</v>
      </c>
      <c r="AD18">
        <v>1.3254803608937313E-2</v>
      </c>
      <c r="AE18">
        <v>8.8446270179957183E-4</v>
      </c>
      <c r="AF18">
        <v>2.0921711770816075E-3</v>
      </c>
      <c r="AG18">
        <v>2.845788659691844E-2</v>
      </c>
      <c r="AH18">
        <v>7.3736763300424482E-3</v>
      </c>
      <c r="AI18">
        <v>1.2945154102375592E-3</v>
      </c>
      <c r="AJ18">
        <v>5.3920508294452501E-4</v>
      </c>
      <c r="AK18">
        <v>1.5486366925057896E-3</v>
      </c>
      <c r="AL18">
        <v>4.1597280033156409E-3</v>
      </c>
      <c r="AM18">
        <f t="shared" si="0"/>
        <v>69.722679935282727</v>
      </c>
      <c r="AN18">
        <f t="shared" si="1"/>
        <v>0.14004287614210509</v>
      </c>
    </row>
    <row r="19" spans="1:40" x14ac:dyDescent="0.35">
      <c r="A19" t="s">
        <v>67</v>
      </c>
      <c r="B19" t="s">
        <v>1</v>
      </c>
      <c r="C19" t="s">
        <v>6</v>
      </c>
      <c r="D19" t="s">
        <v>65</v>
      </c>
      <c r="E19" t="s">
        <v>1</v>
      </c>
      <c r="F19" t="s">
        <v>6</v>
      </c>
      <c r="G19" t="s">
        <v>7</v>
      </c>
      <c r="H19" t="s">
        <v>6</v>
      </c>
      <c r="I19" t="s">
        <v>6</v>
      </c>
      <c r="J19">
        <v>0.75439999999999996</v>
      </c>
      <c r="K19">
        <v>2.8E-3</v>
      </c>
      <c r="L19">
        <v>2.1011421531857439E-3</v>
      </c>
      <c r="M19">
        <v>3.5094532358612894E-2</v>
      </c>
      <c r="N19">
        <v>1.1931680252740811E-2</v>
      </c>
      <c r="O19">
        <v>0.25242683241112429</v>
      </c>
      <c r="P19">
        <v>1.0289508860928736E-2</v>
      </c>
      <c r="Q19">
        <v>0.14045980023759316</v>
      </c>
      <c r="R19">
        <v>3.3404015134589356E-2</v>
      </c>
      <c r="S19">
        <v>1.4584982700131146E-2</v>
      </c>
      <c r="T19">
        <v>0.14279938830346872</v>
      </c>
      <c r="U19">
        <v>0.12446299337903327</v>
      </c>
      <c r="V19">
        <v>0.11730652427279298</v>
      </c>
      <c r="W19">
        <v>9.0286019497524836E-2</v>
      </c>
      <c r="X19">
        <v>3.3506862889701346E-2</v>
      </c>
      <c r="Y19">
        <v>6.1073891716143204E-3</v>
      </c>
      <c r="Z19">
        <v>2.9996140131137956E-2</v>
      </c>
      <c r="AA19">
        <v>1.9049324947035387E-2</v>
      </c>
      <c r="AB19">
        <v>3.2488289804490085E-3</v>
      </c>
      <c r="AC19">
        <v>8.3151000947285548E-4</v>
      </c>
      <c r="AD19">
        <v>1.3980509315271028E-2</v>
      </c>
      <c r="AE19">
        <v>1.1001344467406156E-3</v>
      </c>
      <c r="AF19">
        <v>1.505807142948507E-3</v>
      </c>
      <c r="AG19">
        <v>2.5773800649321645E-2</v>
      </c>
      <c r="AH19">
        <v>7.5171612998134029E-3</v>
      </c>
      <c r="AI19">
        <v>1.2936819380048377E-3</v>
      </c>
      <c r="AJ19">
        <v>9.5022679836110258E-5</v>
      </c>
      <c r="AK19">
        <v>1.6140448974638114E-3</v>
      </c>
      <c r="AL19">
        <v>3.9805555999528758E-3</v>
      </c>
      <c r="AM19">
        <f t="shared" si="0"/>
        <v>40.169578345017484</v>
      </c>
      <c r="AN19">
        <f t="shared" si="1"/>
        <v>0.14909175419677753</v>
      </c>
    </row>
    <row r="20" spans="1:40" x14ac:dyDescent="0.35">
      <c r="A20" t="s">
        <v>68</v>
      </c>
      <c r="B20" t="s">
        <v>1</v>
      </c>
      <c r="C20" t="s">
        <v>6</v>
      </c>
      <c r="D20" t="s">
        <v>69</v>
      </c>
      <c r="E20" t="s">
        <v>1</v>
      </c>
      <c r="F20" t="s">
        <v>6</v>
      </c>
      <c r="G20" t="s">
        <v>8</v>
      </c>
      <c r="H20" t="s">
        <v>6</v>
      </c>
      <c r="I20" t="s">
        <v>6</v>
      </c>
      <c r="J20">
        <v>0.75439999999999996</v>
      </c>
      <c r="K20">
        <v>1.4500000000000001E-2</v>
      </c>
      <c r="L20">
        <v>9.8714350525179028E-3</v>
      </c>
      <c r="M20">
        <v>0.16931217778106794</v>
      </c>
      <c r="N20">
        <v>9.7793832904083236E-2</v>
      </c>
      <c r="O20">
        <v>1.2049822956218492</v>
      </c>
      <c r="P20">
        <v>0.1404186726543262</v>
      </c>
      <c r="Q20">
        <v>0.46118481029880098</v>
      </c>
      <c r="R20">
        <v>0.11128435397151794</v>
      </c>
      <c r="S20">
        <v>4.4575317510852967E-2</v>
      </c>
      <c r="T20">
        <v>0.41834816826337023</v>
      </c>
      <c r="U20">
        <v>0.84117131505589926</v>
      </c>
      <c r="V20">
        <v>0.41631037658130182</v>
      </c>
      <c r="W20">
        <v>0.11024531030305272</v>
      </c>
      <c r="X20">
        <v>5.0301342071394736E-2</v>
      </c>
      <c r="Y20">
        <v>1.287384148741786E-2</v>
      </c>
      <c r="Z20">
        <v>4.2837642424081751E-2</v>
      </c>
      <c r="AA20">
        <v>6.6510439305670244E-2</v>
      </c>
      <c r="AB20">
        <v>3.4795117903305434E-3</v>
      </c>
      <c r="AC20">
        <v>2.4522326924009976E-3</v>
      </c>
      <c r="AD20">
        <v>1.4299915517178423E-2</v>
      </c>
      <c r="AE20">
        <v>1.4160301277046134E-3</v>
      </c>
      <c r="AF20">
        <v>2.5112956383555015E-3</v>
      </c>
      <c r="AG20">
        <v>2.7333218955564238E-2</v>
      </c>
      <c r="AH20">
        <v>2.0722770796454425E-2</v>
      </c>
      <c r="AI20">
        <v>1.0083917601988371E-4</v>
      </c>
      <c r="AJ20">
        <v>1.0453661247394614E-3</v>
      </c>
      <c r="AK20">
        <v>2.753069567526984E-4</v>
      </c>
      <c r="AL20">
        <v>2.2537195700529655E-2</v>
      </c>
      <c r="AM20">
        <f t="shared" si="0"/>
        <v>29.615138032849899</v>
      </c>
      <c r="AN20">
        <f t="shared" si="1"/>
        <v>0.56921991181909282</v>
      </c>
    </row>
    <row r="21" spans="1:40" x14ac:dyDescent="0.35">
      <c r="A21" t="s">
        <v>70</v>
      </c>
      <c r="B21" t="s">
        <v>1</v>
      </c>
      <c r="C21" t="s">
        <v>6</v>
      </c>
      <c r="D21" t="s">
        <v>69</v>
      </c>
      <c r="E21" t="s">
        <v>1</v>
      </c>
      <c r="F21" t="s">
        <v>6</v>
      </c>
      <c r="G21" t="s">
        <v>8</v>
      </c>
      <c r="H21" t="s">
        <v>6</v>
      </c>
      <c r="I21" t="s">
        <v>6</v>
      </c>
      <c r="J21">
        <v>0.81659999999999999</v>
      </c>
      <c r="K21">
        <v>1.6E-2</v>
      </c>
      <c r="L21">
        <v>1.0238682771376673E-2</v>
      </c>
      <c r="M21">
        <v>0.19079620110475518</v>
      </c>
      <c r="N21">
        <v>0.11398095294335107</v>
      </c>
      <c r="O21">
        <v>1.3629544010422248</v>
      </c>
      <c r="P21">
        <v>0.16391360955313516</v>
      </c>
      <c r="Q21">
        <v>0.5588956573827164</v>
      </c>
      <c r="R21">
        <v>0.12655182023319014</v>
      </c>
      <c r="S21">
        <v>6.8053974210515025E-2</v>
      </c>
      <c r="T21">
        <v>0.48569585945333343</v>
      </c>
      <c r="U21">
        <v>0.9594843761312376</v>
      </c>
      <c r="V21">
        <v>0.49674266290730107</v>
      </c>
      <c r="W21">
        <v>0.13180112627269908</v>
      </c>
      <c r="X21">
        <v>6.3082879287883087E-2</v>
      </c>
      <c r="Y21">
        <v>1.3314698291500211E-2</v>
      </c>
      <c r="Z21">
        <v>5.002726092793125E-2</v>
      </c>
      <c r="AA21">
        <v>6.9076724142463825E-2</v>
      </c>
      <c r="AB21">
        <v>3.4713394216072386E-3</v>
      </c>
      <c r="AC21">
        <v>1.8872934549909542E-3</v>
      </c>
      <c r="AD21">
        <v>1.5081441011032586E-2</v>
      </c>
      <c r="AE21">
        <v>1.4451729754413015E-3</v>
      </c>
      <c r="AF21">
        <v>2.0627300646375206E-3</v>
      </c>
      <c r="AG21">
        <v>2.9609917962403379E-2</v>
      </c>
      <c r="AH21">
        <v>2.4949189108733491E-2</v>
      </c>
      <c r="AI21">
        <v>3.9982357245157843E-3</v>
      </c>
      <c r="AJ21">
        <v>2.752686354125925E-3</v>
      </c>
      <c r="AK21">
        <v>6.9266620368928526E-4</v>
      </c>
      <c r="AL21">
        <v>3.1548173982963133E-2</v>
      </c>
      <c r="AM21">
        <f t="shared" si="0"/>
        <v>31.138185830748473</v>
      </c>
      <c r="AN21">
        <f t="shared" si="1"/>
        <v>0.61010405742343321</v>
      </c>
    </row>
    <row r="22" spans="1:40" x14ac:dyDescent="0.35">
      <c r="A22" t="s">
        <v>71</v>
      </c>
      <c r="B22" t="s">
        <v>1</v>
      </c>
      <c r="C22" t="s">
        <v>6</v>
      </c>
      <c r="D22" t="s">
        <v>69</v>
      </c>
      <c r="E22" t="s">
        <v>1</v>
      </c>
      <c r="F22" t="s">
        <v>6</v>
      </c>
      <c r="G22" t="s">
        <v>8</v>
      </c>
      <c r="H22" t="s">
        <v>6</v>
      </c>
      <c r="I22" t="s">
        <v>6</v>
      </c>
      <c r="J22">
        <v>0.76600000000000001</v>
      </c>
      <c r="K22">
        <v>1.4E-2</v>
      </c>
      <c r="L22">
        <v>8.9310957686884202E-3</v>
      </c>
      <c r="M22">
        <v>0.16300443086808725</v>
      </c>
      <c r="N22">
        <v>9.4519301093475908E-2</v>
      </c>
      <c r="O22">
        <v>1.1444202993238057</v>
      </c>
      <c r="P22">
        <v>0.13563972721290807</v>
      </c>
      <c r="Q22">
        <v>0.4570571076696705</v>
      </c>
      <c r="R22">
        <v>0.10177713476183291</v>
      </c>
      <c r="S22">
        <v>3.9729213665612148E-2</v>
      </c>
      <c r="T22">
        <v>0.40742751696130286</v>
      </c>
      <c r="U22">
        <v>0.80913829802893478</v>
      </c>
      <c r="V22">
        <v>0.40092205386906249</v>
      </c>
      <c r="W22">
        <v>0.10320744773413973</v>
      </c>
      <c r="X22">
        <v>4.847792609477998E-2</v>
      </c>
      <c r="Y22">
        <v>1.0129149374603687E-2</v>
      </c>
      <c r="Z22">
        <v>4.2036315749834616E-2</v>
      </c>
      <c r="AA22">
        <v>7.2595486033783546E-2</v>
      </c>
      <c r="AB22">
        <v>8.7358789987580527E-4</v>
      </c>
      <c r="AC22">
        <v>1.8682502122589367E-3</v>
      </c>
      <c r="AD22">
        <v>1.400415938434595E-2</v>
      </c>
      <c r="AE22">
        <v>1.5862005657475359E-3</v>
      </c>
      <c r="AF22">
        <v>1.3602578766846438E-3</v>
      </c>
      <c r="AG22">
        <v>2.2693334986022565E-2</v>
      </c>
      <c r="AH22">
        <v>1.8706654124140049E-2</v>
      </c>
      <c r="AI22">
        <v>2.9581485828277169E-3</v>
      </c>
      <c r="AJ22">
        <v>1.2708525975715851E-3</v>
      </c>
      <c r="AK22">
        <v>9.8751674979417211E-5</v>
      </c>
      <c r="AL22">
        <v>3.0451043630852805E-2</v>
      </c>
      <c r="AM22">
        <f t="shared" si="0"/>
        <v>29.534883898184489</v>
      </c>
      <c r="AN22">
        <f t="shared" si="1"/>
        <v>0.5398020555803954</v>
      </c>
    </row>
    <row r="23" spans="1:40" x14ac:dyDescent="0.35">
      <c r="A23" t="s">
        <v>72</v>
      </c>
      <c r="B23" t="s">
        <v>73</v>
      </c>
      <c r="C23">
        <v>1</v>
      </c>
      <c r="D23" t="s">
        <v>45</v>
      </c>
      <c r="E23">
        <v>12</v>
      </c>
      <c r="F23">
        <v>22</v>
      </c>
      <c r="G23" t="s">
        <v>12</v>
      </c>
      <c r="H23">
        <v>37</v>
      </c>
      <c r="I23">
        <v>47</v>
      </c>
      <c r="J23">
        <v>0.93820000000000003</v>
      </c>
      <c r="K23">
        <v>1.5400000000001413E-2</v>
      </c>
      <c r="L23">
        <v>1.8959117441709364E-3</v>
      </c>
      <c r="M23">
        <v>4.105588661212841E-2</v>
      </c>
      <c r="N23">
        <v>2.7634499490943432E-2</v>
      </c>
      <c r="O23">
        <v>0.91206204442569172</v>
      </c>
      <c r="P23">
        <v>4.5633432302453078E-2</v>
      </c>
      <c r="Q23">
        <v>0.15262485884156582</v>
      </c>
      <c r="R23">
        <v>7.0613854859337077E-2</v>
      </c>
      <c r="S23">
        <v>5.1490072246457894E-2</v>
      </c>
      <c r="T23">
        <v>0.53601964522232159</v>
      </c>
      <c r="U23">
        <v>0.82270808535263451</v>
      </c>
      <c r="V23">
        <v>0.33056490360671764</v>
      </c>
      <c r="W23">
        <v>0.11753385405061803</v>
      </c>
      <c r="X23">
        <v>5.9456453522985273E-2</v>
      </c>
      <c r="Y23">
        <v>1.7220736684258484E-2</v>
      </c>
      <c r="Z23">
        <v>1.9177872378376482E-2</v>
      </c>
      <c r="AA23">
        <v>6.9055627845787726E-2</v>
      </c>
      <c r="AB23">
        <v>3.060106439181879E-2</v>
      </c>
      <c r="AC23">
        <v>4.2086727278832343E-2</v>
      </c>
      <c r="AD23">
        <v>0.56074842968524952</v>
      </c>
      <c r="AE23">
        <v>1.4647781038549031E-2</v>
      </c>
      <c r="AF23">
        <v>1.502714864460738E-2</v>
      </c>
      <c r="AG23">
        <v>0.43687973157415771</v>
      </c>
      <c r="AH23">
        <v>1.0921527919644205E-2</v>
      </c>
      <c r="AI23">
        <v>6.0460164694266058E-2</v>
      </c>
      <c r="AJ23">
        <v>0.16105541634379017</v>
      </c>
      <c r="AK23">
        <v>0.23859453359964852</v>
      </c>
      <c r="AL23">
        <v>1.0104983279793303</v>
      </c>
      <c r="AM23">
        <f t="shared" si="0"/>
        <v>38.027718132050694</v>
      </c>
      <c r="AN23">
        <f t="shared" si="1"/>
        <v>0.62420257859052908</v>
      </c>
    </row>
    <row r="24" spans="1:40" x14ac:dyDescent="0.35">
      <c r="A24" t="s">
        <v>74</v>
      </c>
      <c r="B24" t="s">
        <v>73</v>
      </c>
      <c r="C24">
        <v>1</v>
      </c>
      <c r="D24" t="s">
        <v>45</v>
      </c>
      <c r="E24">
        <v>12</v>
      </c>
      <c r="F24">
        <v>22</v>
      </c>
      <c r="G24" t="s">
        <v>12</v>
      </c>
      <c r="H24">
        <v>50</v>
      </c>
      <c r="I24">
        <v>58</v>
      </c>
      <c r="J24">
        <v>1.7994000000000001</v>
      </c>
      <c r="K24">
        <v>4.4900000000000162E-2</v>
      </c>
      <c r="L24">
        <v>2.2700149584972119E-2</v>
      </c>
      <c r="M24">
        <v>0.34392560617359108</v>
      </c>
      <c r="N24">
        <v>0.14558066368610847</v>
      </c>
      <c r="O24">
        <v>3.8255687793696462</v>
      </c>
      <c r="P24">
        <v>0.19003043856739674</v>
      </c>
      <c r="Q24">
        <v>1.4379562830203201</v>
      </c>
      <c r="R24">
        <v>0.31423805264329002</v>
      </c>
      <c r="S24">
        <v>0.29006024235218364</v>
      </c>
      <c r="T24">
        <v>2.0488413896590814</v>
      </c>
      <c r="U24">
        <v>4.1473657667264208</v>
      </c>
      <c r="V24">
        <v>1.3489368038196932</v>
      </c>
      <c r="W24">
        <v>0.5125109533693547</v>
      </c>
      <c r="X24">
        <v>0.31195097537515182</v>
      </c>
      <c r="Y24">
        <v>0.1324372431135184</v>
      </c>
      <c r="Z24">
        <v>9.9939316938870704E-2</v>
      </c>
      <c r="AA24">
        <v>0.35712537280000994</v>
      </c>
      <c r="AB24">
        <v>0.12376213415261171</v>
      </c>
      <c r="AC24">
        <v>0.1185949713626788</v>
      </c>
      <c r="AD24">
        <v>1.2391145038661766</v>
      </c>
      <c r="AE24">
        <v>5.9862870783463258E-2</v>
      </c>
      <c r="AF24">
        <v>6.3712863701122238E-2</v>
      </c>
      <c r="AG24">
        <v>1.1613587447638858</v>
      </c>
      <c r="AH24">
        <v>7.8517304160467663E-2</v>
      </c>
      <c r="AI24">
        <v>0.14829265715552972</v>
      </c>
      <c r="AJ24">
        <v>0.3003488797569443</v>
      </c>
      <c r="AK24">
        <v>0.60305806724463784</v>
      </c>
      <c r="AL24">
        <v>2.7089645860038121</v>
      </c>
      <c r="AM24">
        <f t="shared" si="0"/>
        <v>49.297896704122188</v>
      </c>
      <c r="AN24">
        <f t="shared" si="1"/>
        <v>1.2301186851256496</v>
      </c>
    </row>
    <row r="25" spans="1:40" x14ac:dyDescent="0.35">
      <c r="A25" t="s">
        <v>75</v>
      </c>
      <c r="B25" t="s">
        <v>73</v>
      </c>
      <c r="C25">
        <v>1</v>
      </c>
      <c r="D25" t="s">
        <v>45</v>
      </c>
      <c r="E25">
        <v>12</v>
      </c>
      <c r="F25">
        <v>22</v>
      </c>
      <c r="G25" t="s">
        <v>12</v>
      </c>
      <c r="H25">
        <v>45</v>
      </c>
      <c r="I25">
        <v>53</v>
      </c>
      <c r="J25">
        <v>1.2607999999999999</v>
      </c>
      <c r="K25">
        <v>3.8200000000001566E-2</v>
      </c>
      <c r="L25">
        <v>1.6768615026159468E-2</v>
      </c>
      <c r="M25">
        <v>0.26893931588507786</v>
      </c>
      <c r="N25">
        <v>9.7321011428027099E-2</v>
      </c>
      <c r="O25">
        <v>2.7699359935762753</v>
      </c>
      <c r="P25">
        <v>0.15605278332386235</v>
      </c>
      <c r="Q25">
        <v>1.0373716536300375</v>
      </c>
      <c r="R25">
        <v>0.22260780939602434</v>
      </c>
      <c r="S25">
        <v>0.21014742920965956</v>
      </c>
      <c r="T25">
        <v>1.4986652581482196</v>
      </c>
      <c r="U25">
        <v>3.6469455437116611</v>
      </c>
      <c r="V25">
        <v>1.1390165161066408</v>
      </c>
      <c r="W25">
        <v>2.9551885668422474E-2</v>
      </c>
      <c r="X25">
        <v>0.25979883763741324</v>
      </c>
      <c r="Y25">
        <v>9.4656093290388113E-2</v>
      </c>
      <c r="Z25">
        <v>8.0242485069523084E-2</v>
      </c>
      <c r="AA25">
        <v>0.33750699410614438</v>
      </c>
      <c r="AB25">
        <v>0.10491253398237124</v>
      </c>
      <c r="AC25">
        <v>8.7199017234278836E-2</v>
      </c>
      <c r="AD25">
        <v>0.96300543759798241</v>
      </c>
      <c r="AE25">
        <v>5.2577801638449155E-2</v>
      </c>
      <c r="AF25">
        <v>5.001487770532205E-2</v>
      </c>
      <c r="AG25">
        <v>0.90744224917896044</v>
      </c>
      <c r="AH25">
        <v>6.8014293958700858E-2</v>
      </c>
      <c r="AI25">
        <v>0.13076101914434179</v>
      </c>
      <c r="AJ25">
        <v>0.23338144170107186</v>
      </c>
      <c r="AK25">
        <v>0.5353928560344613</v>
      </c>
      <c r="AL25">
        <v>2.2356015415646793</v>
      </c>
      <c r="AM25">
        <f t="shared" si="0"/>
        <v>45.114741609825778</v>
      </c>
      <c r="AN25">
        <f t="shared" si="1"/>
        <v>1.3668965176835464</v>
      </c>
    </row>
    <row r="26" spans="1:40" x14ac:dyDescent="0.35">
      <c r="A26" t="s">
        <v>76</v>
      </c>
      <c r="B26" t="s">
        <v>73</v>
      </c>
      <c r="C26">
        <v>1</v>
      </c>
      <c r="D26" t="s">
        <v>45</v>
      </c>
      <c r="E26">
        <v>12</v>
      </c>
      <c r="F26">
        <v>33</v>
      </c>
      <c r="G26" t="s">
        <v>12</v>
      </c>
      <c r="H26">
        <v>50</v>
      </c>
      <c r="I26">
        <v>59</v>
      </c>
      <c r="J26">
        <v>2.1139000000000001</v>
      </c>
      <c r="K26">
        <v>8.1507211288875975E-2</v>
      </c>
      <c r="L26">
        <v>3.6599071819284942E-2</v>
      </c>
      <c r="M26">
        <v>0.59655300342786211</v>
      </c>
      <c r="N26">
        <v>0.19429250820371924</v>
      </c>
      <c r="O26">
        <v>5.6099670159864932</v>
      </c>
      <c r="P26">
        <v>0.255181907628797</v>
      </c>
      <c r="Q26">
        <v>2.1627230459641429</v>
      </c>
      <c r="R26">
        <v>0.44176662259366595</v>
      </c>
      <c r="S26">
        <v>0.37833936758550274</v>
      </c>
      <c r="T26">
        <v>3.3444620281552413</v>
      </c>
      <c r="U26">
        <v>8.3676213691641639</v>
      </c>
      <c r="V26">
        <v>2.4405586472167977</v>
      </c>
      <c r="W26">
        <v>0.73264206508551311</v>
      </c>
      <c r="X26">
        <v>0.46232608862142821</v>
      </c>
      <c r="Y26">
        <v>0.14375697342808252</v>
      </c>
      <c r="Z26">
        <v>0.20580914765177108</v>
      </c>
      <c r="AA26">
        <v>1.0382276283417031</v>
      </c>
      <c r="AB26">
        <v>0.21909157349464647</v>
      </c>
      <c r="AC26">
        <v>0.18066494879704734</v>
      </c>
      <c r="AD26">
        <v>1.7481416903372322</v>
      </c>
      <c r="AE26">
        <v>0.11198450771717479</v>
      </c>
      <c r="AF26">
        <v>9.6043277795134913E-2</v>
      </c>
      <c r="AG26">
        <v>1.6074674690592596</v>
      </c>
      <c r="AH26">
        <v>0.18177755166511453</v>
      </c>
      <c r="AI26">
        <v>0.24826240172588909</v>
      </c>
      <c r="AJ26">
        <v>0.47525173892607564</v>
      </c>
      <c r="AK26">
        <v>0.90773705229475321</v>
      </c>
      <c r="AL26">
        <v>4.3712416359368857</v>
      </c>
      <c r="AM26">
        <f t="shared" si="0"/>
        <v>44.853074667287572</v>
      </c>
      <c r="AN26">
        <f t="shared" si="1"/>
        <v>1.7294332910082495</v>
      </c>
    </row>
    <row r="27" spans="1:40" x14ac:dyDescent="0.35">
      <c r="A27" t="s">
        <v>77</v>
      </c>
      <c r="B27" t="s">
        <v>73</v>
      </c>
      <c r="C27">
        <v>1</v>
      </c>
      <c r="D27" t="s">
        <v>45</v>
      </c>
      <c r="E27">
        <v>12</v>
      </c>
      <c r="F27">
        <v>33</v>
      </c>
      <c r="G27" t="s">
        <v>12</v>
      </c>
      <c r="H27">
        <v>52</v>
      </c>
      <c r="I27">
        <v>62</v>
      </c>
      <c r="J27">
        <v>2.3445999999999998</v>
      </c>
      <c r="K27">
        <v>7.8400000000000233E-2</v>
      </c>
      <c r="L27">
        <v>3.2199635198129052E-2</v>
      </c>
      <c r="M27">
        <v>0.50939142039916074</v>
      </c>
      <c r="N27">
        <v>0.17833528844272961</v>
      </c>
      <c r="O27">
        <v>5.2182096054341516</v>
      </c>
      <c r="P27">
        <v>0.25546239454716113</v>
      </c>
      <c r="Q27">
        <v>1.9299790467758087</v>
      </c>
      <c r="R27">
        <v>0.41190223420598493</v>
      </c>
      <c r="S27">
        <v>0.35590041460892813</v>
      </c>
      <c r="T27">
        <v>3.061682038910758</v>
      </c>
      <c r="U27">
        <v>6.9248712495792093</v>
      </c>
      <c r="V27">
        <v>2.4215889757611713</v>
      </c>
      <c r="W27">
        <v>0.70314120140643299</v>
      </c>
      <c r="X27">
        <v>0.4245293657027584</v>
      </c>
      <c r="Y27">
        <v>0.13987354700217666</v>
      </c>
      <c r="Z27">
        <v>0.2115782677197236</v>
      </c>
      <c r="AA27">
        <v>0.81401975653978254</v>
      </c>
      <c r="AB27">
        <v>0.21281436865683509</v>
      </c>
      <c r="AC27">
        <v>0.19269868512656763</v>
      </c>
      <c r="AD27">
        <v>1.8209315433707689</v>
      </c>
      <c r="AE27">
        <v>0.10734681345141796</v>
      </c>
      <c r="AF27">
        <v>8.7251097732139418E-2</v>
      </c>
      <c r="AG27">
        <v>1.6652141785646588</v>
      </c>
      <c r="AH27">
        <v>0.17795693822168648</v>
      </c>
      <c r="AI27">
        <v>0.27244562340275896</v>
      </c>
      <c r="AJ27">
        <v>0.51551333668956356</v>
      </c>
      <c r="AK27">
        <v>1.0293743975807457</v>
      </c>
      <c r="AL27">
        <v>4.5125556782251284</v>
      </c>
      <c r="AM27">
        <f t="shared" si="0"/>
        <v>43.605570284765605</v>
      </c>
      <c r="AN27">
        <f t="shared" si="1"/>
        <v>1.4581065897490548</v>
      </c>
    </row>
    <row r="28" spans="1:40" x14ac:dyDescent="0.35">
      <c r="A28" t="s">
        <v>78</v>
      </c>
      <c r="B28" t="s">
        <v>73</v>
      </c>
      <c r="C28">
        <v>1</v>
      </c>
      <c r="D28" t="s">
        <v>45</v>
      </c>
      <c r="E28">
        <v>12</v>
      </c>
      <c r="F28">
        <v>39</v>
      </c>
      <c r="G28" t="s">
        <v>12</v>
      </c>
      <c r="H28">
        <v>46</v>
      </c>
      <c r="I28">
        <v>56</v>
      </c>
      <c r="J28">
        <v>1.6263000000000001</v>
      </c>
      <c r="K28">
        <v>5.1599999999998765E-2</v>
      </c>
      <c r="L28">
        <v>1.6505059881220717E-2</v>
      </c>
      <c r="M28">
        <v>0.26784192747599972</v>
      </c>
      <c r="N28">
        <v>0.10726709803708231</v>
      </c>
      <c r="O28">
        <v>2.9499307251718263</v>
      </c>
      <c r="P28">
        <v>0.14753459239379454</v>
      </c>
      <c r="Q28">
        <v>1.05007946375495</v>
      </c>
      <c r="R28">
        <v>0.25524354755767381</v>
      </c>
      <c r="S28">
        <v>0.2359927247207296</v>
      </c>
      <c r="T28">
        <v>1.8863407727231285</v>
      </c>
      <c r="U28">
        <v>3.9674563421884521</v>
      </c>
      <c r="V28">
        <v>1.5122564607881244</v>
      </c>
      <c r="W28">
        <v>0.48071632057777186</v>
      </c>
      <c r="X28">
        <v>0.29890787588053463</v>
      </c>
      <c r="Y28">
        <v>0.10493310501736702</v>
      </c>
      <c r="Z28">
        <v>0.12464880527898313</v>
      </c>
      <c r="AA28">
        <v>0.42425568291269961</v>
      </c>
      <c r="AB28">
        <v>0.1375179275976838</v>
      </c>
      <c r="AC28">
        <v>0.12868130696800814</v>
      </c>
      <c r="AD28">
        <v>1.2874236012688811</v>
      </c>
      <c r="AE28">
        <v>7.5660990755817614E-2</v>
      </c>
      <c r="AF28">
        <v>6.899968953630134E-2</v>
      </c>
      <c r="AG28">
        <v>1.1869517933051839</v>
      </c>
      <c r="AH28">
        <v>0.10595344586729466</v>
      </c>
      <c r="AI28">
        <v>0.20188002860798618</v>
      </c>
      <c r="AJ28">
        <v>0.37271979506292657</v>
      </c>
      <c r="AK28">
        <v>0.78705664944548404</v>
      </c>
      <c r="AL28">
        <v>3.3525298230639033</v>
      </c>
      <c r="AM28">
        <f t="shared" si="0"/>
        <v>41.735049526822337</v>
      </c>
      <c r="AN28">
        <f t="shared" si="1"/>
        <v>1.3241889907052702</v>
      </c>
    </row>
    <row r="29" spans="1:40" x14ac:dyDescent="0.35">
      <c r="A29" t="s">
        <v>79</v>
      </c>
      <c r="B29" t="s">
        <v>73</v>
      </c>
      <c r="C29">
        <v>1</v>
      </c>
      <c r="D29" t="s">
        <v>45</v>
      </c>
      <c r="E29">
        <v>12</v>
      </c>
      <c r="F29">
        <v>39</v>
      </c>
      <c r="G29" t="s">
        <v>12</v>
      </c>
      <c r="H29">
        <v>49</v>
      </c>
      <c r="I29">
        <v>57</v>
      </c>
      <c r="J29">
        <v>1.6989000000000001</v>
      </c>
      <c r="K29">
        <v>5.2299999999998903E-2</v>
      </c>
      <c r="L29">
        <v>3.3791452073555821E-2</v>
      </c>
      <c r="M29">
        <v>3.2592614100435985E-2</v>
      </c>
      <c r="N29">
        <v>3.4318708195351438E-3</v>
      </c>
      <c r="O29">
        <v>3.9144644178289072</v>
      </c>
      <c r="P29">
        <v>0.21636642988207025</v>
      </c>
      <c r="Q29">
        <v>1.6625095157542578</v>
      </c>
      <c r="R29">
        <v>0.14113982785289741</v>
      </c>
      <c r="S29">
        <v>0.31349958030376507</v>
      </c>
      <c r="T29">
        <v>2.0796212137781036</v>
      </c>
      <c r="U29">
        <v>4.8733559559533886</v>
      </c>
      <c r="V29">
        <v>1.6538407296153201</v>
      </c>
      <c r="W29">
        <v>0.49987679106216709</v>
      </c>
      <c r="X29">
        <v>0.19438347641216658</v>
      </c>
      <c r="Y29">
        <v>7.5321763342607137E-2</v>
      </c>
      <c r="Z29">
        <v>0.13280272617780792</v>
      </c>
      <c r="AA29">
        <v>0.51075608672666351</v>
      </c>
      <c r="AB29">
        <v>6.8814175249762632E-2</v>
      </c>
      <c r="AC29">
        <v>0.11474152292793366</v>
      </c>
      <c r="AD29">
        <v>0.12538063017031448</v>
      </c>
      <c r="AE29">
        <v>1.0999960142055674</v>
      </c>
      <c r="AF29">
        <v>5.5579671015468811E-2</v>
      </c>
      <c r="AG29">
        <v>1.0093364802380769</v>
      </c>
      <c r="AH29">
        <v>8.0696578853493961E-2</v>
      </c>
      <c r="AI29">
        <v>0.14049109738687243</v>
      </c>
      <c r="AJ29">
        <v>0.27875253307228959</v>
      </c>
      <c r="AK29">
        <v>0.53813072274482088</v>
      </c>
      <c r="AL29">
        <v>2.5970489547565201</v>
      </c>
      <c r="AM29">
        <f t="shared" si="0"/>
        <v>42.919164115306387</v>
      </c>
      <c r="AN29">
        <f t="shared" si="1"/>
        <v>1.3212503874450978</v>
      </c>
    </row>
    <row r="30" spans="1:40" x14ac:dyDescent="0.35">
      <c r="A30" t="s">
        <v>80</v>
      </c>
      <c r="B30" t="s">
        <v>73</v>
      </c>
      <c r="C30">
        <v>1</v>
      </c>
      <c r="D30" t="s">
        <v>45</v>
      </c>
      <c r="E30">
        <v>12</v>
      </c>
      <c r="F30">
        <v>39</v>
      </c>
      <c r="G30" t="s">
        <v>12</v>
      </c>
      <c r="H30">
        <v>46</v>
      </c>
      <c r="I30">
        <v>54</v>
      </c>
      <c r="J30">
        <v>1.3959999999999999</v>
      </c>
      <c r="K30">
        <v>4.5200000000001232E-2</v>
      </c>
      <c r="L30">
        <v>3.2514654292233179E-2</v>
      </c>
      <c r="M30">
        <v>2.6002701837186351E-2</v>
      </c>
      <c r="N30">
        <v>3.1450174238839453E-3</v>
      </c>
      <c r="O30">
        <v>3.6213632261810376</v>
      </c>
      <c r="P30">
        <v>0.18230483596164457</v>
      </c>
      <c r="Q30">
        <v>1.5150380318817471</v>
      </c>
      <c r="R30">
        <v>0.28778190905327894</v>
      </c>
      <c r="S30">
        <v>0.2863553349181594</v>
      </c>
      <c r="T30">
        <v>1.8132593292827368</v>
      </c>
      <c r="U30">
        <v>4.0617951459396311</v>
      </c>
      <c r="V30">
        <v>1.5397441525893711</v>
      </c>
      <c r="W30">
        <v>5.681748571092865E-2</v>
      </c>
      <c r="X30">
        <v>0.19992550063489342</v>
      </c>
      <c r="Y30">
        <v>7.7109209345764665E-2</v>
      </c>
      <c r="Z30">
        <v>0.1240690629988371</v>
      </c>
      <c r="AA30">
        <v>0.365865690040865</v>
      </c>
      <c r="AB30">
        <v>4.5154850878746364E-2</v>
      </c>
      <c r="AC30">
        <v>0.14292534467916812</v>
      </c>
      <c r="AD30">
        <v>0.97343734691246897</v>
      </c>
      <c r="AE30">
        <v>6.0421767329919662E-2</v>
      </c>
      <c r="AF30">
        <v>6.233308141872751E-2</v>
      </c>
      <c r="AG30">
        <v>0.93520270990764243</v>
      </c>
      <c r="AH30">
        <v>8.3978232493521307E-2</v>
      </c>
      <c r="AI30">
        <v>0.14019082698695004</v>
      </c>
      <c r="AJ30">
        <v>0.23744228851478849</v>
      </c>
      <c r="AK30">
        <v>0.47722236659403022</v>
      </c>
      <c r="AL30">
        <v>2.2499503449101899</v>
      </c>
      <c r="AM30">
        <f t="shared" si="0"/>
        <v>43.365819576809329</v>
      </c>
      <c r="AN30">
        <f t="shared" si="1"/>
        <v>1.4041081983322603</v>
      </c>
    </row>
    <row r="31" spans="1:40" x14ac:dyDescent="0.35">
      <c r="A31" t="s">
        <v>81</v>
      </c>
      <c r="B31" t="s">
        <v>73</v>
      </c>
      <c r="C31">
        <v>1</v>
      </c>
      <c r="D31" t="s">
        <v>45</v>
      </c>
      <c r="E31">
        <v>12</v>
      </c>
      <c r="F31">
        <v>39</v>
      </c>
      <c r="G31" t="s">
        <v>12</v>
      </c>
      <c r="H31">
        <v>47</v>
      </c>
      <c r="I31">
        <v>56</v>
      </c>
      <c r="J31">
        <v>1.4736</v>
      </c>
      <c r="K31">
        <v>4.0499999999999751E-2</v>
      </c>
      <c r="L31">
        <v>2.2951284004034022E-2</v>
      </c>
      <c r="M31">
        <v>2.2096384802663661E-2</v>
      </c>
      <c r="N31">
        <v>2.9888117562360916E-3</v>
      </c>
      <c r="O31">
        <v>3.4013190720490623</v>
      </c>
      <c r="P31">
        <v>0.16590551119788366</v>
      </c>
      <c r="Q31">
        <v>1.3971845732714143</v>
      </c>
      <c r="R31">
        <v>0.23873319413838845</v>
      </c>
      <c r="S31">
        <v>0.23821059056136348</v>
      </c>
      <c r="T31">
        <v>1.5933461007586127</v>
      </c>
      <c r="U31">
        <v>3.9941883077662106</v>
      </c>
      <c r="V31">
        <v>1.3968725901540306</v>
      </c>
      <c r="W31">
        <v>4.4443015693556145E-2</v>
      </c>
      <c r="X31">
        <v>0.17310950544125756</v>
      </c>
      <c r="Y31">
        <v>6.5636056090668568E-2</v>
      </c>
      <c r="Z31">
        <v>0.11466270266025134</v>
      </c>
      <c r="AA31">
        <v>0.32236060979328507</v>
      </c>
      <c r="AB31">
        <v>5.6185743426719927E-2</v>
      </c>
      <c r="AC31">
        <v>0.10946527429525534</v>
      </c>
      <c r="AD31">
        <v>0.91865891149197776</v>
      </c>
      <c r="AE31">
        <v>4.4521292550027881E-2</v>
      </c>
      <c r="AF31">
        <v>5.0548435605917555E-2</v>
      </c>
      <c r="AG31">
        <v>0.84419845777353342</v>
      </c>
      <c r="AH31">
        <v>6.8932703515142205E-2</v>
      </c>
      <c r="AI31">
        <v>0.10417622727954695</v>
      </c>
      <c r="AJ31">
        <v>0.21714984379815397</v>
      </c>
      <c r="AK31">
        <v>0.44047269094204189</v>
      </c>
      <c r="AL31">
        <v>2.2276616452689244</v>
      </c>
      <c r="AM31">
        <f t="shared" si="0"/>
        <v>45.125875397743883</v>
      </c>
      <c r="AN31">
        <f t="shared" si="1"/>
        <v>1.2402266243272366</v>
      </c>
    </row>
    <row r="32" spans="1:40" x14ac:dyDescent="0.35">
      <c r="A32" t="s">
        <v>82</v>
      </c>
      <c r="B32" t="s">
        <v>73</v>
      </c>
      <c r="C32">
        <v>1</v>
      </c>
      <c r="D32" t="s">
        <v>49</v>
      </c>
      <c r="E32">
        <v>12</v>
      </c>
      <c r="F32">
        <v>23</v>
      </c>
      <c r="G32" t="s">
        <v>13</v>
      </c>
      <c r="H32">
        <v>43</v>
      </c>
      <c r="I32">
        <v>51</v>
      </c>
      <c r="J32">
        <v>1.1694</v>
      </c>
      <c r="K32">
        <v>2.6299999999999102E-2</v>
      </c>
      <c r="L32">
        <v>7.8215273326054935E-3</v>
      </c>
      <c r="M32">
        <v>1.383681413205242E-2</v>
      </c>
      <c r="N32">
        <v>4.4312232625464694E-2</v>
      </c>
      <c r="O32">
        <v>1.5631111053262541</v>
      </c>
      <c r="P32">
        <v>0.17979273304924479</v>
      </c>
      <c r="Q32">
        <v>0.5551288122170227</v>
      </c>
      <c r="R32">
        <v>0.10537934160859555</v>
      </c>
      <c r="S32">
        <v>0.10513802956380246</v>
      </c>
      <c r="T32">
        <v>0.71396879782434663</v>
      </c>
      <c r="U32">
        <v>2.0626411213913953</v>
      </c>
      <c r="V32">
        <v>0.80973580551741398</v>
      </c>
      <c r="W32">
        <v>0.21542984395535655</v>
      </c>
      <c r="X32">
        <v>6.5967012409298989E-2</v>
      </c>
      <c r="Y32">
        <v>3.9009576074479864E-2</v>
      </c>
      <c r="Z32">
        <v>3.3346830324629775E-2</v>
      </c>
      <c r="AA32">
        <v>0.16630790447528462</v>
      </c>
      <c r="AB32">
        <v>2.3462741251458096E-2</v>
      </c>
      <c r="AC32">
        <v>7.9874515558309545E-2</v>
      </c>
      <c r="AD32">
        <v>0.54319316231347392</v>
      </c>
      <c r="AE32">
        <v>9.9573812758082299E-3</v>
      </c>
      <c r="AF32">
        <v>1.5484674234457823E-2</v>
      </c>
      <c r="AG32">
        <v>0.4407781303212478</v>
      </c>
      <c r="AH32">
        <v>2.2104477386784976E-2</v>
      </c>
      <c r="AI32">
        <v>5.6166965933176438E-2</v>
      </c>
      <c r="AJ32">
        <v>0.13606851541137657</v>
      </c>
      <c r="AK32">
        <v>0.28197670235953726</v>
      </c>
      <c r="AL32">
        <v>1.2454805728555154</v>
      </c>
      <c r="AM32">
        <f t="shared" si="0"/>
        <v>36.256560177675738</v>
      </c>
      <c r="AN32">
        <f t="shared" si="1"/>
        <v>0.81541605325195776</v>
      </c>
    </row>
    <row r="33" spans="1:40" x14ac:dyDescent="0.35">
      <c r="A33" t="s">
        <v>83</v>
      </c>
      <c r="B33" t="s">
        <v>73</v>
      </c>
      <c r="C33">
        <v>1</v>
      </c>
      <c r="D33" t="s">
        <v>49</v>
      </c>
      <c r="E33">
        <v>12</v>
      </c>
      <c r="F33">
        <v>23</v>
      </c>
      <c r="G33" t="s">
        <v>13</v>
      </c>
      <c r="H33">
        <v>35</v>
      </c>
      <c r="I33">
        <v>43</v>
      </c>
      <c r="J33">
        <v>0.65790000000000004</v>
      </c>
      <c r="K33">
        <v>1.2399999999999523E-2</v>
      </c>
      <c r="L33">
        <v>5.0719350084496937E-3</v>
      </c>
      <c r="M33">
        <v>5.8567239710017819E-3</v>
      </c>
      <c r="N33">
        <v>2.7948983900874719E-2</v>
      </c>
      <c r="O33">
        <v>1.0486035947329782</v>
      </c>
      <c r="P33">
        <v>0.11036321327453566</v>
      </c>
      <c r="Q33">
        <v>0.31406865364572417</v>
      </c>
      <c r="R33">
        <v>5.0779034602713755E-2</v>
      </c>
      <c r="S33">
        <v>4.9126554710369572E-2</v>
      </c>
      <c r="T33">
        <v>0.39449294191386514</v>
      </c>
      <c r="U33">
        <v>1.1327361602441555</v>
      </c>
      <c r="V33">
        <v>0.41385673523685257</v>
      </c>
      <c r="W33">
        <v>9.8976303568635793E-2</v>
      </c>
      <c r="X33">
        <v>3.5937451751493862E-2</v>
      </c>
      <c r="Y33">
        <v>1.9084351241389609E-2</v>
      </c>
      <c r="Z33">
        <v>1.4884319611288964E-2</v>
      </c>
      <c r="AA33">
        <v>5.9529073966861787E-2</v>
      </c>
      <c r="AB33">
        <v>1.6245969116343604E-2</v>
      </c>
      <c r="AC33">
        <v>4.5715402036478052E-2</v>
      </c>
      <c r="AD33">
        <v>0.28251712006239649</v>
      </c>
      <c r="AE33">
        <v>7.605967725255942E-3</v>
      </c>
      <c r="AF33">
        <v>9.8123111298993211E-3</v>
      </c>
      <c r="AG33">
        <v>0.25404784978277822</v>
      </c>
      <c r="AH33">
        <v>0</v>
      </c>
      <c r="AI33">
        <v>1.9799904203531799E-2</v>
      </c>
      <c r="AJ33">
        <v>6.3270218105034512E-2</v>
      </c>
      <c r="AK33">
        <v>0.10890840008162844</v>
      </c>
      <c r="AL33">
        <v>0.75599734199394253</v>
      </c>
      <c r="AM33">
        <f t="shared" si="0"/>
        <v>43.106746093699073</v>
      </c>
      <c r="AN33">
        <f t="shared" si="1"/>
        <v>0.8124694506184037</v>
      </c>
    </row>
    <row r="34" spans="1:40" x14ac:dyDescent="0.35">
      <c r="A34" t="s">
        <v>84</v>
      </c>
      <c r="B34" t="s">
        <v>73</v>
      </c>
      <c r="C34">
        <v>1</v>
      </c>
      <c r="D34" t="s">
        <v>49</v>
      </c>
      <c r="E34">
        <v>12</v>
      </c>
      <c r="F34">
        <v>23</v>
      </c>
      <c r="G34" t="s">
        <v>13</v>
      </c>
      <c r="H34">
        <v>30</v>
      </c>
      <c r="I34">
        <v>35</v>
      </c>
      <c r="J34">
        <v>0.48120000000000002</v>
      </c>
      <c r="K34">
        <v>9.3999999999994088E-3</v>
      </c>
      <c r="L34">
        <v>4.2876788766886068E-3</v>
      </c>
      <c r="M34">
        <v>1.7520853257772893E-3</v>
      </c>
      <c r="N34">
        <v>2.5812793349328372E-2</v>
      </c>
      <c r="O34">
        <v>0.95164127553697953</v>
      </c>
      <c r="P34">
        <v>0.11546260687755852</v>
      </c>
      <c r="Q34">
        <v>0.30163482222310978</v>
      </c>
      <c r="R34">
        <v>9.3818970234072082E-4</v>
      </c>
      <c r="S34">
        <v>4.7955219047447484E-2</v>
      </c>
      <c r="T34">
        <v>0.35311854447568741</v>
      </c>
      <c r="U34">
        <v>1.0070642401577767</v>
      </c>
      <c r="V34">
        <v>0.38824798965244006</v>
      </c>
      <c r="W34">
        <v>8.487491770669077E-2</v>
      </c>
      <c r="X34">
        <v>2.8869895769431886E-2</v>
      </c>
      <c r="Y34">
        <v>1.6724103596507032E-2</v>
      </c>
      <c r="Z34">
        <v>1.2001522765155162E-2</v>
      </c>
      <c r="AA34">
        <v>5.4848716356413245E-2</v>
      </c>
      <c r="AB34">
        <v>8.5493558734516702E-3</v>
      </c>
      <c r="AC34">
        <v>4.7471651985633037E-2</v>
      </c>
      <c r="AD34">
        <v>0.22866132428791086</v>
      </c>
      <c r="AE34">
        <v>6.6308189050171698E-3</v>
      </c>
      <c r="AF34">
        <v>9.6244303364885642E-3</v>
      </c>
      <c r="AG34">
        <v>0.18830569930179245</v>
      </c>
      <c r="AH34">
        <v>7.8486632114754958E-4</v>
      </c>
      <c r="AI34">
        <v>1.4710726256461623E-2</v>
      </c>
      <c r="AJ34">
        <v>5.1083904444930363E-2</v>
      </c>
      <c r="AK34">
        <v>9.1718985979497736E-2</v>
      </c>
      <c r="AL34">
        <v>0.54645423530022574</v>
      </c>
      <c r="AM34">
        <f t="shared" si="0"/>
        <v>48.821602132044454</v>
      </c>
      <c r="AN34">
        <f t="shared" si="1"/>
        <v>0.95370544480712582</v>
      </c>
    </row>
    <row r="35" spans="1:40" x14ac:dyDescent="0.35">
      <c r="A35" t="s">
        <v>85</v>
      </c>
      <c r="B35" t="s">
        <v>73</v>
      </c>
      <c r="C35">
        <v>1</v>
      </c>
      <c r="D35" t="s">
        <v>49</v>
      </c>
      <c r="E35">
        <v>12</v>
      </c>
      <c r="F35">
        <v>34</v>
      </c>
      <c r="G35" t="s">
        <v>13</v>
      </c>
      <c r="H35">
        <v>40</v>
      </c>
      <c r="I35">
        <v>47</v>
      </c>
      <c r="J35">
        <v>0.96799999999999997</v>
      </c>
      <c r="K35">
        <v>2.3799999999999599E-2</v>
      </c>
      <c r="L35">
        <v>1.2156062464078037E-2</v>
      </c>
      <c r="M35">
        <v>1.4683079271485116E-2</v>
      </c>
      <c r="N35">
        <v>7.3691332888114275E-2</v>
      </c>
      <c r="O35">
        <v>1.971241542195364</v>
      </c>
      <c r="P35">
        <v>0.28501202789522301</v>
      </c>
      <c r="Q35">
        <v>0.79925613669310835</v>
      </c>
      <c r="R35">
        <v>9.4225539905666306E-3</v>
      </c>
      <c r="S35">
        <v>0.11779923723272313</v>
      </c>
      <c r="T35">
        <v>0.80458068974824959</v>
      </c>
      <c r="U35">
        <v>2.4932587009687004</v>
      </c>
      <c r="V35">
        <v>0.9864987585834587</v>
      </c>
      <c r="W35">
        <v>0.2148967285707305</v>
      </c>
      <c r="X35">
        <v>7.8252327510581712E-2</v>
      </c>
      <c r="Y35">
        <v>4.7881242859237096E-2</v>
      </c>
      <c r="Z35">
        <v>2.5519382153851883E-2</v>
      </c>
      <c r="AA35">
        <v>0.14723735372343519</v>
      </c>
      <c r="AB35">
        <v>2.3437739528238445E-2</v>
      </c>
      <c r="AC35">
        <v>6.1102377888591297E-2</v>
      </c>
      <c r="AD35">
        <v>0.48192988032604928</v>
      </c>
      <c r="AE35">
        <v>8.332462286300673E-3</v>
      </c>
      <c r="AF35">
        <v>1.4133384215510842E-2</v>
      </c>
      <c r="AG35">
        <v>0.35037128942108331</v>
      </c>
      <c r="AH35">
        <v>2.2015418230556763E-2</v>
      </c>
      <c r="AI35">
        <v>3.5892775118615196E-2</v>
      </c>
      <c r="AJ35">
        <v>0.11605644198617339</v>
      </c>
      <c r="AK35">
        <v>0.1764681129305109</v>
      </c>
      <c r="AL35">
        <v>1.2255516892339984</v>
      </c>
      <c r="AM35">
        <f t="shared" si="0"/>
        <v>44.523860201322336</v>
      </c>
      <c r="AN35">
        <f t="shared" si="1"/>
        <v>1.0946982156936507</v>
      </c>
    </row>
    <row r="36" spans="1:40" x14ac:dyDescent="0.35">
      <c r="A36" t="s">
        <v>86</v>
      </c>
      <c r="B36" t="s">
        <v>73</v>
      </c>
      <c r="C36">
        <v>1</v>
      </c>
      <c r="D36" t="s">
        <v>49</v>
      </c>
      <c r="E36">
        <v>12</v>
      </c>
      <c r="F36">
        <v>34</v>
      </c>
      <c r="G36" t="s">
        <v>13</v>
      </c>
      <c r="H36">
        <v>41</v>
      </c>
      <c r="I36">
        <v>50</v>
      </c>
      <c r="J36">
        <v>1.0832999999999999</v>
      </c>
      <c r="K36">
        <v>2.2799999999998377E-2</v>
      </c>
      <c r="L36">
        <v>8.2799168086005685E-3</v>
      </c>
      <c r="M36">
        <v>1.0739009009396627E-2</v>
      </c>
      <c r="N36">
        <v>6.3489879615873879E-2</v>
      </c>
      <c r="O36">
        <v>1.8669051688936613</v>
      </c>
      <c r="P36">
        <v>0.25798419232284592</v>
      </c>
      <c r="Q36">
        <v>0.70021296949081835</v>
      </c>
      <c r="R36">
        <v>7.4128773746397359E-3</v>
      </c>
      <c r="S36">
        <v>0.1063400803926739</v>
      </c>
      <c r="T36">
        <v>0.77178115933210023</v>
      </c>
      <c r="U36">
        <v>2.2288568271590292</v>
      </c>
      <c r="V36">
        <v>0.87601146780861217</v>
      </c>
      <c r="W36">
        <v>0.19793870381308939</v>
      </c>
      <c r="X36">
        <v>6.3458032332041114E-2</v>
      </c>
      <c r="Y36">
        <v>4.5260497628151812E-2</v>
      </c>
      <c r="Z36">
        <v>2.3914081174923826E-2</v>
      </c>
      <c r="AA36">
        <v>0.15095683017083494</v>
      </c>
      <c r="AB36">
        <v>2.6746620887220584E-2</v>
      </c>
      <c r="AC36">
        <v>7.5515335315388288E-2</v>
      </c>
      <c r="AD36">
        <v>0.50357174336219546</v>
      </c>
      <c r="AE36">
        <v>8.5816546614453839E-3</v>
      </c>
      <c r="AF36">
        <v>1.4364239581559799E-2</v>
      </c>
      <c r="AG36">
        <v>0.39487793069691746</v>
      </c>
      <c r="AH36">
        <v>2.1576182394950988E-2</v>
      </c>
      <c r="AI36">
        <v>3.4979365033509922E-2</v>
      </c>
      <c r="AJ36">
        <v>0.1179984645937658</v>
      </c>
      <c r="AK36">
        <v>0.20049981222313668</v>
      </c>
      <c r="AL36">
        <v>1.1991146028934232</v>
      </c>
      <c r="AM36">
        <f t="shared" si="0"/>
        <v>43.76038440776982</v>
      </c>
      <c r="AN36">
        <f t="shared" si="1"/>
        <v>0.92101612157027679</v>
      </c>
    </row>
    <row r="37" spans="1:40" x14ac:dyDescent="0.35">
      <c r="A37" t="s">
        <v>87</v>
      </c>
      <c r="B37" t="s">
        <v>73</v>
      </c>
      <c r="C37">
        <v>1</v>
      </c>
      <c r="D37" t="s">
        <v>49</v>
      </c>
      <c r="E37">
        <v>12</v>
      </c>
      <c r="F37">
        <v>35</v>
      </c>
      <c r="G37" t="s">
        <v>13</v>
      </c>
      <c r="H37">
        <v>42</v>
      </c>
      <c r="I37">
        <v>50</v>
      </c>
      <c r="J37">
        <v>1.1556999999999999</v>
      </c>
      <c r="K37">
        <v>2.7799999999999155E-2</v>
      </c>
      <c r="L37">
        <v>1.5394950537567413E-2</v>
      </c>
      <c r="M37">
        <v>9.2475613813583542E-3</v>
      </c>
      <c r="N37">
        <v>0.10057348131160618</v>
      </c>
      <c r="O37">
        <v>2.2854989503303687</v>
      </c>
      <c r="P37">
        <v>0.38317161967166563</v>
      </c>
      <c r="Q37">
        <v>0.977728015393585</v>
      </c>
      <c r="R37">
        <v>1.2387246319273803E-2</v>
      </c>
      <c r="S37">
        <v>0.15636109577141891</v>
      </c>
      <c r="T37">
        <v>0.98354363251438404</v>
      </c>
      <c r="U37">
        <v>2.8313336065800909</v>
      </c>
      <c r="V37">
        <v>1.2101828477226488</v>
      </c>
      <c r="W37">
        <v>0.28000026443234616</v>
      </c>
      <c r="X37">
        <v>0.10389446179052213</v>
      </c>
      <c r="Y37">
        <v>6.9739057798571744E-2</v>
      </c>
      <c r="Z37">
        <v>3.7255837027084938E-2</v>
      </c>
      <c r="AA37">
        <v>0.21599178883229755</v>
      </c>
      <c r="AB37">
        <v>4.2547073938362996E-2</v>
      </c>
      <c r="AC37">
        <v>9.0006547417338184E-2</v>
      </c>
      <c r="AD37">
        <v>0.59820020462716761</v>
      </c>
      <c r="AE37">
        <v>1.332480388085258E-2</v>
      </c>
      <c r="AF37">
        <v>1.9970492248057102E-2</v>
      </c>
      <c r="AG37">
        <v>0.49412923967912398</v>
      </c>
      <c r="AH37">
        <v>3.1704300883439493E-2</v>
      </c>
      <c r="AI37">
        <v>4.8346205694677361E-2</v>
      </c>
      <c r="AJ37">
        <v>0.15136519356719413</v>
      </c>
      <c r="AK37">
        <v>0.26718702847048892</v>
      </c>
      <c r="AL37">
        <v>1.4438888833547265</v>
      </c>
      <c r="AM37">
        <f t="shared" si="0"/>
        <v>46.305663277613718</v>
      </c>
      <c r="AN37">
        <f t="shared" si="1"/>
        <v>1.1138681657156895</v>
      </c>
    </row>
    <row r="38" spans="1:40" x14ac:dyDescent="0.35">
      <c r="A38" t="s">
        <v>88</v>
      </c>
      <c r="B38" t="s">
        <v>73</v>
      </c>
      <c r="C38">
        <v>1</v>
      </c>
      <c r="D38" t="s">
        <v>49</v>
      </c>
      <c r="E38">
        <v>12</v>
      </c>
      <c r="F38">
        <v>35</v>
      </c>
      <c r="G38" t="s">
        <v>13</v>
      </c>
      <c r="H38">
        <v>35</v>
      </c>
      <c r="I38">
        <v>42</v>
      </c>
      <c r="J38">
        <v>0.71830000000000005</v>
      </c>
      <c r="K38">
        <v>1.3700000000000045E-2</v>
      </c>
      <c r="L38">
        <v>4.8230849297881753E-3</v>
      </c>
      <c r="M38">
        <v>2.6793805160028761E-3</v>
      </c>
      <c r="N38">
        <v>3.5650113994607893E-2</v>
      </c>
      <c r="O38">
        <v>1.2729933587598754</v>
      </c>
      <c r="P38">
        <v>0.16828833733553555</v>
      </c>
      <c r="Q38">
        <v>0.41047665013183482</v>
      </c>
      <c r="R38">
        <v>4.6378187130885727E-3</v>
      </c>
      <c r="S38">
        <v>7.1275187049813893E-2</v>
      </c>
      <c r="T38">
        <v>0.54317813908983337</v>
      </c>
      <c r="U38">
        <v>1.451276337055466</v>
      </c>
      <c r="V38">
        <v>0.56037026440487103</v>
      </c>
      <c r="W38">
        <v>0.12660941819935137</v>
      </c>
      <c r="X38">
        <v>4.144093837468011E-2</v>
      </c>
      <c r="Y38">
        <v>2.5337695962485262E-2</v>
      </c>
      <c r="Z38">
        <v>1.62226511623501E-2</v>
      </c>
      <c r="AA38">
        <v>9.4138279012969978E-2</v>
      </c>
      <c r="AB38">
        <v>1.6533550649594178E-2</v>
      </c>
      <c r="AC38">
        <v>8.6201403268801768E-2</v>
      </c>
      <c r="AD38">
        <v>0.3457900260768289</v>
      </c>
      <c r="AE38">
        <v>6.7384820990021533E-3</v>
      </c>
      <c r="AF38">
        <v>9.0153096160625681E-3</v>
      </c>
      <c r="AG38">
        <v>0.28271283850357704</v>
      </c>
      <c r="AH38">
        <v>1.7433350990449598E-2</v>
      </c>
      <c r="AI38">
        <v>2.6250618816816975E-2</v>
      </c>
      <c r="AJ38">
        <v>8.2866876675635359E-2</v>
      </c>
      <c r="AK38">
        <v>0.14376615558535655</v>
      </c>
      <c r="AL38">
        <v>0.85002227987140955</v>
      </c>
      <c r="AM38">
        <f t="shared" si="0"/>
        <v>48.881230268949381</v>
      </c>
      <c r="AN38">
        <f t="shared" si="1"/>
        <v>0.93230245675150858</v>
      </c>
    </row>
    <row r="39" spans="1:40" x14ac:dyDescent="0.35">
      <c r="A39" t="s">
        <v>89</v>
      </c>
      <c r="B39" t="s">
        <v>73</v>
      </c>
      <c r="C39">
        <v>1</v>
      </c>
      <c r="D39" t="s">
        <v>49</v>
      </c>
      <c r="E39">
        <v>12</v>
      </c>
      <c r="F39">
        <v>35</v>
      </c>
      <c r="G39" t="s">
        <v>13</v>
      </c>
      <c r="H39">
        <v>39</v>
      </c>
      <c r="I39">
        <v>44</v>
      </c>
      <c r="J39">
        <v>0.95099999999999996</v>
      </c>
      <c r="K39">
        <v>1.9999999999999574E-2</v>
      </c>
      <c r="L39">
        <v>5.8179687329621673E-3</v>
      </c>
      <c r="M39">
        <v>1.6307903815670911E-2</v>
      </c>
      <c r="N39">
        <v>4.8971496058517312E-2</v>
      </c>
      <c r="O39">
        <v>1.6397130090022125</v>
      </c>
      <c r="P39">
        <v>0.20464819894530376</v>
      </c>
      <c r="Q39">
        <v>0.55589130305772705</v>
      </c>
      <c r="R39">
        <v>7.1706301933368742E-3</v>
      </c>
      <c r="S39">
        <v>9.6649849417502195E-2</v>
      </c>
      <c r="T39">
        <v>0.66921139498969251</v>
      </c>
      <c r="U39">
        <v>1.8900710246366026</v>
      </c>
      <c r="V39">
        <v>0.73433521384854439</v>
      </c>
      <c r="W39">
        <v>0.17589203898938999</v>
      </c>
      <c r="X39">
        <v>6.4204670122411989E-2</v>
      </c>
      <c r="Y39">
        <v>3.5868553270268805E-2</v>
      </c>
      <c r="Z39">
        <v>1.8848337286651515E-2</v>
      </c>
      <c r="AA39">
        <v>0.11495240085050561</v>
      </c>
      <c r="AB39">
        <v>1.934750208309911E-2</v>
      </c>
      <c r="AC39">
        <v>6.1776884485073236E-2</v>
      </c>
      <c r="AD39">
        <v>0.42097633348623342</v>
      </c>
      <c r="AE39">
        <v>7.7910018500020406E-3</v>
      </c>
      <c r="AF39">
        <v>1.4118469319332728E-2</v>
      </c>
      <c r="AG39">
        <v>0.34829341506655903</v>
      </c>
      <c r="AH39">
        <v>1.5037144745547355E-2</v>
      </c>
      <c r="AI39">
        <v>3.148694302253708E-2</v>
      </c>
      <c r="AJ39">
        <v>9.732970039249085E-2</v>
      </c>
      <c r="AK39">
        <v>0.17879309540959587</v>
      </c>
      <c r="AL39">
        <v>0.97126111915418933</v>
      </c>
      <c r="AM39">
        <f t="shared" si="0"/>
        <v>42.223828011160691</v>
      </c>
      <c r="AN39">
        <f t="shared" si="1"/>
        <v>0.88798797079200409</v>
      </c>
    </row>
    <row r="40" spans="1:40" x14ac:dyDescent="0.35">
      <c r="A40" t="s">
        <v>90</v>
      </c>
      <c r="B40" t="s">
        <v>73</v>
      </c>
      <c r="C40">
        <v>1</v>
      </c>
      <c r="D40" t="s">
        <v>49</v>
      </c>
      <c r="E40">
        <v>12</v>
      </c>
      <c r="F40">
        <v>35</v>
      </c>
      <c r="G40" t="s">
        <v>13</v>
      </c>
      <c r="H40">
        <v>45</v>
      </c>
      <c r="I40">
        <v>52</v>
      </c>
      <c r="J40">
        <v>1.2024999999999999</v>
      </c>
      <c r="K40">
        <v>3.1800000000000495E-2</v>
      </c>
      <c r="L40">
        <v>1.4271952380755617E-2</v>
      </c>
      <c r="M40">
        <v>1.7764602137343325E-2</v>
      </c>
      <c r="N40">
        <v>9.4638346765523865E-2</v>
      </c>
      <c r="O40">
        <v>2.5101790038925165</v>
      </c>
      <c r="P40">
        <v>0.34134059355069624</v>
      </c>
      <c r="Q40">
        <v>1.0198033751290725</v>
      </c>
      <c r="R40">
        <v>9.9700228216391372E-3</v>
      </c>
      <c r="S40">
        <v>0.1343627316947785</v>
      </c>
      <c r="T40">
        <v>1.0076041923879711</v>
      </c>
      <c r="U40">
        <v>3.1666550162367479</v>
      </c>
      <c r="V40">
        <v>1.202108476093845</v>
      </c>
      <c r="W40">
        <v>0.25165387422864588</v>
      </c>
      <c r="X40">
        <v>8.6852914913343446E-2</v>
      </c>
      <c r="Y40">
        <v>5.3743941408358878E-2</v>
      </c>
      <c r="Z40">
        <v>3.7573477143238596E-2</v>
      </c>
      <c r="AA40">
        <v>0.26563262333153187</v>
      </c>
      <c r="AB40">
        <v>4.3152375512211655E-2</v>
      </c>
      <c r="AC40">
        <v>8.2584554550585262E-2</v>
      </c>
      <c r="AD40">
        <v>0.53892802841242071</v>
      </c>
      <c r="AE40">
        <v>1.2016831902819172E-2</v>
      </c>
      <c r="AF40">
        <v>1.7420589116598672E-2</v>
      </c>
      <c r="AG40">
        <v>0.48349967136098726</v>
      </c>
      <c r="AH40">
        <v>3.1172446927969711E-2</v>
      </c>
      <c r="AI40">
        <v>4.6248749169853436E-2</v>
      </c>
      <c r="AJ40">
        <v>0.11821458040143117</v>
      </c>
      <c r="AK40">
        <v>0.25757661463773696</v>
      </c>
      <c r="AL40">
        <v>1.2140093546350499</v>
      </c>
      <c r="AM40">
        <f t="shared" si="0"/>
        <v>41.065971511771913</v>
      </c>
      <c r="AN40">
        <f t="shared" si="1"/>
        <v>1.0859857746980186</v>
      </c>
    </row>
    <row r="41" spans="1:40" x14ac:dyDescent="0.35">
      <c r="A41" t="s">
        <v>91</v>
      </c>
      <c r="B41" t="s">
        <v>73</v>
      </c>
      <c r="C41">
        <v>1</v>
      </c>
      <c r="D41" t="s">
        <v>53</v>
      </c>
      <c r="E41">
        <v>12</v>
      </c>
      <c r="F41">
        <v>24</v>
      </c>
      <c r="G41" t="s">
        <v>10</v>
      </c>
      <c r="H41">
        <v>40</v>
      </c>
      <c r="I41">
        <v>45</v>
      </c>
      <c r="J41">
        <v>1.0026999999999999</v>
      </c>
      <c r="K41">
        <v>2.2599999999998847E-2</v>
      </c>
      <c r="L41">
        <v>7.8307184935935605E-3</v>
      </c>
      <c r="M41">
        <v>1.2035014077873047E-2</v>
      </c>
      <c r="N41">
        <v>4.8514101681544013E-2</v>
      </c>
      <c r="O41">
        <v>1.4105886370847804</v>
      </c>
      <c r="P41">
        <v>0.22698846172611101</v>
      </c>
      <c r="Q41">
        <v>0.63678579730714369</v>
      </c>
      <c r="R41">
        <v>7.817906045143647E-3</v>
      </c>
      <c r="S41">
        <v>8.1321875931514812E-2</v>
      </c>
      <c r="T41">
        <v>0.62947710796319845</v>
      </c>
      <c r="U41">
        <v>2.0304376744109192</v>
      </c>
      <c r="V41">
        <v>0.78163649575941163</v>
      </c>
      <c r="W41">
        <v>0.18102256854200938</v>
      </c>
      <c r="X41">
        <v>4.8939709344138188E-2</v>
      </c>
      <c r="Y41">
        <v>3.8577094787470192E-2</v>
      </c>
      <c r="Z41">
        <v>2.6091660646834117E-2</v>
      </c>
      <c r="AA41">
        <v>0.19701955105415006</v>
      </c>
      <c r="AB41">
        <v>3.9523575354364786E-2</v>
      </c>
      <c r="AC41">
        <v>6.1951266367951723E-2</v>
      </c>
      <c r="AD41">
        <v>0.32164672149951895</v>
      </c>
      <c r="AE41">
        <v>5.5451964392487004E-3</v>
      </c>
      <c r="AF41">
        <v>8.6825275663929957E-3</v>
      </c>
      <c r="AG41">
        <v>0.24705911534809058</v>
      </c>
      <c r="AH41">
        <v>2.0282887143071263E-2</v>
      </c>
      <c r="AI41">
        <v>3.0841875909639892E-2</v>
      </c>
      <c r="AJ41">
        <v>7.8180294821470056E-2</v>
      </c>
      <c r="AK41">
        <v>0.15108561086648753</v>
      </c>
      <c r="AL41">
        <v>0.76223276132912432</v>
      </c>
      <c r="AM41">
        <f t="shared" si="0"/>
        <v>35.805823926998265</v>
      </c>
      <c r="AN41">
        <f t="shared" si="1"/>
        <v>0.80703263264198621</v>
      </c>
    </row>
    <row r="42" spans="1:40" x14ac:dyDescent="0.35">
      <c r="A42" t="s">
        <v>92</v>
      </c>
      <c r="B42" t="s">
        <v>73</v>
      </c>
      <c r="C42">
        <v>1</v>
      </c>
      <c r="D42" t="s">
        <v>53</v>
      </c>
      <c r="E42">
        <v>12</v>
      </c>
      <c r="F42">
        <v>24</v>
      </c>
      <c r="G42" t="s">
        <v>10</v>
      </c>
      <c r="H42">
        <v>38</v>
      </c>
      <c r="I42">
        <v>46</v>
      </c>
      <c r="J42">
        <v>0.87239999999999995</v>
      </c>
      <c r="K42">
        <v>1.4400000000000192E-2</v>
      </c>
      <c r="L42">
        <v>1.0430200560417567E-3</v>
      </c>
      <c r="M42">
        <v>8.7660712479609368E-3</v>
      </c>
      <c r="N42">
        <v>5.4178435439391213E-4</v>
      </c>
      <c r="O42">
        <v>0.7959897664705804</v>
      </c>
      <c r="P42">
        <v>0.10583611927533576</v>
      </c>
      <c r="Q42">
        <v>0.20570699804134646</v>
      </c>
      <c r="R42">
        <v>1.0576285993186061E-2</v>
      </c>
      <c r="S42">
        <v>3.6096355533108027E-2</v>
      </c>
      <c r="T42">
        <v>0.36180714060987124</v>
      </c>
      <c r="U42">
        <v>0.95707894910325164</v>
      </c>
      <c r="V42">
        <v>0.31527666553533712</v>
      </c>
      <c r="W42">
        <v>7.6479780888918436E-2</v>
      </c>
      <c r="X42">
        <v>1.5678602332512507E-2</v>
      </c>
      <c r="Y42">
        <v>1.3325421630579355E-2</v>
      </c>
      <c r="Z42">
        <v>7.9812312975534403E-3</v>
      </c>
      <c r="AA42">
        <v>5.8471196646573242E-2</v>
      </c>
      <c r="AB42">
        <v>1.9495374740824967E-2</v>
      </c>
      <c r="AC42">
        <v>4.180174200018718E-2</v>
      </c>
      <c r="AD42">
        <v>0.26944357214659409</v>
      </c>
      <c r="AE42">
        <v>1.8261663764656852E-3</v>
      </c>
      <c r="AF42">
        <v>5.4027584210622447E-3</v>
      </c>
      <c r="AG42">
        <v>0.16379962079427732</v>
      </c>
      <c r="AH42">
        <v>1.2584675139860274E-2</v>
      </c>
      <c r="AI42">
        <v>2.2941261876108437E-2</v>
      </c>
      <c r="AJ42">
        <v>7.2838594584483551E-2</v>
      </c>
      <c r="AK42">
        <v>0.10641459238158298</v>
      </c>
      <c r="AL42">
        <v>0.64037989039555399</v>
      </c>
      <c r="AM42">
        <f t="shared" si="0"/>
        <v>30.052664151899254</v>
      </c>
      <c r="AN42">
        <f t="shared" si="1"/>
        <v>0.49605497912351565</v>
      </c>
    </row>
    <row r="43" spans="1:40" x14ac:dyDescent="0.35">
      <c r="A43" t="s">
        <v>93</v>
      </c>
      <c r="B43" t="s">
        <v>73</v>
      </c>
      <c r="C43">
        <v>1</v>
      </c>
      <c r="D43" t="s">
        <v>53</v>
      </c>
      <c r="E43">
        <v>12</v>
      </c>
      <c r="F43">
        <v>24</v>
      </c>
      <c r="G43" t="s">
        <v>10</v>
      </c>
      <c r="H43">
        <v>36</v>
      </c>
      <c r="I43">
        <v>42</v>
      </c>
      <c r="J43">
        <v>0.83009999999999995</v>
      </c>
      <c r="K43">
        <v>2.2000000000000242E-2</v>
      </c>
      <c r="L43">
        <v>7.4317851071818049E-3</v>
      </c>
      <c r="M43">
        <v>0</v>
      </c>
      <c r="N43">
        <v>7.5089454916715676E-2</v>
      </c>
      <c r="O43">
        <v>1.400336107617469</v>
      </c>
      <c r="P43">
        <v>0.25222174331055053</v>
      </c>
      <c r="Q43">
        <v>0.64586071050004135</v>
      </c>
      <c r="R43">
        <v>7.4707904032292301E-3</v>
      </c>
      <c r="S43">
        <v>8.5917990166740899E-2</v>
      </c>
      <c r="T43">
        <v>0.65354135658592216</v>
      </c>
      <c r="U43">
        <v>2.065566021294285</v>
      </c>
      <c r="V43">
        <v>0.78717504667641247</v>
      </c>
      <c r="W43">
        <v>0.17239265960472086</v>
      </c>
      <c r="X43">
        <v>4.3031343616361635E-2</v>
      </c>
      <c r="Y43">
        <v>3.5520020059866535E-2</v>
      </c>
      <c r="Z43">
        <v>2.8178702074807629E-2</v>
      </c>
      <c r="AA43">
        <v>0.19904530194016146</v>
      </c>
      <c r="AB43">
        <v>4.2471446857568429E-2</v>
      </c>
      <c r="AC43">
        <v>6.5372624528414511E-2</v>
      </c>
      <c r="AD43">
        <v>0.31544172486691724</v>
      </c>
      <c r="AE43">
        <v>5.5986620164884251E-3</v>
      </c>
      <c r="AF43">
        <v>8.5912849376570607E-3</v>
      </c>
      <c r="AG43">
        <v>0.22265119925931878</v>
      </c>
      <c r="AH43">
        <v>2.2174205231517929E-2</v>
      </c>
      <c r="AI43">
        <v>2.8689186133677172E-2</v>
      </c>
      <c r="AJ43">
        <v>8.0229795717251445E-2</v>
      </c>
      <c r="AK43">
        <v>0.13856241367887573</v>
      </c>
      <c r="AL43">
        <v>0.6888774945358509</v>
      </c>
      <c r="AM43">
        <f t="shared" si="0"/>
        <v>36.715632143808712</v>
      </c>
      <c r="AN43">
        <f t="shared" si="1"/>
        <v>0.97306819318612281</v>
      </c>
    </row>
    <row r="44" spans="1:40" x14ac:dyDescent="0.35">
      <c r="A44" t="s">
        <v>94</v>
      </c>
      <c r="B44" t="s">
        <v>73</v>
      </c>
      <c r="C44">
        <v>1</v>
      </c>
      <c r="D44" t="s">
        <v>53</v>
      </c>
      <c r="E44">
        <v>12</v>
      </c>
      <c r="F44">
        <v>27</v>
      </c>
      <c r="G44" t="s">
        <v>10</v>
      </c>
      <c r="H44">
        <v>35</v>
      </c>
      <c r="I44">
        <v>43</v>
      </c>
      <c r="J44">
        <v>0.71289999999999998</v>
      </c>
      <c r="K44">
        <v>1.7400000000000304E-2</v>
      </c>
      <c r="L44">
        <v>5.2571463748886582E-3</v>
      </c>
      <c r="M44">
        <v>0</v>
      </c>
      <c r="N44">
        <v>5.6509272179443758E-2</v>
      </c>
      <c r="O44">
        <v>1.1449570894670142</v>
      </c>
      <c r="P44">
        <v>0.18772855440523986</v>
      </c>
      <c r="Q44">
        <v>0.48986391933180168</v>
      </c>
      <c r="R44">
        <v>6.0359630772997188E-3</v>
      </c>
      <c r="S44">
        <v>6.8435564421502421E-2</v>
      </c>
      <c r="T44">
        <v>0.5347980616800645</v>
      </c>
      <c r="U44">
        <v>1.6739531003477301</v>
      </c>
      <c r="V44">
        <v>0.6444746431665126</v>
      </c>
      <c r="W44">
        <v>0.1454904167660474</v>
      </c>
      <c r="X44">
        <v>3.7470945546685425E-2</v>
      </c>
      <c r="Y44">
        <v>2.6691256439497615E-2</v>
      </c>
      <c r="Z44">
        <v>2.2419791601497079E-2</v>
      </c>
      <c r="AA44">
        <v>0.13464369703807552</v>
      </c>
      <c r="AB44">
        <v>2.5761914834273272E-2</v>
      </c>
      <c r="AC44">
        <v>6.171614558874438E-2</v>
      </c>
      <c r="AD44">
        <v>0.26290072294226119</v>
      </c>
      <c r="AE44">
        <v>5.6529424128435443E-3</v>
      </c>
      <c r="AF44">
        <v>6.3189456183130434E-3</v>
      </c>
      <c r="AG44">
        <v>0.18901280016253413</v>
      </c>
      <c r="AH44">
        <v>1.9195185768875366E-2</v>
      </c>
      <c r="AI44">
        <v>2.3876077273459119E-2</v>
      </c>
      <c r="AJ44">
        <v>6.6987189859489385E-2</v>
      </c>
      <c r="AK44">
        <v>0.10958242324202142</v>
      </c>
      <c r="AL44">
        <v>0.6920306235680741</v>
      </c>
      <c r="AM44">
        <f t="shared" si="0"/>
        <v>38.171059730540655</v>
      </c>
      <c r="AN44">
        <f t="shared" si="1"/>
        <v>0.9316544246197489</v>
      </c>
    </row>
    <row r="45" spans="1:40" x14ac:dyDescent="0.35">
      <c r="A45" t="s">
        <v>95</v>
      </c>
      <c r="B45" t="s">
        <v>73</v>
      </c>
      <c r="C45">
        <v>1</v>
      </c>
      <c r="D45" t="s">
        <v>53</v>
      </c>
      <c r="E45">
        <v>12</v>
      </c>
      <c r="F45">
        <v>27</v>
      </c>
      <c r="G45" t="s">
        <v>10</v>
      </c>
      <c r="H45">
        <v>36</v>
      </c>
      <c r="I45">
        <v>45</v>
      </c>
      <c r="J45">
        <v>0.88239999999999996</v>
      </c>
      <c r="K45">
        <v>2.0400000000000421E-2</v>
      </c>
      <c r="L45">
        <v>8.6022646043050072E-3</v>
      </c>
      <c r="M45">
        <v>5.3561158567307331E-3</v>
      </c>
      <c r="N45">
        <v>8.6512516172945808E-2</v>
      </c>
      <c r="O45">
        <v>1.5730171945026845</v>
      </c>
      <c r="P45">
        <v>0.26624634794709878</v>
      </c>
      <c r="Q45">
        <v>0.73239772489594268</v>
      </c>
      <c r="R45">
        <v>8.8407519340864011E-3</v>
      </c>
      <c r="S45">
        <v>9.5703792229522813E-2</v>
      </c>
      <c r="T45">
        <v>0.69258836293236481</v>
      </c>
      <c r="U45">
        <v>2.2337435318691878</v>
      </c>
      <c r="V45">
        <v>0.86320977031027968</v>
      </c>
      <c r="W45">
        <v>0.19822717845580981</v>
      </c>
      <c r="X45">
        <v>5.0720546728506434E-2</v>
      </c>
      <c r="Y45">
        <v>3.6797441491363117E-2</v>
      </c>
      <c r="Z45">
        <v>3.0807101164816875E-2</v>
      </c>
      <c r="AA45">
        <v>0.22167283925574402</v>
      </c>
      <c r="AB45">
        <v>3.7886339738560114E-2</v>
      </c>
      <c r="AC45">
        <v>7.5082140843281922E-2</v>
      </c>
      <c r="AD45">
        <v>0.32028801066814261</v>
      </c>
      <c r="AE45">
        <v>4.6723404435716452E-3</v>
      </c>
      <c r="AF45">
        <v>9.655177785205929E-3</v>
      </c>
      <c r="AG45">
        <v>0.25100613012998546</v>
      </c>
      <c r="AH45">
        <v>2.1515027486921769E-2</v>
      </c>
      <c r="AI45">
        <v>2.6707879590813319E-2</v>
      </c>
      <c r="AJ45">
        <v>8.3747739164268045E-2</v>
      </c>
      <c r="AK45">
        <v>0.14543909741960948</v>
      </c>
      <c r="AL45">
        <v>0.83858064448070679</v>
      </c>
      <c r="AM45">
        <f t="shared" si="0"/>
        <v>43.720705922069968</v>
      </c>
      <c r="AN45">
        <f t="shared" si="1"/>
        <v>1.0107688132482386</v>
      </c>
    </row>
    <row r="46" spans="1:40" x14ac:dyDescent="0.35">
      <c r="A46" t="s">
        <v>96</v>
      </c>
      <c r="B46" t="s">
        <v>73</v>
      </c>
      <c r="C46">
        <v>1</v>
      </c>
      <c r="D46" t="s">
        <v>53</v>
      </c>
      <c r="E46">
        <v>12</v>
      </c>
      <c r="F46">
        <v>27</v>
      </c>
      <c r="G46" t="s">
        <v>10</v>
      </c>
      <c r="H46">
        <v>40</v>
      </c>
      <c r="I46">
        <v>50</v>
      </c>
      <c r="J46">
        <v>1.0492999999999999</v>
      </c>
      <c r="K46">
        <v>2.0899999999999253E-2</v>
      </c>
      <c r="L46">
        <v>5.227591241277826E-3</v>
      </c>
      <c r="M46">
        <v>1.2636085600128698E-2</v>
      </c>
      <c r="N46">
        <v>7.1812121375954427E-2</v>
      </c>
      <c r="O46">
        <v>1.3503233719484435</v>
      </c>
      <c r="P46">
        <v>0.21142027878483574</v>
      </c>
      <c r="Q46">
        <v>0.58218463043448998</v>
      </c>
      <c r="R46">
        <v>6.4854533945887406E-3</v>
      </c>
      <c r="S46">
        <v>8.3498228917480211E-2</v>
      </c>
      <c r="T46">
        <v>0.636446551990142</v>
      </c>
      <c r="U46">
        <v>2.0023101820937601</v>
      </c>
      <c r="V46">
        <v>0.74867587792740109</v>
      </c>
      <c r="W46">
        <v>0.17706191740214552</v>
      </c>
      <c r="X46">
        <v>4.3589707515312749E-2</v>
      </c>
      <c r="Y46">
        <v>3.306722782072468E-2</v>
      </c>
      <c r="Z46">
        <v>2.6651881108172029E-2</v>
      </c>
      <c r="AA46">
        <v>0.19235226279504936</v>
      </c>
      <c r="AB46">
        <v>4.1334249388197811E-2</v>
      </c>
      <c r="AC46">
        <v>7.4432693542296632E-2</v>
      </c>
      <c r="AD46">
        <v>0.35507503550261782</v>
      </c>
      <c r="AE46">
        <v>4.700464431838778E-3</v>
      </c>
      <c r="AF46">
        <v>8.6455196096345485E-3</v>
      </c>
      <c r="AG46">
        <v>0.25744436604471954</v>
      </c>
      <c r="AH46">
        <v>1.9100493983301041E-2</v>
      </c>
      <c r="AI46">
        <v>3.0247326358983018E-2</v>
      </c>
      <c r="AJ46">
        <v>9.0015366890443704E-2</v>
      </c>
      <c r="AK46">
        <v>0.1571370911020725</v>
      </c>
      <c r="AL46">
        <v>0.86034185310170141</v>
      </c>
      <c r="AM46">
        <f t="shared" si="0"/>
        <v>38.670898709598099</v>
      </c>
      <c r="AN46">
        <f t="shared" si="1"/>
        <v>0.77024853047800579</v>
      </c>
    </row>
    <row r="47" spans="1:40" x14ac:dyDescent="0.35">
      <c r="A47" t="s">
        <v>97</v>
      </c>
      <c r="B47" t="s">
        <v>73</v>
      </c>
      <c r="C47">
        <v>1</v>
      </c>
      <c r="D47" t="s">
        <v>53</v>
      </c>
      <c r="E47">
        <v>12</v>
      </c>
      <c r="F47">
        <v>37</v>
      </c>
      <c r="G47" t="s">
        <v>10</v>
      </c>
      <c r="H47">
        <v>40</v>
      </c>
      <c r="I47">
        <v>48</v>
      </c>
      <c r="J47">
        <v>0.95109999999999995</v>
      </c>
      <c r="K47">
        <v>2.0899999999999249E-2</v>
      </c>
      <c r="L47">
        <v>6.7445665490689245E-3</v>
      </c>
      <c r="M47">
        <v>3.7508040444248674E-3</v>
      </c>
      <c r="N47">
        <v>7.3474990537316473E-2</v>
      </c>
      <c r="O47">
        <v>1.3984499797385035</v>
      </c>
      <c r="P47">
        <v>0.20784034040119845</v>
      </c>
      <c r="Q47">
        <v>0.63414677117338469</v>
      </c>
      <c r="R47">
        <v>7.7908727265807963E-3</v>
      </c>
      <c r="S47">
        <v>8.6779810286539596E-2</v>
      </c>
      <c r="T47">
        <v>0.66086319897076951</v>
      </c>
      <c r="U47">
        <v>2.1403696067051299</v>
      </c>
      <c r="V47">
        <v>0.82025655484624027</v>
      </c>
      <c r="W47">
        <v>0.19468836311695661</v>
      </c>
      <c r="X47">
        <v>5.0467325035159341E-2</v>
      </c>
      <c r="Y47">
        <v>3.3835422128879071E-2</v>
      </c>
      <c r="Z47">
        <v>2.9630828241930422E-2</v>
      </c>
      <c r="AA47">
        <v>0.2258393978055222</v>
      </c>
      <c r="AB47">
        <v>3.9303250528983043E-2</v>
      </c>
      <c r="AC47">
        <v>7.6325450138314918E-2</v>
      </c>
      <c r="AD47">
        <v>0.31757958661712882</v>
      </c>
      <c r="AE47">
        <v>7.095274341146182E-3</v>
      </c>
      <c r="AF47">
        <v>8.3681934427520845E-3</v>
      </c>
      <c r="AG47">
        <v>0.22945954853354558</v>
      </c>
      <c r="AH47">
        <v>2.6668214338742224E-2</v>
      </c>
      <c r="AI47">
        <v>3.1979848536098324E-2</v>
      </c>
      <c r="AJ47">
        <v>8.3382437321127351E-2</v>
      </c>
      <c r="AK47">
        <v>0.15109332517672194</v>
      </c>
      <c r="AL47">
        <v>0.74701354323626912</v>
      </c>
      <c r="AM47">
        <f t="shared" si="0"/>
        <v>39.680370835017847</v>
      </c>
      <c r="AN47">
        <f t="shared" si="1"/>
        <v>0.87195852218677672</v>
      </c>
    </row>
    <row r="48" spans="1:40" x14ac:dyDescent="0.35">
      <c r="A48" t="s">
        <v>98</v>
      </c>
      <c r="B48" t="s">
        <v>73</v>
      </c>
      <c r="C48">
        <v>1</v>
      </c>
      <c r="D48" t="s">
        <v>53</v>
      </c>
      <c r="E48">
        <v>12</v>
      </c>
      <c r="F48">
        <v>37</v>
      </c>
      <c r="G48" t="s">
        <v>10</v>
      </c>
      <c r="H48">
        <v>34</v>
      </c>
      <c r="I48">
        <v>40</v>
      </c>
      <c r="J48">
        <v>0.62990000000000002</v>
      </c>
      <c r="K48">
        <v>1.8299999999999983E-2</v>
      </c>
      <c r="L48">
        <v>6.1322718745296483E-3</v>
      </c>
      <c r="M48">
        <v>3.3977428900611368E-3</v>
      </c>
      <c r="N48">
        <v>6.0383374291335487E-2</v>
      </c>
      <c r="O48">
        <v>1.1086784134605048</v>
      </c>
      <c r="P48">
        <v>0.20603281470617749</v>
      </c>
      <c r="Q48">
        <v>0.51315773205851367</v>
      </c>
      <c r="R48">
        <v>5.7763325759910547E-3</v>
      </c>
      <c r="S48">
        <v>6.9779724937823862E-2</v>
      </c>
      <c r="T48">
        <v>0.51701536216251087</v>
      </c>
      <c r="U48">
        <v>1.6966004820889748</v>
      </c>
      <c r="V48">
        <v>0.65443573259426757</v>
      </c>
      <c r="W48">
        <v>0.1434034061588412</v>
      </c>
      <c r="X48">
        <v>3.9348183184851247E-2</v>
      </c>
      <c r="Y48">
        <v>2.6485518964615155E-2</v>
      </c>
      <c r="Z48">
        <v>2.3563873653447819E-2</v>
      </c>
      <c r="AA48">
        <v>0.16539638625889638</v>
      </c>
      <c r="AB48">
        <v>3.4168526425750592E-2</v>
      </c>
      <c r="AC48">
        <v>5.6871755687234363E-2</v>
      </c>
      <c r="AD48">
        <v>0.2388371171330175</v>
      </c>
      <c r="AE48">
        <v>6.0212182758398259E-3</v>
      </c>
      <c r="AF48">
        <v>7.4641255384416908E-3</v>
      </c>
      <c r="AG48">
        <v>0.17640626455853156</v>
      </c>
      <c r="AH48">
        <v>2.1284713138693977E-2</v>
      </c>
      <c r="AI48">
        <v>2.1463564699010198E-2</v>
      </c>
      <c r="AJ48">
        <v>5.4113221923983865E-2</v>
      </c>
      <c r="AK48">
        <v>0.10528957927187632</v>
      </c>
      <c r="AL48">
        <v>0.59495864369136275</v>
      </c>
      <c r="AM48">
        <f t="shared" si="0"/>
        <v>35.827683509317438</v>
      </c>
      <c r="AN48">
        <f t="shared" si="1"/>
        <v>1.040874120051609</v>
      </c>
    </row>
    <row r="49" spans="1:40" x14ac:dyDescent="0.35">
      <c r="A49" t="s">
        <v>99</v>
      </c>
      <c r="B49" t="s">
        <v>73</v>
      </c>
      <c r="C49">
        <v>1</v>
      </c>
      <c r="D49" t="s">
        <v>53</v>
      </c>
      <c r="E49">
        <v>12</v>
      </c>
      <c r="F49">
        <v>37</v>
      </c>
      <c r="G49" t="s">
        <v>10</v>
      </c>
      <c r="H49">
        <v>37</v>
      </c>
      <c r="I49">
        <v>42</v>
      </c>
      <c r="J49">
        <v>0.76429999999999998</v>
      </c>
      <c r="K49">
        <v>1.7599999999999838E-2</v>
      </c>
      <c r="L49">
        <v>5.5467085824881055E-3</v>
      </c>
      <c r="M49">
        <v>1.0107956060777766E-2</v>
      </c>
      <c r="N49">
        <v>6.0924307033985686E-2</v>
      </c>
      <c r="O49">
        <v>1.1400075685030322</v>
      </c>
      <c r="P49">
        <v>0.1876752200249317</v>
      </c>
      <c r="Q49">
        <v>0.51343692668386554</v>
      </c>
      <c r="R49">
        <v>5.9007504677016922E-3</v>
      </c>
      <c r="S49">
        <v>7.3437474587123339E-2</v>
      </c>
      <c r="T49">
        <v>0.55327429160652808</v>
      </c>
      <c r="U49">
        <v>1.8151860187869531</v>
      </c>
      <c r="V49">
        <v>0.68151521860226894</v>
      </c>
      <c r="W49">
        <v>0.15921222197216206</v>
      </c>
      <c r="X49">
        <v>3.8120342969629892E-2</v>
      </c>
      <c r="Y49">
        <v>3.0168255276194444E-2</v>
      </c>
      <c r="Z49">
        <v>2.3915285775417856E-2</v>
      </c>
      <c r="AA49">
        <v>0.18838697045195968</v>
      </c>
      <c r="AB49">
        <v>3.8784604955596394E-2</v>
      </c>
      <c r="AC49">
        <v>6.9628226949176975E-2</v>
      </c>
      <c r="AD49">
        <v>0.29001270575083393</v>
      </c>
      <c r="AE49">
        <v>4.8601114197417451E-3</v>
      </c>
      <c r="AF49">
        <v>8.882245139931794E-3</v>
      </c>
      <c r="AG49">
        <v>0.22085455465404402</v>
      </c>
      <c r="AH49">
        <v>1.8690656308745893E-2</v>
      </c>
      <c r="AI49">
        <v>2.7951111838971546E-2</v>
      </c>
      <c r="AJ49">
        <v>7.5279801910448571E-2</v>
      </c>
      <c r="AK49">
        <v>0.14141994891142595</v>
      </c>
      <c r="AL49">
        <v>0.68004418740250461</v>
      </c>
      <c r="AM49">
        <f t="shared" si="0"/>
        <v>40.131952685377875</v>
      </c>
      <c r="AN49">
        <f t="shared" si="1"/>
        <v>0.92414283300097355</v>
      </c>
    </row>
    <row r="50" spans="1:40" x14ac:dyDescent="0.35">
      <c r="A50" t="s">
        <v>100</v>
      </c>
      <c r="B50" t="s">
        <v>73</v>
      </c>
      <c r="C50">
        <v>1</v>
      </c>
      <c r="D50" t="s">
        <v>57</v>
      </c>
      <c r="E50">
        <v>12</v>
      </c>
      <c r="F50">
        <v>25</v>
      </c>
      <c r="G50" t="s">
        <v>9</v>
      </c>
      <c r="H50">
        <v>56</v>
      </c>
      <c r="I50">
        <v>68</v>
      </c>
      <c r="J50">
        <v>2.3908</v>
      </c>
      <c r="K50">
        <v>5.2599999999999973E-2</v>
      </c>
      <c r="L50">
        <v>2.1885865963461218E-2</v>
      </c>
      <c r="M50">
        <v>0.56132552223920829</v>
      </c>
      <c r="N50">
        <v>0.15974141081584636</v>
      </c>
      <c r="O50">
        <v>4.7129403752304384</v>
      </c>
      <c r="P50">
        <v>0.5462345584105478</v>
      </c>
      <c r="Q50">
        <v>1.9270889609614292</v>
      </c>
      <c r="R50">
        <v>0.28247027117811629</v>
      </c>
      <c r="S50">
        <v>0.36367542321056912</v>
      </c>
      <c r="T50">
        <v>2.2848173151571372</v>
      </c>
      <c r="U50">
        <v>7.8643316231564357</v>
      </c>
      <c r="V50">
        <v>2.5018867214097229</v>
      </c>
      <c r="W50">
        <v>0.63660684102687237</v>
      </c>
      <c r="X50">
        <v>0.12572037905847736</v>
      </c>
      <c r="Y50">
        <v>0.11217977120610824</v>
      </c>
      <c r="Z50">
        <v>0.10711040987270862</v>
      </c>
      <c r="AA50">
        <v>0.87862700544760741</v>
      </c>
      <c r="AB50">
        <v>0.23453626472857997</v>
      </c>
      <c r="AC50">
        <v>0.21362763877510005</v>
      </c>
      <c r="AD50">
        <v>1.1372407300094347</v>
      </c>
      <c r="AE50">
        <v>0</v>
      </c>
      <c r="AF50">
        <v>2.463962674798801E-2</v>
      </c>
      <c r="AG50">
        <v>0.72626783163694597</v>
      </c>
      <c r="AH50">
        <v>0</v>
      </c>
      <c r="AI50">
        <v>0.10903040781171067</v>
      </c>
      <c r="AJ50">
        <v>0.31482838476387459</v>
      </c>
      <c r="AK50">
        <v>0.42090675982553521</v>
      </c>
      <c r="AL50">
        <v>2.5761488866234794</v>
      </c>
      <c r="AM50">
        <f t="shared" si="0"/>
        <v>54.836252823702182</v>
      </c>
      <c r="AN50">
        <f t="shared" si="1"/>
        <v>1.2064526093887959</v>
      </c>
    </row>
    <row r="51" spans="1:40" x14ac:dyDescent="0.35">
      <c r="A51" t="s">
        <v>101</v>
      </c>
      <c r="B51" t="s">
        <v>73</v>
      </c>
      <c r="C51">
        <v>1</v>
      </c>
      <c r="D51" t="s">
        <v>57</v>
      </c>
      <c r="E51">
        <v>12</v>
      </c>
      <c r="F51">
        <v>25</v>
      </c>
      <c r="G51" t="s">
        <v>9</v>
      </c>
      <c r="H51">
        <v>52</v>
      </c>
      <c r="I51">
        <v>61</v>
      </c>
      <c r="J51">
        <v>1.4319</v>
      </c>
      <c r="K51">
        <v>3.1099999999998573E-2</v>
      </c>
      <c r="L51">
        <v>1.0240229231656415E-2</v>
      </c>
      <c r="M51">
        <v>2.9908317586705545E-2</v>
      </c>
      <c r="N51">
        <v>9.0165016753131266E-2</v>
      </c>
      <c r="O51">
        <v>2.4289675793821477</v>
      </c>
      <c r="P51">
        <v>0.31511321835887007</v>
      </c>
      <c r="Q51">
        <v>0.95649269190747332</v>
      </c>
      <c r="R51">
        <v>1.041972562915835E-2</v>
      </c>
      <c r="S51">
        <v>0.15983193127150014</v>
      </c>
      <c r="T51">
        <v>1.2841513239952098</v>
      </c>
      <c r="U51">
        <v>2.5248391971193218</v>
      </c>
      <c r="V51">
        <v>0.82084652379200607</v>
      </c>
      <c r="W51">
        <v>0.31949086987147068</v>
      </c>
      <c r="X51">
        <v>6.490797402147834E-2</v>
      </c>
      <c r="Y51">
        <v>6.1307888024190856E-2</v>
      </c>
      <c r="Z51">
        <v>6.1101539609555895E-2</v>
      </c>
      <c r="AA51">
        <v>0.42327599277539074</v>
      </c>
      <c r="AB51">
        <v>0.12610681194731244</v>
      </c>
      <c r="AC51">
        <v>0.1075521646983818</v>
      </c>
      <c r="AD51">
        <v>0.64296530409761832</v>
      </c>
      <c r="AE51">
        <v>9.7045089521883045E-3</v>
      </c>
      <c r="AF51">
        <v>1.3710449987809539E-2</v>
      </c>
      <c r="AG51">
        <v>0.39205905791007217</v>
      </c>
      <c r="AH51">
        <v>3.2636791615387892E-2</v>
      </c>
      <c r="AI51">
        <v>7.0119084456757644E-2</v>
      </c>
      <c r="AJ51">
        <v>0.19137749747839761</v>
      </c>
      <c r="AK51">
        <v>0.26619687620997406</v>
      </c>
      <c r="AL51">
        <v>0.81600243921920623</v>
      </c>
      <c r="AM51">
        <f t="shared" si="0"/>
        <v>39.323122205475677</v>
      </c>
      <c r="AN51">
        <f t="shared" si="1"/>
        <v>0.85407437711448964</v>
      </c>
    </row>
    <row r="52" spans="1:40" x14ac:dyDescent="0.35">
      <c r="A52" t="s">
        <v>102</v>
      </c>
      <c r="B52" t="s">
        <v>73</v>
      </c>
      <c r="C52">
        <v>1</v>
      </c>
      <c r="D52" t="s">
        <v>57</v>
      </c>
      <c r="E52">
        <v>12</v>
      </c>
      <c r="F52">
        <v>25</v>
      </c>
      <c r="G52" t="s">
        <v>9</v>
      </c>
      <c r="H52">
        <v>56</v>
      </c>
      <c r="I52">
        <v>64</v>
      </c>
      <c r="J52">
        <v>1.7857000000000001</v>
      </c>
      <c r="K52">
        <v>3.7300000000000111E-2</v>
      </c>
      <c r="L52">
        <v>9.3210541150415601E-3</v>
      </c>
      <c r="M52">
        <v>2.2414274417681221E-2</v>
      </c>
      <c r="N52">
        <v>6.7002992856264446E-2</v>
      </c>
      <c r="O52">
        <v>2.0064343162662883</v>
      </c>
      <c r="P52">
        <v>0.23599835467852459</v>
      </c>
      <c r="Q52">
        <v>0.79159008900885308</v>
      </c>
      <c r="R52">
        <v>8.9927086576526878E-3</v>
      </c>
      <c r="S52">
        <v>0.11990069093781325</v>
      </c>
      <c r="T52">
        <v>1.0055825017585998</v>
      </c>
      <c r="U52">
        <v>3.0114239402933407</v>
      </c>
      <c r="V52">
        <v>1.0282410176225922</v>
      </c>
      <c r="W52">
        <v>0.28279189538264815</v>
      </c>
      <c r="X52">
        <v>5.7896952900079235E-2</v>
      </c>
      <c r="Y52">
        <v>4.8022279394325323E-2</v>
      </c>
      <c r="Z52">
        <v>4.4395563480741224E-2</v>
      </c>
      <c r="AA52">
        <v>0.36225910921550342</v>
      </c>
      <c r="AB52">
        <v>8.0941680656432785E-2</v>
      </c>
      <c r="AC52">
        <v>0.11557279785805971</v>
      </c>
      <c r="AD52">
        <v>0.54306770278952732</v>
      </c>
      <c r="AE52">
        <v>8.5332406686187204E-3</v>
      </c>
      <c r="AF52">
        <v>1.3409835635717396E-2</v>
      </c>
      <c r="AG52">
        <v>0.33016558712355831</v>
      </c>
      <c r="AH52">
        <v>2.4991830368679198E-2</v>
      </c>
      <c r="AI52">
        <v>5.9317212826074071E-2</v>
      </c>
      <c r="AJ52">
        <v>0.17757905182774902</v>
      </c>
      <c r="AK52">
        <v>0.1905805386373427</v>
      </c>
      <c r="AL52">
        <v>1.3530875651737677</v>
      </c>
      <c r="AM52">
        <f t="shared" si="0"/>
        <v>32.170280923730402</v>
      </c>
      <c r="AN52">
        <f t="shared" si="1"/>
        <v>0.67197820376051265</v>
      </c>
    </row>
    <row r="53" spans="1:40" x14ac:dyDescent="0.35">
      <c r="A53" t="s">
        <v>103</v>
      </c>
      <c r="B53" t="s">
        <v>73</v>
      </c>
      <c r="C53">
        <v>1</v>
      </c>
      <c r="D53" t="s">
        <v>57</v>
      </c>
      <c r="E53">
        <v>12</v>
      </c>
      <c r="F53">
        <v>40</v>
      </c>
      <c r="G53" t="s">
        <v>9</v>
      </c>
      <c r="H53">
        <v>42</v>
      </c>
      <c r="I53">
        <v>46</v>
      </c>
      <c r="J53">
        <v>0.74309999999999998</v>
      </c>
      <c r="K53">
        <v>1.1900000000000686E-2</v>
      </c>
      <c r="L53">
        <v>1.996716437599563E-2</v>
      </c>
      <c r="M53">
        <v>1.1607817727856866E-2</v>
      </c>
      <c r="N53">
        <v>0.12091645804650616</v>
      </c>
      <c r="O53">
        <v>2.9554708912970256</v>
      </c>
      <c r="P53">
        <v>0.45918437715573679</v>
      </c>
      <c r="Q53">
        <v>1.314539336840991</v>
      </c>
      <c r="R53">
        <v>1.6087524278716223E-2</v>
      </c>
      <c r="S53">
        <v>0.21839791930542229</v>
      </c>
      <c r="T53">
        <v>1.6941350769542964</v>
      </c>
      <c r="U53">
        <v>5.1747902296397852</v>
      </c>
      <c r="V53">
        <v>1.7073886646391094</v>
      </c>
      <c r="W53">
        <v>0.4281903495581254</v>
      </c>
      <c r="X53">
        <v>0.10003282101614651</v>
      </c>
      <c r="Y53">
        <v>8.7181192886192346E-2</v>
      </c>
      <c r="Z53">
        <v>0.10415728881080087</v>
      </c>
      <c r="AA53">
        <v>0.90135843947987826</v>
      </c>
      <c r="AB53">
        <v>0.22667445157283109</v>
      </c>
      <c r="AC53">
        <v>0.14872783513717722</v>
      </c>
      <c r="AD53">
        <v>0.71371013396399774</v>
      </c>
      <c r="AE53">
        <v>1.4767497378346013E-2</v>
      </c>
      <c r="AF53">
        <v>1.8614464566926416E-2</v>
      </c>
      <c r="AG53">
        <v>0.48165061733111547</v>
      </c>
      <c r="AH53">
        <v>5.7301696148806675E-2</v>
      </c>
      <c r="AI53">
        <v>8.7966620882529267E-2</v>
      </c>
      <c r="AJ53">
        <v>0.23055221699502121</v>
      </c>
      <c r="AK53">
        <v>0.31658502531044691</v>
      </c>
      <c r="AL53">
        <v>1.5254541861971527</v>
      </c>
      <c r="AM53">
        <f t="shared" si="0"/>
        <v>160.80176720584728</v>
      </c>
      <c r="AN53">
        <f t="shared" si="1"/>
        <v>2.5750787642977975</v>
      </c>
    </row>
    <row r="54" spans="1:40" x14ac:dyDescent="0.35">
      <c r="A54" t="s">
        <v>104</v>
      </c>
      <c r="B54" t="s">
        <v>73</v>
      </c>
      <c r="C54">
        <v>1</v>
      </c>
      <c r="D54" t="s">
        <v>57</v>
      </c>
      <c r="E54">
        <v>12</v>
      </c>
      <c r="F54">
        <v>40</v>
      </c>
      <c r="G54" t="s">
        <v>9</v>
      </c>
      <c r="H54">
        <v>47</v>
      </c>
      <c r="I54">
        <v>55</v>
      </c>
      <c r="J54">
        <v>1.3403</v>
      </c>
      <c r="K54">
        <v>3.8800000000000168E-2</v>
      </c>
      <c r="L54">
        <v>1.0326484105829084E-2</v>
      </c>
      <c r="M54">
        <v>3.2457176004231453E-2</v>
      </c>
      <c r="N54">
        <v>7.9720855082994257E-2</v>
      </c>
      <c r="O54">
        <v>2.1170344205606155</v>
      </c>
      <c r="P54">
        <v>0.2302450713660642</v>
      </c>
      <c r="Q54">
        <v>0.81832432985902936</v>
      </c>
      <c r="R54">
        <v>1.0845473953449607E-2</v>
      </c>
      <c r="S54">
        <v>0.14294908530053929</v>
      </c>
      <c r="T54">
        <v>1.1182252450674743</v>
      </c>
      <c r="U54">
        <v>3.0640434717334246</v>
      </c>
      <c r="V54">
        <v>1.0598750762121734</v>
      </c>
      <c r="W54">
        <v>0.31366963088759403</v>
      </c>
      <c r="X54">
        <v>7.0984764066921641E-2</v>
      </c>
      <c r="Y54">
        <v>5.5009407507499442E-2</v>
      </c>
      <c r="Z54">
        <v>5.2518336821718907E-2</v>
      </c>
      <c r="AA54">
        <v>0.36702035138403788</v>
      </c>
      <c r="AB54">
        <v>9.9195556273814184E-2</v>
      </c>
      <c r="AC54">
        <v>0.13927100252891106</v>
      </c>
      <c r="AD54">
        <v>0.63877166236924809</v>
      </c>
      <c r="AE54">
        <v>1.1755033971525185E-2</v>
      </c>
      <c r="AF54">
        <v>1.8297239997961623E-2</v>
      </c>
      <c r="AG54">
        <v>0.4261369175910707</v>
      </c>
      <c r="AH54">
        <v>2.8831087451581073E-2</v>
      </c>
      <c r="AI54">
        <v>6.741401208793861E-2</v>
      </c>
      <c r="AJ54">
        <v>0.20777641704430572</v>
      </c>
      <c r="AK54">
        <v>0.27866735709438212</v>
      </c>
      <c r="AL54">
        <v>1.6824511712122106</v>
      </c>
      <c r="AM54">
        <f t="shared" si="0"/>
        <v>33.870661436949717</v>
      </c>
      <c r="AN54">
        <f t="shared" si="1"/>
        <v>0.98051306703995711</v>
      </c>
    </row>
    <row r="55" spans="1:40" x14ac:dyDescent="0.35">
      <c r="A55" t="s">
        <v>105</v>
      </c>
      <c r="B55" t="s">
        <v>73</v>
      </c>
      <c r="C55">
        <v>1</v>
      </c>
      <c r="D55" t="s">
        <v>57</v>
      </c>
      <c r="E55">
        <v>12</v>
      </c>
      <c r="F55">
        <v>40</v>
      </c>
      <c r="G55" t="s">
        <v>9</v>
      </c>
      <c r="H55">
        <v>50</v>
      </c>
      <c r="I55">
        <v>59</v>
      </c>
      <c r="J55">
        <v>1.5812999999999999</v>
      </c>
      <c r="K55">
        <v>2.9099999999999678E-2</v>
      </c>
      <c r="L55">
        <v>1.2708381383932172E-2</v>
      </c>
      <c r="M55">
        <v>3.1274257703510881E-2</v>
      </c>
      <c r="N55">
        <v>9.5313063950278401E-2</v>
      </c>
      <c r="O55">
        <v>2.3347051874431037</v>
      </c>
      <c r="P55">
        <v>0.26068681249356329</v>
      </c>
      <c r="Q55">
        <v>0.96226007680697523</v>
      </c>
      <c r="R55">
        <v>1.2980224723771052E-2</v>
      </c>
      <c r="S55">
        <v>0.17587594000401341</v>
      </c>
      <c r="T55">
        <v>1.2644049198252711</v>
      </c>
      <c r="U55">
        <v>3.4446922161670117</v>
      </c>
      <c r="V55">
        <v>1.2243121452664172</v>
      </c>
      <c r="W55">
        <v>0.37731707132604375</v>
      </c>
      <c r="X55">
        <v>8.3113507748731164E-2</v>
      </c>
      <c r="Y55">
        <v>6.4851096097922639E-2</v>
      </c>
      <c r="Z55">
        <v>6.7409056341254756E-2</v>
      </c>
      <c r="AA55">
        <v>0.44605754847193618</v>
      </c>
      <c r="AB55">
        <v>9.383832931151441E-2</v>
      </c>
      <c r="AC55">
        <v>0.14490909115327302</v>
      </c>
      <c r="AD55">
        <v>0.66426476133834511</v>
      </c>
      <c r="AE55">
        <v>1.2966254678505533E-2</v>
      </c>
      <c r="AF55">
        <v>1.7940252398088611E-2</v>
      </c>
      <c r="AG55">
        <v>0.43337021970023776</v>
      </c>
      <c r="AH55">
        <v>3.7735984663768561E-2</v>
      </c>
      <c r="AI55">
        <v>8.0545470751437018E-2</v>
      </c>
      <c r="AJ55">
        <v>0.22051309310048417</v>
      </c>
      <c r="AK55">
        <v>0.27730824002946686</v>
      </c>
      <c r="AL55">
        <v>1.6544303046783182</v>
      </c>
      <c r="AM55">
        <f t="shared" si="0"/>
        <v>49.81368902940666</v>
      </c>
      <c r="AN55">
        <f t="shared" si="1"/>
        <v>0.9167004052081944</v>
      </c>
    </row>
    <row r="56" spans="1:40" x14ac:dyDescent="0.35">
      <c r="A56" t="s">
        <v>106</v>
      </c>
      <c r="B56" t="s">
        <v>73</v>
      </c>
      <c r="C56">
        <v>1</v>
      </c>
      <c r="D56" t="s">
        <v>57</v>
      </c>
      <c r="E56">
        <v>12</v>
      </c>
      <c r="F56">
        <v>41</v>
      </c>
      <c r="G56" t="s">
        <v>9</v>
      </c>
      <c r="H56">
        <v>50</v>
      </c>
      <c r="I56">
        <v>60</v>
      </c>
      <c r="J56">
        <v>1.5711999999999999</v>
      </c>
      <c r="K56">
        <v>3.3599999999999852E-2</v>
      </c>
      <c r="L56">
        <v>1.2367516612869183E-2</v>
      </c>
      <c r="M56">
        <v>3.5108688648483204E-2</v>
      </c>
      <c r="N56">
        <v>9.3543115045552072E-2</v>
      </c>
      <c r="O56">
        <v>2.9998646327739924</v>
      </c>
      <c r="P56">
        <v>0.25335845988309058</v>
      </c>
      <c r="Q56">
        <v>1.107574344946834</v>
      </c>
      <c r="R56">
        <v>1.0847422073283342E-2</v>
      </c>
      <c r="S56">
        <v>0.15884126748112762</v>
      </c>
      <c r="T56">
        <v>1.2738549567450577</v>
      </c>
      <c r="U56">
        <v>3.9672204527911306</v>
      </c>
      <c r="V56">
        <v>1.3168548351469389</v>
      </c>
      <c r="W56">
        <v>0.35458883774007943</v>
      </c>
      <c r="X56">
        <v>7.4616383410984435E-2</v>
      </c>
      <c r="Y56">
        <v>5.7672776045282467E-2</v>
      </c>
      <c r="Z56">
        <v>5.4996449297654369E-2</v>
      </c>
      <c r="AA56">
        <v>0.39141990750713979</v>
      </c>
      <c r="AB56">
        <v>9.4072206665353958E-2</v>
      </c>
      <c r="AC56">
        <v>0.19588051422148095</v>
      </c>
      <c r="AD56">
        <v>0.62872972714860986</v>
      </c>
      <c r="AE56">
        <v>8.3477325927508762E-3</v>
      </c>
      <c r="AF56">
        <v>1.1792420267952049E-2</v>
      </c>
      <c r="AG56">
        <v>0.45562401240362954</v>
      </c>
      <c r="AH56">
        <v>3.730714783814762E-2</v>
      </c>
      <c r="AI56">
        <v>6.0857913561446111E-2</v>
      </c>
      <c r="AJ56">
        <v>0.17505267646655129</v>
      </c>
      <c r="AK56">
        <v>0.20780572932805577</v>
      </c>
      <c r="AL56">
        <v>1.4681556523024515</v>
      </c>
      <c r="AM56">
        <f t="shared" si="0"/>
        <v>46.14986838972024</v>
      </c>
      <c r="AN56">
        <f t="shared" si="1"/>
        <v>0.98691164580867685</v>
      </c>
    </row>
    <row r="57" spans="1:40" x14ac:dyDescent="0.35">
      <c r="A57" t="s">
        <v>107</v>
      </c>
      <c r="B57" t="s">
        <v>73</v>
      </c>
      <c r="C57">
        <v>1</v>
      </c>
      <c r="D57" t="s">
        <v>57</v>
      </c>
      <c r="E57">
        <v>12</v>
      </c>
      <c r="F57">
        <v>41</v>
      </c>
      <c r="G57" t="s">
        <v>9</v>
      </c>
      <c r="H57">
        <v>49</v>
      </c>
      <c r="I57">
        <v>59</v>
      </c>
      <c r="J57">
        <v>1.4621</v>
      </c>
      <c r="K57">
        <v>2.9899999999999594E-2</v>
      </c>
      <c r="L57">
        <v>1.3518112762235534E-2</v>
      </c>
      <c r="M57">
        <v>3.0882538425253517E-2</v>
      </c>
      <c r="N57">
        <v>9.0152393109889151E-2</v>
      </c>
      <c r="O57">
        <v>2.3242423690645211</v>
      </c>
      <c r="P57">
        <v>0.26308328628651678</v>
      </c>
      <c r="Q57">
        <v>1.0158258380466065</v>
      </c>
      <c r="R57">
        <v>1.436274423922284E-2</v>
      </c>
      <c r="S57">
        <v>0.16352307595550197</v>
      </c>
      <c r="T57">
        <v>1.241612280301776</v>
      </c>
      <c r="U57">
        <v>3.5168710385583517</v>
      </c>
      <c r="V57">
        <v>1.270480003359771</v>
      </c>
      <c r="W57">
        <v>0.3641597332169384</v>
      </c>
      <c r="X57">
        <v>8.6027907175817667E-2</v>
      </c>
      <c r="Y57">
        <v>6.8242867243753363E-2</v>
      </c>
      <c r="Z57">
        <v>6.8696932264363533E-2</v>
      </c>
      <c r="AA57">
        <v>0.43332567863430377</v>
      </c>
      <c r="AB57">
        <v>0.11760912268676219</v>
      </c>
      <c r="AC57">
        <v>0.13134090419117389</v>
      </c>
      <c r="AD57">
        <v>0.62427517458947923</v>
      </c>
      <c r="AE57">
        <v>1.2040369325872064E-2</v>
      </c>
      <c r="AF57">
        <v>1.7268385634537083E-2</v>
      </c>
      <c r="AG57">
        <v>0.42119202469605982</v>
      </c>
      <c r="AH57">
        <v>3.8718239208280783E-2</v>
      </c>
      <c r="AI57">
        <v>7.1047384867865521E-2</v>
      </c>
      <c r="AJ57">
        <v>0.18778211758366267</v>
      </c>
      <c r="AK57">
        <v>0.29328819900515241</v>
      </c>
      <c r="AL57">
        <v>1.3823765284838501</v>
      </c>
      <c r="AM57">
        <f t="shared" si="0"/>
        <v>47.698813541530811</v>
      </c>
      <c r="AN57">
        <f t="shared" si="1"/>
        <v>0.97544253121657332</v>
      </c>
    </row>
    <row r="58" spans="1:40" x14ac:dyDescent="0.35">
      <c r="A58" t="s">
        <v>108</v>
      </c>
      <c r="B58" t="s">
        <v>73</v>
      </c>
      <c r="C58">
        <v>1</v>
      </c>
      <c r="D58" t="s">
        <v>57</v>
      </c>
      <c r="E58">
        <v>12</v>
      </c>
      <c r="F58">
        <v>41</v>
      </c>
      <c r="G58" t="s">
        <v>9</v>
      </c>
      <c r="H58">
        <v>48</v>
      </c>
      <c r="I58">
        <v>57</v>
      </c>
      <c r="J58">
        <v>1.1758999999999999</v>
      </c>
      <c r="K58">
        <v>2.0200000000000884E-2</v>
      </c>
      <c r="L58">
        <v>5.7729789028885094E-3</v>
      </c>
      <c r="M58">
        <v>3.2322738938115859E-2</v>
      </c>
      <c r="N58">
        <v>6.1324518665202214E-2</v>
      </c>
      <c r="O58">
        <v>1.7189728472672536</v>
      </c>
      <c r="P58">
        <v>0.15967409603352314</v>
      </c>
      <c r="Q58">
        <v>0.61398571669168645</v>
      </c>
      <c r="R58">
        <v>7.7331938256901796E-3</v>
      </c>
      <c r="S58">
        <v>0.11049511900711102</v>
      </c>
      <c r="T58">
        <v>0.84920273454884621</v>
      </c>
      <c r="U58">
        <v>2.2549566607394316</v>
      </c>
      <c r="V58">
        <v>0.83045843139295517</v>
      </c>
      <c r="W58">
        <v>0.25410204082282389</v>
      </c>
      <c r="X58">
        <v>5.172874357054974E-2</v>
      </c>
      <c r="Y58">
        <v>4.2775836562112458E-2</v>
      </c>
      <c r="Z58">
        <v>3.6841733830779162E-2</v>
      </c>
      <c r="AA58">
        <v>0.2181140920701628</v>
      </c>
      <c r="AB58">
        <v>4.7631427013838261E-2</v>
      </c>
      <c r="AC58">
        <v>0.11215978695487744</v>
      </c>
      <c r="AD58">
        <v>0.53138507027907411</v>
      </c>
      <c r="AE58">
        <v>8.5483216368098108E-3</v>
      </c>
      <c r="AF58">
        <v>1.3296062275555354E-2</v>
      </c>
      <c r="AG58">
        <v>0.36253111851625425</v>
      </c>
      <c r="AH58">
        <v>2.2504486460953738E-2</v>
      </c>
      <c r="AI58">
        <v>5.7124842419813318E-2</v>
      </c>
      <c r="AJ58">
        <v>0.15600683449726682</v>
      </c>
      <c r="AK58">
        <v>0.22469604361903758</v>
      </c>
      <c r="AL58">
        <v>1.3211325602894004</v>
      </c>
      <c r="AM58">
        <f t="shared" si="0"/>
        <v>50.027118994215705</v>
      </c>
      <c r="AN58">
        <f t="shared" si="1"/>
        <v>0.85938243361102262</v>
      </c>
    </row>
    <row r="59" spans="1:40" x14ac:dyDescent="0.35">
      <c r="A59" t="s">
        <v>109</v>
      </c>
      <c r="B59" t="s">
        <v>73</v>
      </c>
      <c r="C59">
        <v>1</v>
      </c>
      <c r="D59" t="s">
        <v>61</v>
      </c>
      <c r="E59">
        <v>12</v>
      </c>
      <c r="F59">
        <v>26</v>
      </c>
      <c r="G59" t="s">
        <v>11</v>
      </c>
      <c r="H59">
        <v>30</v>
      </c>
      <c r="I59">
        <v>36</v>
      </c>
      <c r="J59">
        <v>0.41620000000000001</v>
      </c>
      <c r="K59">
        <v>1.0699999999999932E-2</v>
      </c>
      <c r="L59">
        <v>1.7408226611813514E-3</v>
      </c>
      <c r="M59">
        <v>5.5621076019270917E-3</v>
      </c>
      <c r="N59">
        <v>4.4018030365330939E-2</v>
      </c>
      <c r="O59">
        <v>0.68543873183303172</v>
      </c>
      <c r="P59">
        <v>0.10965838419821745</v>
      </c>
      <c r="Q59">
        <v>0.20547354772669429</v>
      </c>
      <c r="R59">
        <v>2.1720344588936598E-3</v>
      </c>
      <c r="S59">
        <v>3.6700943205570914E-2</v>
      </c>
      <c r="T59">
        <v>0.30959338184666174</v>
      </c>
      <c r="U59">
        <v>1.010039683142913</v>
      </c>
      <c r="V59">
        <v>0.35306634371285045</v>
      </c>
      <c r="W59">
        <v>6.9907189325364189E-2</v>
      </c>
      <c r="X59">
        <v>1.8749858361088344E-2</v>
      </c>
      <c r="Y59">
        <v>1.043780156264907E-2</v>
      </c>
      <c r="Z59">
        <v>8.1788812489106046E-3</v>
      </c>
      <c r="AA59">
        <v>7.9362093780767126E-2</v>
      </c>
      <c r="AB59">
        <v>1.5911498505645369E-2</v>
      </c>
      <c r="AC59">
        <v>5.248672231377783E-2</v>
      </c>
      <c r="AD59">
        <v>0.17127974615322705</v>
      </c>
      <c r="AE59">
        <v>3.0667587206903045E-3</v>
      </c>
      <c r="AF59">
        <v>5.9941587413381101E-3</v>
      </c>
      <c r="AG59">
        <v>0.1261398376843719</v>
      </c>
      <c r="AH59">
        <v>7.4389595744127242E-3</v>
      </c>
      <c r="AI59">
        <v>1.2290410549070294E-2</v>
      </c>
      <c r="AJ59">
        <v>2.984617944248873E-2</v>
      </c>
      <c r="AK59">
        <v>7.0830758963539839E-2</v>
      </c>
      <c r="AL59">
        <v>0.49116922070573898</v>
      </c>
      <c r="AM59">
        <f t="shared" si="0"/>
        <v>36.790225106414759</v>
      </c>
      <c r="AN59">
        <f t="shared" si="1"/>
        <v>0.94583231292319891</v>
      </c>
    </row>
    <row r="60" spans="1:40" x14ac:dyDescent="0.35">
      <c r="A60" t="s">
        <v>110</v>
      </c>
      <c r="B60" t="s">
        <v>73</v>
      </c>
      <c r="C60">
        <v>1</v>
      </c>
      <c r="D60" t="s">
        <v>61</v>
      </c>
      <c r="E60">
        <v>12</v>
      </c>
      <c r="F60">
        <v>26</v>
      </c>
      <c r="G60" t="s">
        <v>11</v>
      </c>
      <c r="H60">
        <v>31</v>
      </c>
      <c r="I60">
        <v>44</v>
      </c>
      <c r="J60">
        <v>0.62390000000000001</v>
      </c>
      <c r="K60">
        <v>8.9000000000005741E-3</v>
      </c>
      <c r="L60">
        <v>1.4909023427687425E-3</v>
      </c>
      <c r="M60">
        <v>8.8947687301483801E-3</v>
      </c>
      <c r="N60">
        <v>3.8130820215514227E-2</v>
      </c>
      <c r="O60">
        <v>0.64977438603188775</v>
      </c>
      <c r="P60">
        <v>0.13443548473805111</v>
      </c>
      <c r="Q60">
        <v>0.18524063651414935</v>
      </c>
      <c r="R60">
        <v>1.420149690661362E-3</v>
      </c>
      <c r="S60">
        <v>3.0600570908414063E-2</v>
      </c>
      <c r="T60">
        <v>0.30603346836426493</v>
      </c>
      <c r="U60">
        <v>0.96792077266867083</v>
      </c>
      <c r="V60">
        <v>0.34188212108268451</v>
      </c>
      <c r="W60">
        <v>6.0218717434685064E-2</v>
      </c>
      <c r="X60">
        <v>1.3161738719545955E-2</v>
      </c>
      <c r="Y60">
        <v>7.9389307008003417E-3</v>
      </c>
      <c r="Z60">
        <v>4.8996525761324091E-3</v>
      </c>
      <c r="AA60">
        <v>5.9285220878274023E-2</v>
      </c>
      <c r="AB60">
        <v>1.700712511462223E-2</v>
      </c>
      <c r="AC60">
        <v>3.8155898518886018E-2</v>
      </c>
      <c r="AD60">
        <v>0.16079364731387774</v>
      </c>
      <c r="AE60">
        <v>3.851167251198725E-3</v>
      </c>
      <c r="AF60">
        <v>4.854774142370199E-3</v>
      </c>
      <c r="AG60">
        <v>0.12396583765373202</v>
      </c>
      <c r="AH60">
        <v>6.4322357293492526E-3</v>
      </c>
      <c r="AI60">
        <v>1.1947074726222705E-2</v>
      </c>
      <c r="AJ60">
        <v>3.0479647686142527E-2</v>
      </c>
      <c r="AK60">
        <v>7.1870605449727565E-2</v>
      </c>
      <c r="AL60">
        <v>0.54542466881209972</v>
      </c>
      <c r="AM60">
        <f t="shared" si="0"/>
        <v>42.990011505557682</v>
      </c>
      <c r="AN60">
        <f t="shared" si="1"/>
        <v>0.61325709632871939</v>
      </c>
    </row>
    <row r="61" spans="1:40" x14ac:dyDescent="0.35">
      <c r="A61" t="s">
        <v>111</v>
      </c>
      <c r="B61" t="s">
        <v>73</v>
      </c>
      <c r="C61">
        <v>1</v>
      </c>
      <c r="D61" t="s">
        <v>61</v>
      </c>
      <c r="E61">
        <v>12</v>
      </c>
      <c r="F61">
        <v>30</v>
      </c>
      <c r="G61" t="s">
        <v>11</v>
      </c>
      <c r="H61">
        <v>28</v>
      </c>
      <c r="I61">
        <v>33</v>
      </c>
      <c r="J61">
        <v>0.30520000000000003</v>
      </c>
      <c r="K61">
        <v>3.9999999999995595E-3</v>
      </c>
      <c r="L61">
        <v>6.5107618525787555E-4</v>
      </c>
      <c r="M61">
        <v>3.3347231448724085E-4</v>
      </c>
      <c r="N61">
        <v>1.8112931805569266E-2</v>
      </c>
      <c r="O61">
        <v>0.3847866438990849</v>
      </c>
      <c r="P61">
        <v>4.8076993738385906E-2</v>
      </c>
      <c r="Q61">
        <v>6.2087159828612147E-2</v>
      </c>
      <c r="R61">
        <v>5.5768365329833427E-4</v>
      </c>
      <c r="S61">
        <v>1.7909622781552455E-2</v>
      </c>
      <c r="T61">
        <v>0.18268542736684215</v>
      </c>
      <c r="U61">
        <v>0.42764006259274434</v>
      </c>
      <c r="V61">
        <v>0.14334753065690872</v>
      </c>
      <c r="W61">
        <v>2.789075019696154E-2</v>
      </c>
      <c r="X61">
        <v>5.8015920740731031E-3</v>
      </c>
      <c r="Y61">
        <v>2.9576033339892959E-3</v>
      </c>
      <c r="Z61">
        <v>3.4054570728656031E-3</v>
      </c>
      <c r="AA61">
        <v>2.56366272540191E-2</v>
      </c>
      <c r="AB61">
        <v>6.8942389355353953E-3</v>
      </c>
      <c r="AC61">
        <v>2.8429658871645839E-2</v>
      </c>
      <c r="AD61">
        <v>0.13654936816002539</v>
      </c>
      <c r="AE61">
        <v>7.6366421577405959E-4</v>
      </c>
      <c r="AF61">
        <v>2.4524723052832139E-3</v>
      </c>
      <c r="AG61">
        <v>8.351491429118163E-2</v>
      </c>
      <c r="AH61">
        <v>2.9254459266134778E-3</v>
      </c>
      <c r="AI61">
        <v>9.7749365929620594E-3</v>
      </c>
      <c r="AJ61">
        <v>2.2283500177540837E-2</v>
      </c>
      <c r="AK61">
        <v>5.2861570699497928E-2</v>
      </c>
      <c r="AL61">
        <v>0.32854067922855246</v>
      </c>
      <c r="AM61">
        <f t="shared" si="0"/>
        <v>50.671777103987182</v>
      </c>
      <c r="AN61">
        <f t="shared" si="1"/>
        <v>0.66411241289622025</v>
      </c>
    </row>
    <row r="62" spans="1:40" x14ac:dyDescent="0.35">
      <c r="A62" t="s">
        <v>112</v>
      </c>
      <c r="B62" t="s">
        <v>73</v>
      </c>
      <c r="C62">
        <v>1</v>
      </c>
      <c r="D62" t="s">
        <v>61</v>
      </c>
      <c r="E62">
        <v>12</v>
      </c>
      <c r="F62">
        <v>31</v>
      </c>
      <c r="G62" t="s">
        <v>11</v>
      </c>
      <c r="H62">
        <v>28</v>
      </c>
      <c r="I62">
        <v>32</v>
      </c>
      <c r="J62">
        <v>0.27800000000000002</v>
      </c>
      <c r="K62">
        <v>3.0999999999998802E-3</v>
      </c>
      <c r="L62">
        <v>9.2990841008016992E-4</v>
      </c>
      <c r="M62">
        <v>3.8177370012614772E-4</v>
      </c>
      <c r="N62">
        <v>1.6978555581580138E-2</v>
      </c>
      <c r="O62">
        <v>0.33574342173982574</v>
      </c>
      <c r="P62">
        <v>7.3850382827738884E-2</v>
      </c>
      <c r="Q62">
        <v>9.2060414218222489E-2</v>
      </c>
      <c r="R62">
        <v>7.758589184681154E-4</v>
      </c>
      <c r="S62">
        <v>1.4966361044386523E-2</v>
      </c>
      <c r="T62">
        <v>0.16646353237588027</v>
      </c>
      <c r="U62">
        <v>0.48905515534241706</v>
      </c>
      <c r="V62">
        <v>0.16670505844428893</v>
      </c>
      <c r="W62">
        <v>2.4551370436130999E-2</v>
      </c>
      <c r="X62">
        <v>5.4002854717086933E-3</v>
      </c>
      <c r="Y62">
        <v>4.5847575455999203E-3</v>
      </c>
      <c r="Z62">
        <v>3.201824143656151E-3</v>
      </c>
      <c r="AA62">
        <v>3.4154613834327746E-2</v>
      </c>
      <c r="AB62">
        <v>9.7930481306061148E-3</v>
      </c>
      <c r="AC62">
        <v>1.4083417836426491E-2</v>
      </c>
      <c r="AD62">
        <v>7.133805554214008E-2</v>
      </c>
      <c r="AE62">
        <v>6.820969876350023E-4</v>
      </c>
      <c r="AF62">
        <v>2.7490453821568694E-3</v>
      </c>
      <c r="AG62">
        <v>5.9898918547600266E-2</v>
      </c>
      <c r="AH62">
        <v>9.6522302812028526E-5</v>
      </c>
      <c r="AI62">
        <v>6.5319213476282877E-3</v>
      </c>
      <c r="AJ62">
        <v>1.2479395486312314E-2</v>
      </c>
      <c r="AK62">
        <v>3.6064622770330054E-2</v>
      </c>
      <c r="AL62">
        <v>0.27831445293617613</v>
      </c>
      <c r="AM62">
        <f t="shared" si="0"/>
        <v>61.994670042075349</v>
      </c>
      <c r="AN62">
        <f t="shared" si="1"/>
        <v>0.69130747169218043</v>
      </c>
    </row>
    <row r="63" spans="1:40" x14ac:dyDescent="0.35">
      <c r="A63" t="s">
        <v>113</v>
      </c>
      <c r="B63" t="s">
        <v>73</v>
      </c>
      <c r="C63">
        <v>1</v>
      </c>
      <c r="D63" t="s">
        <v>61</v>
      </c>
      <c r="E63">
        <v>12</v>
      </c>
      <c r="F63">
        <v>31</v>
      </c>
      <c r="G63" t="s">
        <v>11</v>
      </c>
      <c r="H63">
        <v>25</v>
      </c>
      <c r="I63">
        <v>29</v>
      </c>
      <c r="J63">
        <v>0.23369999999999999</v>
      </c>
      <c r="K63">
        <v>4.8000000000012477E-3</v>
      </c>
      <c r="L63">
        <v>6.5549524286308584E-4</v>
      </c>
      <c r="M63">
        <v>3.6830031971111962E-4</v>
      </c>
      <c r="N63">
        <v>1.413986520057201E-2</v>
      </c>
      <c r="O63">
        <v>0.30956292346745795</v>
      </c>
      <c r="P63">
        <v>4.5672707333342881E-2</v>
      </c>
      <c r="Q63">
        <v>5.7261033248226366E-2</v>
      </c>
      <c r="R63">
        <v>5.687236875391461E-4</v>
      </c>
      <c r="S63">
        <v>1.3314362530130273E-2</v>
      </c>
      <c r="T63">
        <v>0.14763029341523223</v>
      </c>
      <c r="U63">
        <v>0.38963161695437087</v>
      </c>
      <c r="V63">
        <v>0.12766480107759764</v>
      </c>
      <c r="W63">
        <v>2.1192045725447937E-2</v>
      </c>
      <c r="X63">
        <v>4.6829215666505906E-3</v>
      </c>
      <c r="Y63">
        <v>2.8996227509268794E-3</v>
      </c>
      <c r="Z63">
        <v>2.980603491993208E-3</v>
      </c>
      <c r="AA63">
        <v>2.5263781410776075E-2</v>
      </c>
      <c r="AB63">
        <v>5.7131198886290046E-3</v>
      </c>
      <c r="AC63">
        <v>1.8668531261010056E-2</v>
      </c>
      <c r="AD63">
        <v>8.7979603037227308E-2</v>
      </c>
      <c r="AE63">
        <v>8.3394524700127035E-4</v>
      </c>
      <c r="AF63">
        <v>1.8386231899030865E-3</v>
      </c>
      <c r="AG63">
        <v>6.1560038561610089E-2</v>
      </c>
      <c r="AH63">
        <v>2.2762092989900146E-3</v>
      </c>
      <c r="AI63">
        <v>6.5772657618465881E-3</v>
      </c>
      <c r="AJ63">
        <v>1.1743295357100402E-2</v>
      </c>
      <c r="AK63">
        <v>3.5482664746115861E-2</v>
      </c>
      <c r="AL63">
        <v>0.26944795861709614</v>
      </c>
      <c r="AM63">
        <f t="shared" si="0"/>
        <v>34.700215674769488</v>
      </c>
      <c r="AN63">
        <f t="shared" si="1"/>
        <v>0.71271303054744051</v>
      </c>
    </row>
    <row r="64" spans="1:40" x14ac:dyDescent="0.35">
      <c r="A64" t="s">
        <v>114</v>
      </c>
      <c r="B64" t="s">
        <v>73</v>
      </c>
      <c r="C64">
        <v>1</v>
      </c>
      <c r="D64" t="s">
        <v>61</v>
      </c>
      <c r="E64">
        <v>12</v>
      </c>
      <c r="F64">
        <v>31</v>
      </c>
      <c r="G64" t="s">
        <v>11</v>
      </c>
      <c r="H64">
        <v>27</v>
      </c>
      <c r="I64">
        <v>31</v>
      </c>
      <c r="J64">
        <v>0.22090000000000001</v>
      </c>
      <c r="K64">
        <v>4.9000000000010147E-3</v>
      </c>
      <c r="L64">
        <v>5.1387393695105481E-4</v>
      </c>
      <c r="M64">
        <v>2.7494754203560292E-4</v>
      </c>
      <c r="N64">
        <v>9.4703343643895085E-3</v>
      </c>
      <c r="O64">
        <v>0.23804999832387147</v>
      </c>
      <c r="P64">
        <v>3.8721712902018389E-2</v>
      </c>
      <c r="Q64">
        <v>4.359331278161474E-2</v>
      </c>
      <c r="R64">
        <v>7.0618105533354846E-4</v>
      </c>
      <c r="S64">
        <v>9.6362606773377629E-3</v>
      </c>
      <c r="T64">
        <v>0.12553488453764844</v>
      </c>
      <c r="U64">
        <v>0.3099820012252742</v>
      </c>
      <c r="V64">
        <v>9.3032691169051399E-2</v>
      </c>
      <c r="W64">
        <v>1.437985014508749E-2</v>
      </c>
      <c r="X64">
        <v>3.2830672915977101E-3</v>
      </c>
      <c r="Y64">
        <v>2.7726705405247275E-3</v>
      </c>
      <c r="Z64">
        <v>1.8033268964908391E-3</v>
      </c>
      <c r="AA64">
        <v>1.5924116282925772E-2</v>
      </c>
      <c r="AB64">
        <v>5.8492512910874447E-3</v>
      </c>
      <c r="AC64">
        <v>1.4500156612174329E-2</v>
      </c>
      <c r="AD64">
        <v>6.632236511381745E-2</v>
      </c>
      <c r="AE64">
        <v>4.3214965808019223E-4</v>
      </c>
      <c r="AF64">
        <v>2.1846096976840205E-3</v>
      </c>
      <c r="AG64">
        <v>4.4384320515195405E-2</v>
      </c>
      <c r="AH64">
        <v>7.5602766007669376E-5</v>
      </c>
      <c r="AI64">
        <v>4.616828344242512E-3</v>
      </c>
      <c r="AJ64">
        <v>9.9971592571259579E-3</v>
      </c>
      <c r="AK64">
        <v>2.6058967936528937E-2</v>
      </c>
      <c r="AL64">
        <v>0.25011110684656507</v>
      </c>
      <c r="AM64">
        <f t="shared" si="0"/>
        <v>27.187994851232361</v>
      </c>
      <c r="AN64">
        <f t="shared" si="1"/>
        <v>0.60308363409264887</v>
      </c>
    </row>
    <row r="65" spans="1:40" x14ac:dyDescent="0.35">
      <c r="A65" t="s">
        <v>115</v>
      </c>
      <c r="B65" t="s">
        <v>73</v>
      </c>
      <c r="C65">
        <v>1</v>
      </c>
      <c r="D65" t="s">
        <v>65</v>
      </c>
      <c r="E65">
        <v>12</v>
      </c>
      <c r="F65">
        <v>28</v>
      </c>
      <c r="G65" t="s">
        <v>7</v>
      </c>
      <c r="H65">
        <v>42</v>
      </c>
      <c r="I65">
        <v>55</v>
      </c>
      <c r="J65">
        <v>1.3807</v>
      </c>
      <c r="K65">
        <v>3.8800000000000175E-2</v>
      </c>
      <c r="L65">
        <v>1.0782899813367424E-2</v>
      </c>
      <c r="M65">
        <v>3.5006187221514919E-2</v>
      </c>
      <c r="N65">
        <v>6.7479692513524786E-2</v>
      </c>
      <c r="O65">
        <v>2.5768913785748193</v>
      </c>
      <c r="P65">
        <v>0.41266022105036465</v>
      </c>
      <c r="Q65">
        <v>1.2704278971751932</v>
      </c>
      <c r="R65">
        <v>2.3944163851263901E-2</v>
      </c>
      <c r="S65">
        <v>0.15128834705072744</v>
      </c>
      <c r="T65">
        <v>1.4309110147012958</v>
      </c>
      <c r="U65">
        <v>5.4174955986744964</v>
      </c>
      <c r="V65">
        <v>1.3961470742173285</v>
      </c>
      <c r="W65">
        <v>0.4173772826575709</v>
      </c>
      <c r="X65">
        <v>6.1625497443901819E-2</v>
      </c>
      <c r="Y65">
        <v>2.6917998595544258E-3</v>
      </c>
      <c r="Z65">
        <v>9.0810935207315785E-2</v>
      </c>
      <c r="AA65">
        <v>1.0962708099829606</v>
      </c>
      <c r="AB65">
        <v>0.21643752162646529</v>
      </c>
      <c r="AC65">
        <v>0.15888119403952414</v>
      </c>
      <c r="AD65">
        <v>0.41384743628340231</v>
      </c>
      <c r="AE65">
        <v>5.3709839651254121E-3</v>
      </c>
      <c r="AF65">
        <v>1.2273672961965451E-2</v>
      </c>
      <c r="AG65">
        <v>0.2349486278439655</v>
      </c>
      <c r="AH65">
        <v>3.7056871099790049E-2</v>
      </c>
      <c r="AI65">
        <v>4.1082215075124176E-2</v>
      </c>
      <c r="AJ65">
        <v>0.11724863402620481</v>
      </c>
      <c r="AK65">
        <v>0.14502310021669898</v>
      </c>
      <c r="AL65">
        <v>0.80904189110498803</v>
      </c>
      <c r="AM65">
        <f t="shared" si="0"/>
        <v>42.920162237727787</v>
      </c>
      <c r="AN65">
        <f t="shared" si="1"/>
        <v>1.2061289887910811</v>
      </c>
    </row>
    <row r="66" spans="1:40" x14ac:dyDescent="0.35">
      <c r="A66" t="s">
        <v>116</v>
      </c>
      <c r="B66" t="s">
        <v>73</v>
      </c>
      <c r="C66">
        <v>1</v>
      </c>
      <c r="D66" t="s">
        <v>65</v>
      </c>
      <c r="E66">
        <v>12</v>
      </c>
      <c r="F66">
        <v>28</v>
      </c>
      <c r="G66" t="s">
        <v>7</v>
      </c>
      <c r="H66">
        <v>48</v>
      </c>
      <c r="I66">
        <v>55</v>
      </c>
      <c r="J66">
        <v>1.5215000000000001</v>
      </c>
      <c r="K66">
        <v>3.8200000000001566E-2</v>
      </c>
      <c r="L66">
        <v>8.6356967821876168E-3</v>
      </c>
      <c r="M66">
        <v>2.5088661532698522E-2</v>
      </c>
      <c r="N66">
        <v>5.9065330600576803E-2</v>
      </c>
      <c r="O66">
        <v>2.3244828091412391</v>
      </c>
      <c r="P66">
        <v>0.46821450674189025</v>
      </c>
      <c r="Q66">
        <v>1.1406520639997639</v>
      </c>
      <c r="R66">
        <v>1.8320056433421814E-2</v>
      </c>
      <c r="S66">
        <v>0.13719043822146537</v>
      </c>
      <c r="T66">
        <v>1.3068197262198009</v>
      </c>
      <c r="U66">
        <v>4.9303026662894007</v>
      </c>
      <c r="V66">
        <v>1.2880897584973841</v>
      </c>
      <c r="W66">
        <v>0.33407733236701942</v>
      </c>
      <c r="X66">
        <v>5.1139651450929823E-2</v>
      </c>
      <c r="Y66">
        <v>5.1136337973950619E-2</v>
      </c>
      <c r="Z66">
        <v>7.7078298721104166E-2</v>
      </c>
      <c r="AA66">
        <v>0.94815124036953646</v>
      </c>
      <c r="AB66">
        <v>0.23531937452994017</v>
      </c>
      <c r="AC66">
        <v>0.1174727782361628</v>
      </c>
      <c r="AD66">
        <v>0.46565879039090363</v>
      </c>
      <c r="AE66">
        <v>5.1128133173811629E-3</v>
      </c>
      <c r="AF66">
        <v>8.3977970243114004E-3</v>
      </c>
      <c r="AG66">
        <v>0.22558307744192871</v>
      </c>
      <c r="AH66">
        <v>2.784577679991735E-2</v>
      </c>
      <c r="AI66">
        <v>5.4688201213606964E-2</v>
      </c>
      <c r="AJ66">
        <v>0.15610093784437656</v>
      </c>
      <c r="AK66">
        <v>0.13908428754585522</v>
      </c>
      <c r="AL66">
        <v>0.81123600481939973</v>
      </c>
      <c r="AM66">
        <f t="shared" si="0"/>
        <v>40.35325762959561</v>
      </c>
      <c r="AN66">
        <f t="shared" si="1"/>
        <v>1.0131412694384592</v>
      </c>
    </row>
    <row r="67" spans="1:40" x14ac:dyDescent="0.35">
      <c r="A67" t="s">
        <v>117</v>
      </c>
      <c r="B67" t="s">
        <v>73</v>
      </c>
      <c r="C67">
        <v>1</v>
      </c>
      <c r="D67" t="s">
        <v>65</v>
      </c>
      <c r="E67">
        <v>12</v>
      </c>
      <c r="F67">
        <v>28</v>
      </c>
      <c r="G67" t="s">
        <v>7</v>
      </c>
      <c r="H67">
        <v>47</v>
      </c>
      <c r="I67">
        <v>56</v>
      </c>
      <c r="J67">
        <v>1.0889</v>
      </c>
      <c r="K67">
        <v>1.5499999999999403E-2</v>
      </c>
      <c r="L67">
        <v>9.2424189482519454E-4</v>
      </c>
      <c r="M67">
        <v>2.0113461136118865E-2</v>
      </c>
      <c r="N67">
        <v>1.8535594198636981E-2</v>
      </c>
      <c r="O67">
        <v>0.99697610959646032</v>
      </c>
      <c r="P67">
        <v>0.15305150784412483</v>
      </c>
      <c r="Q67">
        <v>0.57719986696910031</v>
      </c>
      <c r="R67">
        <v>8.4814748604538862E-3</v>
      </c>
      <c r="S67">
        <v>4.164601308509816E-2</v>
      </c>
      <c r="T67">
        <v>0.53294737928251612</v>
      </c>
      <c r="U67">
        <v>1.6263638667075322</v>
      </c>
      <c r="V67">
        <v>0.40182896769670878</v>
      </c>
      <c r="W67">
        <v>0.12254356648645243</v>
      </c>
      <c r="X67">
        <v>1.2170500296488607E-2</v>
      </c>
      <c r="Y67">
        <v>1.9295704027688602E-2</v>
      </c>
      <c r="Z67">
        <v>1.542899816383821E-2</v>
      </c>
      <c r="AA67">
        <v>0.17319466859161675</v>
      </c>
      <c r="AB67">
        <v>7.9620536853011653E-2</v>
      </c>
      <c r="AC67">
        <v>0.10678543656197076</v>
      </c>
      <c r="AD67">
        <v>0.35573318530987696</v>
      </c>
      <c r="AE67">
        <v>3.9623286013667413E-3</v>
      </c>
      <c r="AF67">
        <v>6.3742040076594404E-3</v>
      </c>
      <c r="AG67">
        <v>0.16885068329893105</v>
      </c>
      <c r="AH67">
        <v>1.5948941584966202E-2</v>
      </c>
      <c r="AI67">
        <v>4.0111344065506663E-2</v>
      </c>
      <c r="AJ67">
        <v>0.11776690123751578</v>
      </c>
      <c r="AK67">
        <v>0.11067032926649341</v>
      </c>
      <c r="AL67">
        <v>0.63424160797922891</v>
      </c>
      <c r="AM67">
        <f t="shared" ref="AM67:AM130" si="2">(SUM(L67:AL67)/1000)/K67*100</f>
        <v>41.037209158738278</v>
      </c>
      <c r="AN67">
        <f t="shared" ref="AN67:AN130" si="3">(SUM(L67:AL67)/1000)/J67*100</f>
        <v>0.58414614928865716</v>
      </c>
    </row>
    <row r="68" spans="1:40" x14ac:dyDescent="0.35">
      <c r="A68" t="s">
        <v>118</v>
      </c>
      <c r="B68" t="s">
        <v>73</v>
      </c>
      <c r="C68">
        <v>1</v>
      </c>
      <c r="D68" t="s">
        <v>65</v>
      </c>
      <c r="E68">
        <v>12</v>
      </c>
      <c r="F68">
        <v>36</v>
      </c>
      <c r="G68" t="s">
        <v>7</v>
      </c>
      <c r="H68">
        <v>44</v>
      </c>
      <c r="I68">
        <v>52</v>
      </c>
      <c r="J68">
        <v>1.0138</v>
      </c>
      <c r="K68">
        <v>2.0400000000000418E-2</v>
      </c>
      <c r="L68">
        <v>3.393240956327015E-3</v>
      </c>
      <c r="M68">
        <v>2.4685794769084741E-2</v>
      </c>
      <c r="N68">
        <v>3.4794870768570206E-2</v>
      </c>
      <c r="O68">
        <v>1.3633937975583326</v>
      </c>
      <c r="P68">
        <v>0.23222998315039375</v>
      </c>
      <c r="Q68">
        <v>0.57563974542975571</v>
      </c>
      <c r="R68">
        <v>9.7081466180850146E-3</v>
      </c>
      <c r="S68">
        <v>7.5698752439782122E-2</v>
      </c>
      <c r="T68">
        <v>0.70010212767114477</v>
      </c>
      <c r="U68">
        <v>2.3144087185306446</v>
      </c>
      <c r="V68">
        <v>0.68110845210141846</v>
      </c>
      <c r="W68">
        <v>0.19973974857663632</v>
      </c>
      <c r="X68">
        <v>2.7188168624656835E-2</v>
      </c>
      <c r="Y68">
        <v>2.7188168624656835E-2</v>
      </c>
      <c r="Z68">
        <v>3.7141124159314053E-2</v>
      </c>
      <c r="AA68">
        <v>0.36869988607652487</v>
      </c>
      <c r="AB68">
        <v>9.3696590248916647E-2</v>
      </c>
      <c r="AC68">
        <v>9.5523796275188991E-2</v>
      </c>
      <c r="AD68">
        <v>0.31585925854455055</v>
      </c>
      <c r="AE68">
        <v>3.2773461824159907E-3</v>
      </c>
      <c r="AF68">
        <v>6.8447012028881081E-3</v>
      </c>
      <c r="AG68">
        <v>0.15034682262825466</v>
      </c>
      <c r="AH68">
        <v>1.5142069662979485E-2</v>
      </c>
      <c r="AI68">
        <v>3.1727833774969565E-2</v>
      </c>
      <c r="AJ68">
        <v>0.10698807020366714</v>
      </c>
      <c r="AK68">
        <v>9.0078197383626699E-2</v>
      </c>
      <c r="AL68">
        <v>0.6315300401341235</v>
      </c>
      <c r="AM68">
        <f t="shared" si="2"/>
        <v>40.275173785768338</v>
      </c>
      <c r="AN68">
        <f t="shared" si="3"/>
        <v>0.81042961652169154</v>
      </c>
    </row>
    <row r="69" spans="1:40" x14ac:dyDescent="0.35">
      <c r="A69" t="s">
        <v>119</v>
      </c>
      <c r="B69" t="s">
        <v>73</v>
      </c>
      <c r="C69">
        <v>1</v>
      </c>
      <c r="D69" t="s">
        <v>65</v>
      </c>
      <c r="E69">
        <v>12</v>
      </c>
      <c r="F69">
        <v>36</v>
      </c>
      <c r="G69" t="s">
        <v>7</v>
      </c>
      <c r="H69">
        <v>38</v>
      </c>
      <c r="I69">
        <v>44</v>
      </c>
      <c r="J69">
        <v>0.77939999999999998</v>
      </c>
      <c r="K69">
        <v>1.8599999999999284E-2</v>
      </c>
      <c r="L69">
        <v>4.3859868745300479E-3</v>
      </c>
      <c r="M69">
        <v>1.8720352602604518E-2</v>
      </c>
      <c r="N69">
        <v>3.1570385747135783E-2</v>
      </c>
      <c r="O69">
        <v>1.2361559374617104</v>
      </c>
      <c r="P69">
        <v>0.23502731097899876</v>
      </c>
      <c r="Q69">
        <v>0.57616088988800518</v>
      </c>
      <c r="R69">
        <v>9.9074257491677323E-3</v>
      </c>
      <c r="S69">
        <v>7.2169354496021174E-2</v>
      </c>
      <c r="T69">
        <v>0.67805743237988603</v>
      </c>
      <c r="U69">
        <v>2.323052324265352</v>
      </c>
      <c r="V69">
        <v>0.65171349630997744</v>
      </c>
      <c r="W69">
        <v>0.17337962443526775</v>
      </c>
      <c r="X69">
        <v>2.5800401394785424E-2</v>
      </c>
      <c r="Y69">
        <v>1.3043020118695748E-3</v>
      </c>
      <c r="Z69">
        <v>3.6336330450236799E-2</v>
      </c>
      <c r="AA69">
        <v>0.37878769327804029</v>
      </c>
      <c r="AB69">
        <v>0.10359778156187954</v>
      </c>
      <c r="AC69">
        <v>7.8114313704947327E-2</v>
      </c>
      <c r="AD69">
        <v>0.27334522805578793</v>
      </c>
      <c r="AE69">
        <v>2.6351872998987081E-3</v>
      </c>
      <c r="AF69">
        <v>4.9330913556543668E-3</v>
      </c>
      <c r="AG69">
        <v>0.12848092402284036</v>
      </c>
      <c r="AH69">
        <v>1.7157937308105942E-2</v>
      </c>
      <c r="AI69">
        <v>2.8597244731916178E-2</v>
      </c>
      <c r="AJ69">
        <v>8.0631099419006522E-2</v>
      </c>
      <c r="AK69">
        <v>7.3837468665665415E-2</v>
      </c>
      <c r="AL69">
        <v>0.42195474784651155</v>
      </c>
      <c r="AM69">
        <f t="shared" si="2"/>
        <v>41.214055227398369</v>
      </c>
      <c r="AN69">
        <f t="shared" si="3"/>
        <v>0.98355328102332595</v>
      </c>
    </row>
    <row r="70" spans="1:40" x14ac:dyDescent="0.35">
      <c r="A70" t="s">
        <v>120</v>
      </c>
      <c r="B70" t="s">
        <v>73</v>
      </c>
      <c r="C70">
        <v>1</v>
      </c>
      <c r="D70" t="s">
        <v>65</v>
      </c>
      <c r="E70">
        <v>12</v>
      </c>
      <c r="F70">
        <v>36</v>
      </c>
      <c r="G70" t="s">
        <v>7</v>
      </c>
      <c r="H70">
        <v>44</v>
      </c>
      <c r="I70">
        <v>49</v>
      </c>
      <c r="J70">
        <v>1.0324</v>
      </c>
      <c r="K70">
        <v>2.6299999999999102E-2</v>
      </c>
      <c r="L70">
        <v>7.8297423488162682E-3</v>
      </c>
      <c r="M70">
        <v>2.9224025815006924E-2</v>
      </c>
      <c r="N70">
        <v>5.0183587314829296E-2</v>
      </c>
      <c r="O70">
        <v>1.8290293323918352</v>
      </c>
      <c r="P70">
        <v>0.30364068334397648</v>
      </c>
      <c r="Q70">
        <v>0.93208532075280426</v>
      </c>
      <c r="R70">
        <v>1.6325680444435577E-2</v>
      </c>
      <c r="S70">
        <v>0.10854240303627485</v>
      </c>
      <c r="T70">
        <v>0.9403771910445009</v>
      </c>
      <c r="U70">
        <v>3.4056667477082927</v>
      </c>
      <c r="V70">
        <v>0.98832426284682184</v>
      </c>
      <c r="W70">
        <v>0.27757302348054702</v>
      </c>
      <c r="X70">
        <v>4.3530850549176776E-2</v>
      </c>
      <c r="Y70">
        <v>1.8502705351231778E-3</v>
      </c>
      <c r="Z70">
        <v>5.8551938210138148E-2</v>
      </c>
      <c r="AA70">
        <v>0.60029036674802994</v>
      </c>
      <c r="AB70">
        <v>0.14364324351183425</v>
      </c>
      <c r="AC70">
        <v>0.11170913374034006</v>
      </c>
      <c r="AD70">
        <v>0.33723057513191934</v>
      </c>
      <c r="AE70">
        <v>3.6493490966742546E-3</v>
      </c>
      <c r="AF70">
        <v>8.2661035511628449E-3</v>
      </c>
      <c r="AG70">
        <v>0.1808935833900544</v>
      </c>
      <c r="AH70">
        <v>2.1109705270209125E-2</v>
      </c>
      <c r="AI70">
        <v>3.6029023697518162E-2</v>
      </c>
      <c r="AJ70">
        <v>9.2693586583149495E-2</v>
      </c>
      <c r="AK70">
        <v>0.10926158367100124</v>
      </c>
      <c r="AL70">
        <v>0.60044435247774064</v>
      </c>
      <c r="AM70">
        <f t="shared" si="2"/>
        <v>42.729869455104932</v>
      </c>
      <c r="AN70">
        <f t="shared" si="3"/>
        <v>1.0885272827094357</v>
      </c>
    </row>
    <row r="71" spans="1:40" x14ac:dyDescent="0.35">
      <c r="A71" t="s">
        <v>121</v>
      </c>
      <c r="B71" t="s">
        <v>73</v>
      </c>
      <c r="C71">
        <v>1</v>
      </c>
      <c r="D71" t="s">
        <v>65</v>
      </c>
      <c r="E71">
        <v>12</v>
      </c>
      <c r="F71">
        <v>42</v>
      </c>
      <c r="G71" t="s">
        <v>7</v>
      </c>
      <c r="H71">
        <v>40</v>
      </c>
      <c r="I71">
        <v>48</v>
      </c>
      <c r="J71">
        <v>0.96340000000000003</v>
      </c>
      <c r="K71">
        <v>1.7900000000000915E-2</v>
      </c>
      <c r="L71">
        <v>2.8148346051809514E-3</v>
      </c>
      <c r="M71">
        <v>6.0891952238440418E-3</v>
      </c>
      <c r="N71">
        <v>2.5794090733789445E-2</v>
      </c>
      <c r="O71">
        <v>1.2370302099720731</v>
      </c>
      <c r="P71">
        <v>0.22239994774504915</v>
      </c>
      <c r="Q71">
        <v>0.47362142490714787</v>
      </c>
      <c r="R71">
        <v>6.0698118440546565E-3</v>
      </c>
      <c r="S71">
        <v>5.9404132424955527E-2</v>
      </c>
      <c r="T71">
        <v>0.61885840146304427</v>
      </c>
      <c r="U71">
        <v>2.2774009088572811</v>
      </c>
      <c r="V71">
        <v>0.60090030532753291</v>
      </c>
      <c r="W71">
        <v>0.14948632275001583</v>
      </c>
      <c r="X71">
        <v>1.744697543227354E-2</v>
      </c>
      <c r="Y71">
        <v>1.744697543227354E-2</v>
      </c>
      <c r="Z71">
        <v>2.8401854877830278E-2</v>
      </c>
      <c r="AA71">
        <v>0.36855225056877766</v>
      </c>
      <c r="AB71">
        <v>9.3833055100086729E-2</v>
      </c>
      <c r="AC71">
        <v>8.7506118714397729E-2</v>
      </c>
      <c r="AD71">
        <v>0.30852514606410297</v>
      </c>
      <c r="AE71">
        <v>3.1539887297358299E-3</v>
      </c>
      <c r="AF71">
        <v>4.6739726916790077E-3</v>
      </c>
      <c r="AG71">
        <v>0.13746331375069618</v>
      </c>
      <c r="AH71">
        <v>1.1414939956129582E-2</v>
      </c>
      <c r="AI71">
        <v>2.9726605917142185E-2</v>
      </c>
      <c r="AJ71">
        <v>0.10913536095590716</v>
      </c>
      <c r="AK71">
        <v>8.2388309070899043E-2</v>
      </c>
      <c r="AL71">
        <v>0.664784089310691</v>
      </c>
      <c r="AM71">
        <f t="shared" si="2"/>
        <v>42.705712527520667</v>
      </c>
      <c r="AN71">
        <f t="shared" si="3"/>
        <v>0.79347337994878453</v>
      </c>
    </row>
    <row r="72" spans="1:40" x14ac:dyDescent="0.35">
      <c r="A72" t="s">
        <v>122</v>
      </c>
      <c r="B72" t="s">
        <v>73</v>
      </c>
      <c r="C72">
        <v>1</v>
      </c>
      <c r="D72" t="s">
        <v>65</v>
      </c>
      <c r="E72">
        <v>12</v>
      </c>
      <c r="F72">
        <v>42</v>
      </c>
      <c r="G72" t="s">
        <v>7</v>
      </c>
      <c r="H72">
        <v>40</v>
      </c>
      <c r="I72">
        <v>47</v>
      </c>
      <c r="J72">
        <v>0.97719999999999996</v>
      </c>
      <c r="K72">
        <v>2.6600000000000179E-2</v>
      </c>
      <c r="L72">
        <v>9.9595840969807139E-3</v>
      </c>
      <c r="M72">
        <v>2.9452139048965119E-2</v>
      </c>
      <c r="N72">
        <v>5.39024094309032E-2</v>
      </c>
      <c r="O72">
        <v>2.0549258885146706</v>
      </c>
      <c r="P72">
        <v>0.37088022691843803</v>
      </c>
      <c r="Q72">
        <v>1.0136802033566195</v>
      </c>
      <c r="R72">
        <v>1.6418794880104073E-2</v>
      </c>
      <c r="S72">
        <v>0.12043111750987155</v>
      </c>
      <c r="T72">
        <v>1.0642011897375863</v>
      </c>
      <c r="U72">
        <v>3.8421145523934128</v>
      </c>
      <c r="V72">
        <v>1.0833092876359358</v>
      </c>
      <c r="W72">
        <v>0.27593081350535248</v>
      </c>
      <c r="X72">
        <v>4.0249073931583119E-2</v>
      </c>
      <c r="Y72">
        <v>1.7362576615767658E-3</v>
      </c>
      <c r="Z72">
        <v>6.736216545867596E-2</v>
      </c>
      <c r="AA72">
        <v>0.766958157465782</v>
      </c>
      <c r="AB72">
        <v>0.1884370207187932</v>
      </c>
      <c r="AC72">
        <v>0.10551385154678139</v>
      </c>
      <c r="AD72">
        <v>0.33475678715471402</v>
      </c>
      <c r="AE72">
        <v>3.2478221680128845E-3</v>
      </c>
      <c r="AF72">
        <v>6.4282817006732738E-3</v>
      </c>
      <c r="AG72">
        <v>0.18127004915257167</v>
      </c>
      <c r="AH72">
        <v>2.4915884810900468E-2</v>
      </c>
      <c r="AI72">
        <v>3.6324873174819132E-2</v>
      </c>
      <c r="AJ72">
        <v>0.10873106348886427</v>
      </c>
      <c r="AK72">
        <v>0.10886889341515975</v>
      </c>
      <c r="AL72">
        <v>0.62919250593198983</v>
      </c>
      <c r="AM72">
        <f t="shared" si="2"/>
        <v>47.13984546920922</v>
      </c>
      <c r="AN72">
        <f t="shared" si="3"/>
        <v>1.283176309333784</v>
      </c>
    </row>
    <row r="73" spans="1:40" x14ac:dyDescent="0.35">
      <c r="A73" t="s">
        <v>123</v>
      </c>
      <c r="B73" t="s">
        <v>73</v>
      </c>
      <c r="C73">
        <v>1</v>
      </c>
      <c r="D73" t="s">
        <v>65</v>
      </c>
      <c r="E73">
        <v>12</v>
      </c>
      <c r="F73">
        <v>42</v>
      </c>
      <c r="G73" t="s">
        <v>7</v>
      </c>
      <c r="H73">
        <v>41</v>
      </c>
      <c r="I73">
        <v>49</v>
      </c>
      <c r="J73">
        <v>1.0253000000000001</v>
      </c>
      <c r="K73">
        <v>2.5999999999999801E-2</v>
      </c>
      <c r="L73">
        <v>6.3773682853719461E-3</v>
      </c>
      <c r="M73">
        <v>1.9469418422822758E-2</v>
      </c>
      <c r="N73">
        <v>4.6432419638017121E-2</v>
      </c>
      <c r="O73">
        <v>1.8311804743098419</v>
      </c>
      <c r="P73">
        <v>0.31892479689981607</v>
      </c>
      <c r="Q73">
        <v>0.88875363347363456</v>
      </c>
      <c r="R73">
        <v>1.4411362518073552E-2</v>
      </c>
      <c r="S73">
        <v>0.10684768429148446</v>
      </c>
      <c r="T73">
        <v>0.96480399662395999</v>
      </c>
      <c r="U73">
        <v>3.4991413583247573</v>
      </c>
      <c r="V73">
        <v>0.98397783001354866</v>
      </c>
      <c r="W73">
        <v>0.27322920113872634</v>
      </c>
      <c r="X73">
        <v>3.7884929978034297E-2</v>
      </c>
      <c r="Y73">
        <v>2.2046892030231639E-3</v>
      </c>
      <c r="Z73">
        <v>5.6582845799642491E-2</v>
      </c>
      <c r="AA73">
        <v>0.61364861276983684</v>
      </c>
      <c r="AB73">
        <v>0.15160432468036145</v>
      </c>
      <c r="AC73">
        <v>0.11007876234289241</v>
      </c>
      <c r="AD73">
        <v>0.34987452065753177</v>
      </c>
      <c r="AE73">
        <v>1.5678934051952683E-3</v>
      </c>
      <c r="AF73">
        <v>7.2655175046432031E-3</v>
      </c>
      <c r="AG73">
        <v>0.17631111763753871</v>
      </c>
      <c r="AH73">
        <v>2.1398008582046924E-2</v>
      </c>
      <c r="AI73">
        <v>3.3173407839871001E-2</v>
      </c>
      <c r="AJ73">
        <v>0.10820801230352765</v>
      </c>
      <c r="AK73">
        <v>0.10757197693455577</v>
      </c>
      <c r="AL73">
        <v>0.69526281206775775</v>
      </c>
      <c r="AM73">
        <f t="shared" si="2"/>
        <v>43.946872983256164</v>
      </c>
      <c r="AN73">
        <f t="shared" si="3"/>
        <v>1.1144237760310653</v>
      </c>
    </row>
    <row r="74" spans="1:40" x14ac:dyDescent="0.35">
      <c r="A74" t="s">
        <v>124</v>
      </c>
      <c r="B74" t="s">
        <v>73</v>
      </c>
      <c r="C74">
        <v>1</v>
      </c>
      <c r="D74" t="s">
        <v>69</v>
      </c>
      <c r="E74">
        <v>12</v>
      </c>
      <c r="F74">
        <v>29</v>
      </c>
      <c r="G74" t="s">
        <v>8</v>
      </c>
      <c r="H74">
        <v>40</v>
      </c>
      <c r="I74">
        <v>47</v>
      </c>
      <c r="J74">
        <v>1.0162</v>
      </c>
      <c r="K74">
        <v>2.7599999999999628E-2</v>
      </c>
      <c r="L74">
        <v>1.0224483624412526E-2</v>
      </c>
      <c r="M74">
        <v>1.8873690349042668E-2</v>
      </c>
      <c r="N74">
        <v>8.4568456265379802E-2</v>
      </c>
      <c r="O74">
        <v>1.6605872834562603</v>
      </c>
      <c r="P74">
        <v>0.52008591771155466</v>
      </c>
      <c r="Q74">
        <v>0.87473265380312037</v>
      </c>
      <c r="R74">
        <v>4.3867345007595197E-2</v>
      </c>
      <c r="S74">
        <v>8.6348941191981166E-2</v>
      </c>
      <c r="T74">
        <v>0.852997744600829</v>
      </c>
      <c r="U74">
        <v>3.4493241559411358</v>
      </c>
      <c r="V74">
        <v>1.1515951697293156</v>
      </c>
      <c r="W74">
        <v>0.15872247561078417</v>
      </c>
      <c r="X74">
        <v>2.70250320771807E-2</v>
      </c>
      <c r="Y74">
        <v>2.9469230694357473E-2</v>
      </c>
      <c r="Z74">
        <v>3.329681285411315E-2</v>
      </c>
      <c r="AA74">
        <v>0.55949549272853938</v>
      </c>
      <c r="AB74">
        <v>0.1197412555735662</v>
      </c>
      <c r="AC74">
        <v>6.7125734121484107E-2</v>
      </c>
      <c r="AD74">
        <v>0.29038681850365677</v>
      </c>
      <c r="AE74">
        <v>1.3134748830506593E-3</v>
      </c>
      <c r="AF74">
        <v>5.5791256188694209E-3</v>
      </c>
      <c r="AG74">
        <v>0.17232597522508064</v>
      </c>
      <c r="AH74">
        <v>1.7897919072388316E-2</v>
      </c>
      <c r="AI74">
        <v>3.7714001007392507E-2</v>
      </c>
      <c r="AJ74">
        <v>7.2412760870604428E-2</v>
      </c>
      <c r="AK74">
        <v>0.11943834019576617</v>
      </c>
      <c r="AL74">
        <v>0.70579477033573557</v>
      </c>
      <c r="AM74">
        <f t="shared" si="2"/>
        <v>40.474438627004858</v>
      </c>
      <c r="AN74">
        <f t="shared" si="3"/>
        <v>1.0992860717430812</v>
      </c>
    </row>
    <row r="75" spans="1:40" x14ac:dyDescent="0.35">
      <c r="A75" t="s">
        <v>125</v>
      </c>
      <c r="B75" t="s">
        <v>73</v>
      </c>
      <c r="C75">
        <v>1</v>
      </c>
      <c r="D75" t="s">
        <v>69</v>
      </c>
      <c r="E75">
        <v>12</v>
      </c>
      <c r="F75">
        <v>29</v>
      </c>
      <c r="G75" t="s">
        <v>8</v>
      </c>
      <c r="H75">
        <v>35</v>
      </c>
      <c r="I75">
        <v>41</v>
      </c>
      <c r="J75">
        <v>0.60109999999999997</v>
      </c>
      <c r="K75">
        <v>1.3800000000001589E-2</v>
      </c>
      <c r="L75">
        <v>2.3376785518184344E-3</v>
      </c>
      <c r="M75">
        <v>1.454397569132173E-2</v>
      </c>
      <c r="N75">
        <v>3.951575639998442E-2</v>
      </c>
      <c r="O75">
        <v>0.77920963472928972</v>
      </c>
      <c r="P75">
        <v>0.17735571908449863</v>
      </c>
      <c r="Q75">
        <v>0.29600300712393568</v>
      </c>
      <c r="R75">
        <v>2.1015482767828112E-2</v>
      </c>
      <c r="S75">
        <v>3.860779250937936E-2</v>
      </c>
      <c r="T75">
        <v>0.36612831132436829</v>
      </c>
      <c r="U75">
        <v>1.3279877832892562</v>
      </c>
      <c r="V75">
        <v>0.41328811448185904</v>
      </c>
      <c r="W75">
        <v>7.9943323080771095E-2</v>
      </c>
      <c r="X75">
        <v>1.1900477382934729E-2</v>
      </c>
      <c r="Y75">
        <v>9.8819222739114122E-4</v>
      </c>
      <c r="Z75">
        <v>1.1879239723529174E-2</v>
      </c>
      <c r="AA75">
        <v>0.14458508393366096</v>
      </c>
      <c r="AB75">
        <v>4.0369210721260471E-2</v>
      </c>
      <c r="AC75">
        <v>4.5162307986873741E-2</v>
      </c>
      <c r="AD75">
        <v>0.16982588345769872</v>
      </c>
      <c r="AE75">
        <v>9.6616751784622975E-4</v>
      </c>
      <c r="AF75">
        <v>4.3444659918226549E-3</v>
      </c>
      <c r="AG75">
        <v>0.12610887880254046</v>
      </c>
      <c r="AH75">
        <v>6.0416634512036483E-3</v>
      </c>
      <c r="AI75">
        <v>1.5969920128480433E-2</v>
      </c>
      <c r="AJ75">
        <v>3.9217591340738961E-2</v>
      </c>
      <c r="AK75">
        <v>6.9382862031877213E-2</v>
      </c>
      <c r="AL75">
        <v>0.48276369609789532</v>
      </c>
      <c r="AM75">
        <f t="shared" si="2"/>
        <v>34.24233492630087</v>
      </c>
      <c r="AN75">
        <f t="shared" si="3"/>
        <v>0.78613246046083263</v>
      </c>
    </row>
    <row r="76" spans="1:40" x14ac:dyDescent="0.35">
      <c r="A76" t="s">
        <v>126</v>
      </c>
      <c r="B76" t="s">
        <v>73</v>
      </c>
      <c r="C76">
        <v>1</v>
      </c>
      <c r="D76" t="s">
        <v>69</v>
      </c>
      <c r="E76">
        <v>12</v>
      </c>
      <c r="F76">
        <v>29</v>
      </c>
      <c r="G76" t="s">
        <v>8</v>
      </c>
      <c r="H76">
        <v>40</v>
      </c>
      <c r="I76">
        <v>47</v>
      </c>
      <c r="J76">
        <v>1.0227999999999999</v>
      </c>
      <c r="K76">
        <v>2.0699999999999719E-2</v>
      </c>
      <c r="L76">
        <v>4.9998831435489749E-3</v>
      </c>
      <c r="M76">
        <v>2.1275415371693598E-2</v>
      </c>
      <c r="N76">
        <v>6.6705332486165905E-2</v>
      </c>
      <c r="O76">
        <v>1.1929015088649981</v>
      </c>
      <c r="P76">
        <v>0.32508762978805367</v>
      </c>
      <c r="Q76">
        <v>0.59807435071181192</v>
      </c>
      <c r="R76">
        <v>1.9496564559786688E-3</v>
      </c>
      <c r="S76">
        <v>6.6021987196660581E-2</v>
      </c>
      <c r="T76">
        <v>0.62008363575169301</v>
      </c>
      <c r="U76">
        <v>2.3211825828220793</v>
      </c>
      <c r="V76">
        <v>0.77715674477307228</v>
      </c>
      <c r="W76">
        <v>0.13523843373533626</v>
      </c>
      <c r="X76">
        <v>2.0737953787206019E-2</v>
      </c>
      <c r="Y76">
        <v>2.0705133579194842E-2</v>
      </c>
      <c r="Z76">
        <v>2.1054230373652266E-2</v>
      </c>
      <c r="AA76">
        <v>0.24695958200308024</v>
      </c>
      <c r="AB76">
        <v>7.6236211566289763E-2</v>
      </c>
      <c r="AC76">
        <v>7.6209571642180077E-2</v>
      </c>
      <c r="AD76">
        <v>0.29523342257373236</v>
      </c>
      <c r="AE76">
        <v>2.9298561762036873E-3</v>
      </c>
      <c r="AF76">
        <v>6.8328616404559608E-3</v>
      </c>
      <c r="AG76">
        <v>0.18145624780127195</v>
      </c>
      <c r="AH76">
        <v>1.0158724527733996E-2</v>
      </c>
      <c r="AI76">
        <v>3.1802636538117317E-2</v>
      </c>
      <c r="AJ76">
        <v>7.7814046970938563E-2</v>
      </c>
      <c r="AK76">
        <v>0.11901147363012864</v>
      </c>
      <c r="AL76">
        <v>0.71050328651098937</v>
      </c>
      <c r="AM76">
        <f t="shared" si="2"/>
        <v>38.784166185615348</v>
      </c>
      <c r="AN76">
        <f t="shared" si="3"/>
        <v>0.7849357059466433</v>
      </c>
    </row>
    <row r="77" spans="1:40" x14ac:dyDescent="0.35">
      <c r="A77" t="s">
        <v>127</v>
      </c>
      <c r="B77" t="s">
        <v>73</v>
      </c>
      <c r="C77">
        <v>1</v>
      </c>
      <c r="D77" t="s">
        <v>69</v>
      </c>
      <c r="E77">
        <v>12</v>
      </c>
      <c r="F77">
        <v>32</v>
      </c>
      <c r="G77" t="s">
        <v>8</v>
      </c>
      <c r="H77">
        <v>40</v>
      </c>
      <c r="I77">
        <v>47</v>
      </c>
      <c r="J77">
        <v>0.71660000000000001</v>
      </c>
      <c r="K77">
        <v>9.1999999999998749E-3</v>
      </c>
      <c r="L77">
        <v>1.4512813191501733E-3</v>
      </c>
      <c r="M77">
        <v>1.3802030121926497E-2</v>
      </c>
      <c r="N77">
        <v>3.5439201501486016E-2</v>
      </c>
      <c r="O77">
        <v>0.6919173003501673</v>
      </c>
      <c r="P77">
        <v>0.17518865376554185</v>
      </c>
      <c r="Q77">
        <v>0.26754677300922947</v>
      </c>
      <c r="R77">
        <v>1.6118805157489067E-2</v>
      </c>
      <c r="S77">
        <v>3.2340528765231774E-2</v>
      </c>
      <c r="T77">
        <v>0.32369764668134704</v>
      </c>
      <c r="U77">
        <v>1.118714624567998</v>
      </c>
      <c r="V77">
        <v>0.36709612725355151</v>
      </c>
      <c r="W77">
        <v>6.2272311742541955E-2</v>
      </c>
      <c r="X77">
        <v>7.7697476815453926E-3</v>
      </c>
      <c r="Y77">
        <v>9.9227713907191085E-3</v>
      </c>
      <c r="Z77">
        <v>7.7300130877121735E-3</v>
      </c>
      <c r="AA77">
        <v>8.8029752647696954E-2</v>
      </c>
      <c r="AB77">
        <v>3.4271692583799897E-2</v>
      </c>
      <c r="AC77">
        <v>4.1257393385251265E-2</v>
      </c>
      <c r="AD77">
        <v>0.19020981347098759</v>
      </c>
      <c r="AE77">
        <v>1.3364566168083672E-3</v>
      </c>
      <c r="AF77">
        <v>3.6144455226871154E-3</v>
      </c>
      <c r="AG77">
        <v>0.10550636495539996</v>
      </c>
      <c r="AH77">
        <v>2.9405516544969102E-3</v>
      </c>
      <c r="AI77">
        <v>1.754324695922015E-2</v>
      </c>
      <c r="AJ77">
        <v>4.2304406995787483E-2</v>
      </c>
      <c r="AK77">
        <v>7.1278009111192142E-2</v>
      </c>
      <c r="AL77">
        <v>0.4915574574242389</v>
      </c>
      <c r="AM77">
        <f t="shared" si="2"/>
        <v>45.878884866557193</v>
      </c>
      <c r="AN77">
        <f t="shared" si="3"/>
        <v>0.5890116393696907</v>
      </c>
    </row>
    <row r="78" spans="1:40" x14ac:dyDescent="0.35">
      <c r="A78" t="s">
        <v>128</v>
      </c>
      <c r="B78" t="s">
        <v>73</v>
      </c>
      <c r="C78">
        <v>1</v>
      </c>
      <c r="D78" t="s">
        <v>69</v>
      </c>
      <c r="E78">
        <v>12</v>
      </c>
      <c r="F78">
        <v>32</v>
      </c>
      <c r="G78" t="s">
        <v>8</v>
      </c>
      <c r="H78">
        <v>36</v>
      </c>
      <c r="I78">
        <v>44</v>
      </c>
      <c r="J78">
        <v>0.62039999999999995</v>
      </c>
      <c r="K78">
        <v>1.0600000000000163E-2</v>
      </c>
      <c r="L78">
        <v>3.0927441836305176E-3</v>
      </c>
      <c r="M78">
        <v>1.3093726039802913E-2</v>
      </c>
      <c r="N78">
        <v>3.7666622130868875E-2</v>
      </c>
      <c r="O78">
        <v>0.71440812982552448</v>
      </c>
      <c r="P78">
        <v>0.18989298654272727</v>
      </c>
      <c r="Q78">
        <v>0.33156129215496116</v>
      </c>
      <c r="R78">
        <v>2.3663438966456243E-2</v>
      </c>
      <c r="S78">
        <v>3.7329063484708505E-2</v>
      </c>
      <c r="T78">
        <v>0.34583215756073477</v>
      </c>
      <c r="U78">
        <v>1.3496406956474152</v>
      </c>
      <c r="V78">
        <v>0.45404458352383287</v>
      </c>
      <c r="W78">
        <v>7.4450371603244594E-2</v>
      </c>
      <c r="X78">
        <v>1.2537737137255978E-2</v>
      </c>
      <c r="Y78">
        <v>5.1668644718315989E-4</v>
      </c>
      <c r="Z78">
        <v>1.1662166442170918E-2</v>
      </c>
      <c r="AA78">
        <v>0.14276645320848858</v>
      </c>
      <c r="AB78">
        <v>3.9818223020862159E-2</v>
      </c>
      <c r="AC78">
        <v>4.4958986600312827E-2</v>
      </c>
      <c r="AD78">
        <v>0.15641266224125505</v>
      </c>
      <c r="AE78">
        <v>1.9169225560893653E-3</v>
      </c>
      <c r="AF78">
        <v>3.4762786027064375E-3</v>
      </c>
      <c r="AG78">
        <v>0.10214020265406624</v>
      </c>
      <c r="AH78">
        <v>6.0871657374629426E-3</v>
      </c>
      <c r="AI78">
        <v>1.6417969060025545E-2</v>
      </c>
      <c r="AJ78">
        <v>3.546315795772869E-2</v>
      </c>
      <c r="AK78">
        <v>6.5762086920484991E-2</v>
      </c>
      <c r="AL78">
        <v>0.40567117949094472</v>
      </c>
      <c r="AM78">
        <f t="shared" si="2"/>
        <v>43.587581978687503</v>
      </c>
      <c r="AN78">
        <f t="shared" si="3"/>
        <v>0.74472657797242847</v>
      </c>
    </row>
    <row r="79" spans="1:40" x14ac:dyDescent="0.35">
      <c r="A79" t="s">
        <v>129</v>
      </c>
      <c r="B79" t="s">
        <v>73</v>
      </c>
      <c r="C79">
        <v>1</v>
      </c>
      <c r="D79" t="s">
        <v>69</v>
      </c>
      <c r="E79">
        <v>12</v>
      </c>
      <c r="F79">
        <v>32</v>
      </c>
      <c r="G79" t="s">
        <v>8</v>
      </c>
      <c r="H79">
        <v>38</v>
      </c>
      <c r="I79">
        <v>44</v>
      </c>
      <c r="J79">
        <v>0.81200000000000006</v>
      </c>
      <c r="K79">
        <v>1.6199999999999548E-2</v>
      </c>
      <c r="L79">
        <v>3.9257785038589663E-3</v>
      </c>
      <c r="M79">
        <v>1.6146616197191613E-2</v>
      </c>
      <c r="N79">
        <v>6.9713633978388673E-2</v>
      </c>
      <c r="O79">
        <v>1.0968561885965564</v>
      </c>
      <c r="P79">
        <v>0.30751706488473535</v>
      </c>
      <c r="Q79">
        <v>0.54697590793063289</v>
      </c>
      <c r="R79">
        <v>1.7533847355517193E-3</v>
      </c>
      <c r="S79">
        <v>6.6572361709573438E-2</v>
      </c>
      <c r="T79">
        <v>0.55721069324593631</v>
      </c>
      <c r="U79">
        <v>2.02849701884867</v>
      </c>
      <c r="V79">
        <v>0.73366168777487839</v>
      </c>
      <c r="W79">
        <v>0.11547697557628857</v>
      </c>
      <c r="X79">
        <v>1.746275158592276E-2</v>
      </c>
      <c r="Y79">
        <v>1.1995424721222016E-3</v>
      </c>
      <c r="Z79">
        <v>1.9575605238148372E-2</v>
      </c>
      <c r="AA79">
        <v>0.21412973147010367</v>
      </c>
      <c r="AB79">
        <v>5.8509313787639211E-2</v>
      </c>
      <c r="AC79">
        <v>6.7341805867093749E-2</v>
      </c>
      <c r="AD79">
        <v>0.2449615968842227</v>
      </c>
      <c r="AE79">
        <v>2.0719684028014081E-3</v>
      </c>
      <c r="AF79">
        <v>4.4971356143168502E-3</v>
      </c>
      <c r="AG79">
        <v>0.15068224992892149</v>
      </c>
      <c r="AH79">
        <v>9.6168428572761047E-3</v>
      </c>
      <c r="AI79">
        <v>2.3401873846809692E-2</v>
      </c>
      <c r="AJ79">
        <v>5.2449746725639068E-2</v>
      </c>
      <c r="AK79">
        <v>9.3463801094902474E-2</v>
      </c>
      <c r="AL79">
        <v>0.56002091072368099</v>
      </c>
      <c r="AM79">
        <f t="shared" si="2"/>
        <v>43.603038200506539</v>
      </c>
      <c r="AN79">
        <f t="shared" si="3"/>
        <v>0.86991283109382533</v>
      </c>
    </row>
    <row r="80" spans="1:40" x14ac:dyDescent="0.35">
      <c r="A80" t="s">
        <v>130</v>
      </c>
      <c r="B80" t="s">
        <v>73</v>
      </c>
      <c r="C80">
        <v>1</v>
      </c>
      <c r="D80" t="s">
        <v>69</v>
      </c>
      <c r="E80">
        <v>12</v>
      </c>
      <c r="F80">
        <v>38</v>
      </c>
      <c r="G80" t="s">
        <v>8</v>
      </c>
      <c r="H80">
        <v>35</v>
      </c>
      <c r="I80">
        <v>43</v>
      </c>
      <c r="J80">
        <v>0.72470000000000001</v>
      </c>
      <c r="K80">
        <v>1.419999999999888E-2</v>
      </c>
      <c r="L80">
        <v>4.2856137108014817E-3</v>
      </c>
      <c r="M80">
        <v>0.16156670418740965</v>
      </c>
      <c r="N80">
        <v>6.1947596083402875E-2</v>
      </c>
      <c r="O80">
        <v>1.0427985900563987</v>
      </c>
      <c r="P80">
        <v>0.29977123291005298</v>
      </c>
      <c r="Q80">
        <v>0.51572202438211245</v>
      </c>
      <c r="R80">
        <v>3.2427886095714321E-2</v>
      </c>
      <c r="S80">
        <v>5.7527760367739218E-2</v>
      </c>
      <c r="T80">
        <v>0.47950738547720201</v>
      </c>
      <c r="U80">
        <v>1.8817732985927516</v>
      </c>
      <c r="V80">
        <v>0.65828015172297316</v>
      </c>
      <c r="W80">
        <v>0.10488313603499018</v>
      </c>
      <c r="X80">
        <v>1.7794600312612967E-2</v>
      </c>
      <c r="Y80">
        <v>1.2099255351279586E-3</v>
      </c>
      <c r="Z80">
        <v>1.769690263571377E-2</v>
      </c>
      <c r="AA80">
        <v>0.20604970934900288</v>
      </c>
      <c r="AB80">
        <v>5.0647710605792567E-2</v>
      </c>
      <c r="AC80">
        <v>5.3719674476110299E-2</v>
      </c>
      <c r="AD80">
        <v>0.21832956084069333</v>
      </c>
      <c r="AE80">
        <v>1.9186869798121413E-3</v>
      </c>
      <c r="AF80">
        <v>4.3083842444242007E-3</v>
      </c>
      <c r="AG80">
        <v>0.13980575134021905</v>
      </c>
      <c r="AH80">
        <v>9.5739149652880034E-3</v>
      </c>
      <c r="AI80">
        <v>2.0083332965803197E-2</v>
      </c>
      <c r="AJ80">
        <v>4.5194445492585944E-2</v>
      </c>
      <c r="AK80">
        <v>8.6266624000501807E-2</v>
      </c>
      <c r="AL80">
        <v>0.56784619337606157</v>
      </c>
      <c r="AM80">
        <f t="shared" si="2"/>
        <v>47.471385892548113</v>
      </c>
      <c r="AN80">
        <f t="shared" si="3"/>
        <v>0.93016928339192761</v>
      </c>
    </row>
    <row r="81" spans="1:40" x14ac:dyDescent="0.35">
      <c r="A81" t="s">
        <v>131</v>
      </c>
      <c r="B81" t="s">
        <v>73</v>
      </c>
      <c r="C81">
        <v>1</v>
      </c>
      <c r="D81" t="s">
        <v>69</v>
      </c>
      <c r="E81">
        <v>12</v>
      </c>
      <c r="F81">
        <v>38</v>
      </c>
      <c r="G81" t="s">
        <v>8</v>
      </c>
      <c r="H81">
        <v>38</v>
      </c>
      <c r="I81">
        <v>46</v>
      </c>
      <c r="J81">
        <v>0.85529999999999995</v>
      </c>
      <c r="K81">
        <v>1.7799999999999372E-2</v>
      </c>
      <c r="L81">
        <v>3.9272081150319152E-3</v>
      </c>
      <c r="M81">
        <v>0.15346739443947496</v>
      </c>
      <c r="N81">
        <v>6.0490548081077289E-2</v>
      </c>
      <c r="O81">
        <v>1.0993035238564657</v>
      </c>
      <c r="P81">
        <v>0.272566056335457</v>
      </c>
      <c r="Q81">
        <v>0.50106709018662865</v>
      </c>
      <c r="R81">
        <v>1.6180799211376624E-3</v>
      </c>
      <c r="S81">
        <v>5.6763046666301567E-2</v>
      </c>
      <c r="T81">
        <v>0.53168341639436034</v>
      </c>
      <c r="U81">
        <v>1.9004738020044174</v>
      </c>
      <c r="V81">
        <v>0.67086159781424759</v>
      </c>
      <c r="W81">
        <v>0.1094862386437625</v>
      </c>
      <c r="X81">
        <v>1.5546726543626814E-2</v>
      </c>
      <c r="Y81">
        <v>1.5546726543626814E-2</v>
      </c>
      <c r="Z81">
        <v>1.7727124141246341E-2</v>
      </c>
      <c r="AA81">
        <v>0.212017344846261</v>
      </c>
      <c r="AB81">
        <v>6.0863849285310065E-2</v>
      </c>
      <c r="AC81">
        <v>7.0119912131777984E-2</v>
      </c>
      <c r="AD81">
        <v>0.24830515830275587</v>
      </c>
      <c r="AE81">
        <v>2.3294766242538197E-3</v>
      </c>
      <c r="AF81">
        <v>5.4867351844076493E-3</v>
      </c>
      <c r="AG81">
        <v>0.17266472675051872</v>
      </c>
      <c r="AH81">
        <v>1.2356968911444166E-2</v>
      </c>
      <c r="AI81">
        <v>2.4841091172407914E-2</v>
      </c>
      <c r="AJ81">
        <v>5.3394242319136892E-2</v>
      </c>
      <c r="AK81">
        <v>9.8732336601008899E-2</v>
      </c>
      <c r="AL81">
        <v>0.58394260574307666</v>
      </c>
      <c r="AM81">
        <f t="shared" si="2"/>
        <v>39.076309143592518</v>
      </c>
      <c r="AN81">
        <f t="shared" si="3"/>
        <v>0.81323313779483497</v>
      </c>
    </row>
    <row r="82" spans="1:40" x14ac:dyDescent="0.35">
      <c r="A82" t="s">
        <v>132</v>
      </c>
      <c r="B82" t="s">
        <v>73</v>
      </c>
      <c r="C82">
        <v>1</v>
      </c>
      <c r="D82" t="s">
        <v>69</v>
      </c>
      <c r="E82">
        <v>12</v>
      </c>
      <c r="F82">
        <v>38</v>
      </c>
      <c r="G82" t="s">
        <v>8</v>
      </c>
      <c r="H82">
        <v>37</v>
      </c>
      <c r="I82">
        <v>41</v>
      </c>
      <c r="J82">
        <v>0.69720000000000004</v>
      </c>
      <c r="K82">
        <v>1.2599999999999056E-2</v>
      </c>
      <c r="L82">
        <v>3.0003389461752687E-3</v>
      </c>
      <c r="M82">
        <v>0.11724471795754683</v>
      </c>
      <c r="N82">
        <v>4.7214603843043379E-2</v>
      </c>
      <c r="O82">
        <v>0.83680506422065548</v>
      </c>
      <c r="P82">
        <v>0.20810591287206823</v>
      </c>
      <c r="Q82">
        <v>0.37618049520259284</v>
      </c>
      <c r="R82">
        <v>1.0392853445211378E-3</v>
      </c>
      <c r="S82">
        <v>4.6897388014899982E-2</v>
      </c>
      <c r="T82">
        <v>0.43154900239204402</v>
      </c>
      <c r="U82">
        <v>1.5153073840270661</v>
      </c>
      <c r="V82">
        <v>0.52411925761470857</v>
      </c>
      <c r="W82">
        <v>9.4258624461153656E-2</v>
      </c>
      <c r="X82">
        <v>1.4407078424376621E-2</v>
      </c>
      <c r="Y82">
        <v>1.6605969100653629E-2</v>
      </c>
      <c r="Z82">
        <v>1.4697375391352923E-2</v>
      </c>
      <c r="AA82">
        <v>0.17883312759925984</v>
      </c>
      <c r="AB82">
        <v>4.3648795599447246E-2</v>
      </c>
      <c r="AC82">
        <v>5.2430162719096292E-2</v>
      </c>
      <c r="AD82">
        <v>0.21296274780764285</v>
      </c>
      <c r="AE82">
        <v>2.0553050456527558E-3</v>
      </c>
      <c r="AF82">
        <v>4.4374313627433982E-3</v>
      </c>
      <c r="AG82">
        <v>0.12313996429976909</v>
      </c>
      <c r="AH82">
        <v>6.9149428810739823E-3</v>
      </c>
      <c r="AI82">
        <v>2.528299906084484E-2</v>
      </c>
      <c r="AJ82">
        <v>5.3323720891537356E-2</v>
      </c>
      <c r="AK82">
        <v>9.4997952282204784E-2</v>
      </c>
      <c r="AL82">
        <v>0.47367634301352934</v>
      </c>
      <c r="AM82">
        <f t="shared" si="2"/>
        <v>43.802666590286286</v>
      </c>
      <c r="AN82">
        <f t="shared" si="3"/>
        <v>0.79161445645089756</v>
      </c>
    </row>
    <row r="83" spans="1:40" x14ac:dyDescent="0.35">
      <c r="A83" t="s">
        <v>133</v>
      </c>
      <c r="B83" t="s">
        <v>73</v>
      </c>
      <c r="C83">
        <v>1</v>
      </c>
      <c r="D83" t="s">
        <v>134</v>
      </c>
      <c r="E83">
        <v>0</v>
      </c>
      <c r="F83" t="s">
        <v>6</v>
      </c>
      <c r="G83" t="s">
        <v>313</v>
      </c>
      <c r="H83">
        <v>25</v>
      </c>
      <c r="I83">
        <v>28</v>
      </c>
      <c r="J83">
        <v>0.14249999999999999</v>
      </c>
      <c r="K83">
        <v>5.0000000000007816E-3</v>
      </c>
      <c r="L83">
        <v>1.0375868733325556E-3</v>
      </c>
      <c r="M83">
        <v>2.4600858108472887E-2</v>
      </c>
      <c r="N83">
        <v>4.6839562741079581E-3</v>
      </c>
      <c r="O83">
        <v>0.27255654128885282</v>
      </c>
      <c r="P83">
        <v>1.1486596840098916E-2</v>
      </c>
      <c r="Q83">
        <v>4.7214499047832918E-2</v>
      </c>
      <c r="R83">
        <v>1.6962806758857459E-3</v>
      </c>
      <c r="S83">
        <v>5.8874361960973409E-3</v>
      </c>
      <c r="T83">
        <v>8.947472762209864E-2</v>
      </c>
      <c r="U83">
        <v>0.20384663409396772</v>
      </c>
      <c r="V83">
        <v>5.926583906585306E-2</v>
      </c>
      <c r="W83">
        <v>4.1310244872241421E-2</v>
      </c>
      <c r="X83">
        <v>5.6126385880131656E-3</v>
      </c>
      <c r="Y83">
        <v>5.7387976875890312E-3</v>
      </c>
      <c r="Z83">
        <v>2.7422869332666745E-3</v>
      </c>
      <c r="AA83">
        <v>4.1578584154454742E-2</v>
      </c>
      <c r="AB83">
        <v>0</v>
      </c>
      <c r="AC83">
        <v>7.3663443137827519E-3</v>
      </c>
      <c r="AD83">
        <v>5.1505128031430841E-2</v>
      </c>
      <c r="AE83">
        <v>1.3545368379321639E-3</v>
      </c>
      <c r="AF83">
        <v>5.1726062370208029E-3</v>
      </c>
      <c r="AG83">
        <v>9.85443237231685E-2</v>
      </c>
      <c r="AH83">
        <v>1.0530535936584553E-3</v>
      </c>
      <c r="AI83">
        <v>3.4810237853200744E-3</v>
      </c>
      <c r="AJ83">
        <v>9.1116375850381608E-3</v>
      </c>
      <c r="AK83">
        <v>2.623291586142833E-2</v>
      </c>
      <c r="AL83">
        <v>0.33143343252980784</v>
      </c>
      <c r="AM83">
        <f t="shared" si="2"/>
        <v>27.079770216410836</v>
      </c>
      <c r="AN83">
        <f t="shared" si="3"/>
        <v>0.95016737601456391</v>
      </c>
    </row>
    <row r="84" spans="1:40" x14ac:dyDescent="0.35">
      <c r="A84" t="s">
        <v>135</v>
      </c>
      <c r="B84" t="s">
        <v>73</v>
      </c>
      <c r="C84">
        <v>1</v>
      </c>
      <c r="D84" t="s">
        <v>134</v>
      </c>
      <c r="E84">
        <v>0</v>
      </c>
      <c r="F84" t="s">
        <v>6</v>
      </c>
      <c r="G84" t="s">
        <v>313</v>
      </c>
      <c r="H84">
        <v>23</v>
      </c>
      <c r="I84">
        <v>28</v>
      </c>
      <c r="J84">
        <v>0.1308</v>
      </c>
      <c r="K84">
        <v>5.3000000000000833E-3</v>
      </c>
      <c r="L84">
        <v>9.8941013236457246E-4</v>
      </c>
      <c r="M84">
        <v>3.6313863183914621E-2</v>
      </c>
      <c r="N84">
        <v>4.5878721142015074E-3</v>
      </c>
      <c r="O84">
        <v>0.27940865481799854</v>
      </c>
      <c r="P84">
        <v>7.5815721438585023E-3</v>
      </c>
      <c r="Q84">
        <v>7.377712535716896E-2</v>
      </c>
      <c r="R84">
        <v>3.1912242303383295E-3</v>
      </c>
      <c r="S84">
        <v>5.5341758752917971E-3</v>
      </c>
      <c r="T84">
        <v>8.6970875035154549E-2</v>
      </c>
      <c r="U84">
        <v>0.24060626598416573</v>
      </c>
      <c r="V84">
        <v>7.1036972537797782E-2</v>
      </c>
      <c r="W84">
        <v>6.5479028884317309E-2</v>
      </c>
      <c r="X84">
        <v>8.1483478336518075E-3</v>
      </c>
      <c r="Y84">
        <v>1.2600995253893006E-4</v>
      </c>
      <c r="Z84">
        <v>2.2252327778291962E-3</v>
      </c>
      <c r="AA84">
        <v>6.6034524334217512E-2</v>
      </c>
      <c r="AB84">
        <v>8.6889120569236841E-4</v>
      </c>
      <c r="AC84">
        <v>5.0657077307177398E-3</v>
      </c>
      <c r="AD84">
        <v>4.4745497042115889E-2</v>
      </c>
      <c r="AE84">
        <v>1.8294279967444884E-3</v>
      </c>
      <c r="AF84">
        <v>8.6710353131085674E-3</v>
      </c>
      <c r="AG84">
        <v>0.10540992899055049</v>
      </c>
      <c r="AH84">
        <v>1.1915453401975685E-3</v>
      </c>
      <c r="AI84">
        <v>3.9658516131715798E-3</v>
      </c>
      <c r="AJ84">
        <v>8.036461817845569E-3</v>
      </c>
      <c r="AK84">
        <v>2.9371991917088714E-2</v>
      </c>
      <c r="AL84">
        <v>0.30828544347649189</v>
      </c>
      <c r="AM84">
        <f t="shared" si="2"/>
        <v>27.725527125254935</v>
      </c>
      <c r="AN84">
        <f t="shared" si="3"/>
        <v>1.1234349676135587</v>
      </c>
    </row>
    <row r="85" spans="1:40" x14ac:dyDescent="0.35">
      <c r="A85" t="s">
        <v>136</v>
      </c>
      <c r="B85" t="s">
        <v>73</v>
      </c>
      <c r="C85">
        <v>1</v>
      </c>
      <c r="D85" t="s">
        <v>134</v>
      </c>
      <c r="E85">
        <v>0</v>
      </c>
      <c r="F85" t="s">
        <v>6</v>
      </c>
      <c r="G85" t="s">
        <v>313</v>
      </c>
      <c r="H85">
        <v>26</v>
      </c>
      <c r="I85">
        <v>31</v>
      </c>
      <c r="J85">
        <v>0.2029</v>
      </c>
      <c r="K85">
        <v>7.5999999999982757E-3</v>
      </c>
      <c r="L85">
        <v>6.1976779060203839E-4</v>
      </c>
      <c r="M85">
        <v>4.370974653105409E-2</v>
      </c>
      <c r="N85">
        <v>5.6242943156852862E-3</v>
      </c>
      <c r="O85">
        <v>0.36587401238587369</v>
      </c>
      <c r="P85">
        <v>1.0046053305670186E-2</v>
      </c>
      <c r="Q85">
        <v>8.7251687494888888E-2</v>
      </c>
      <c r="R85">
        <v>3.88691835602033E-3</v>
      </c>
      <c r="S85">
        <v>6.8333296198787516E-3</v>
      </c>
      <c r="T85">
        <v>0.11954762901001816</v>
      </c>
      <c r="U85">
        <v>0.30994608972864113</v>
      </c>
      <c r="V85">
        <v>9.3084010600713224E-2</v>
      </c>
      <c r="W85">
        <v>8.1051214057679885E-2</v>
      </c>
      <c r="X85">
        <v>8.9225199861441892E-3</v>
      </c>
      <c r="Y85">
        <v>3.5472785123116498E-4</v>
      </c>
      <c r="Z85">
        <v>2.6756181311274607E-3</v>
      </c>
      <c r="AA85">
        <v>9.3252513822464647E-2</v>
      </c>
      <c r="AB85">
        <v>1.1125870216555651E-3</v>
      </c>
      <c r="AC85">
        <v>6.9563575574790567E-3</v>
      </c>
      <c r="AD85">
        <v>5.6919402747781164E-2</v>
      </c>
      <c r="AE85">
        <v>1.7599711229980416E-3</v>
      </c>
      <c r="AF85">
        <v>1.0252121784835139E-2</v>
      </c>
      <c r="AG85">
        <v>0.14934042045526036</v>
      </c>
      <c r="AH85">
        <v>1.4760159022981013E-3</v>
      </c>
      <c r="AI85">
        <v>5.4775019064515528E-3</v>
      </c>
      <c r="AJ85">
        <v>9.2522452746003851E-3</v>
      </c>
      <c r="AK85">
        <v>4.118439434264079E-2</v>
      </c>
      <c r="AL85">
        <v>0.46806057714650307</v>
      </c>
      <c r="AM85">
        <f t="shared" si="2"/>
        <v>26.111470108561136</v>
      </c>
      <c r="AN85">
        <f t="shared" si="3"/>
        <v>0.9780540799655969</v>
      </c>
    </row>
    <row r="86" spans="1:40" x14ac:dyDescent="0.35">
      <c r="A86" t="s">
        <v>137</v>
      </c>
      <c r="B86" t="s">
        <v>73</v>
      </c>
      <c r="C86">
        <v>1</v>
      </c>
      <c r="D86" t="s">
        <v>134</v>
      </c>
      <c r="E86">
        <v>0</v>
      </c>
      <c r="F86" t="s">
        <v>6</v>
      </c>
      <c r="G86" t="s">
        <v>313</v>
      </c>
      <c r="H86">
        <v>22</v>
      </c>
      <c r="I86">
        <v>25</v>
      </c>
      <c r="J86">
        <v>7.7499999999999999E-2</v>
      </c>
      <c r="K86">
        <v>5.1000000000005485E-3</v>
      </c>
      <c r="L86">
        <v>4.6137546161896954E-4</v>
      </c>
      <c r="M86">
        <v>9.9232970668889468E-3</v>
      </c>
      <c r="N86">
        <v>2.2016201575708804E-3</v>
      </c>
      <c r="O86">
        <v>0.13780303873175045</v>
      </c>
      <c r="P86">
        <v>5.2854043006377435E-3</v>
      </c>
      <c r="Q86">
        <v>2.5509044706817169E-2</v>
      </c>
      <c r="R86">
        <v>5.78499335532084E-4</v>
      </c>
      <c r="S86">
        <v>3.5533977172814207E-3</v>
      </c>
      <c r="T86">
        <v>4.6862678414128348E-2</v>
      </c>
      <c r="U86">
        <v>0.12005961896705727</v>
      </c>
      <c r="V86">
        <v>3.3297566251642305E-2</v>
      </c>
      <c r="W86">
        <v>1.6991625111413441E-2</v>
      </c>
      <c r="X86">
        <v>4.2436500340019348E-3</v>
      </c>
      <c r="Y86">
        <v>4.2436500340019348E-3</v>
      </c>
      <c r="Z86">
        <v>1.132407802075675E-3</v>
      </c>
      <c r="AA86">
        <v>1.3952618985851985E-2</v>
      </c>
      <c r="AB86">
        <v>0</v>
      </c>
      <c r="AC86">
        <v>0</v>
      </c>
      <c r="AD86">
        <v>3.5015744329592549E-2</v>
      </c>
      <c r="AE86">
        <v>1.4485839569307907E-3</v>
      </c>
      <c r="AF86">
        <v>4.1379676020617097E-3</v>
      </c>
      <c r="AG86">
        <v>4.5740950663102894E-2</v>
      </c>
      <c r="AH86">
        <v>9.0612379173776987E-6</v>
      </c>
      <c r="AI86">
        <v>4.6022102835515831E-3</v>
      </c>
      <c r="AJ86">
        <v>4.999464282603068E-3</v>
      </c>
      <c r="AK86">
        <v>1.6371736290950657E-2</v>
      </c>
      <c r="AL86">
        <v>0.1724100258859195</v>
      </c>
      <c r="AM86">
        <f t="shared" si="2"/>
        <v>13.937945835506357</v>
      </c>
      <c r="AN86">
        <f t="shared" si="3"/>
        <v>0.91720675820761377</v>
      </c>
    </row>
    <row r="87" spans="1:40" x14ac:dyDescent="0.35">
      <c r="A87" t="s">
        <v>138</v>
      </c>
      <c r="B87" t="s">
        <v>73</v>
      </c>
      <c r="C87">
        <v>1</v>
      </c>
      <c r="D87" t="s">
        <v>134</v>
      </c>
      <c r="E87">
        <v>0</v>
      </c>
      <c r="F87" t="s">
        <v>6</v>
      </c>
      <c r="G87" t="s">
        <v>313</v>
      </c>
      <c r="H87">
        <v>27</v>
      </c>
      <c r="I87">
        <v>31</v>
      </c>
      <c r="J87">
        <v>0.15310000000000001</v>
      </c>
      <c r="K87">
        <v>5.6999999999991502E-3</v>
      </c>
      <c r="L87">
        <v>5.999749180460505E-4</v>
      </c>
      <c r="M87">
        <v>2.5537413074055378E-2</v>
      </c>
      <c r="N87">
        <v>3.4328201393764935E-3</v>
      </c>
      <c r="O87">
        <v>0.25990251265827047</v>
      </c>
      <c r="P87">
        <v>8.7303593742192338E-3</v>
      </c>
      <c r="Q87">
        <v>5.2807506853353593E-2</v>
      </c>
      <c r="R87">
        <v>1.827388603680673E-3</v>
      </c>
      <c r="S87">
        <v>5.0375820318272957E-3</v>
      </c>
      <c r="T87">
        <v>8.0621910396393617E-2</v>
      </c>
      <c r="U87">
        <v>0.18146124886854659</v>
      </c>
      <c r="V87">
        <v>5.4001718101130788E-2</v>
      </c>
      <c r="W87">
        <v>3.9960706351561945E-2</v>
      </c>
      <c r="X87">
        <v>4.9932160477206416E-3</v>
      </c>
      <c r="Y87">
        <v>4.9967083643908646E-3</v>
      </c>
      <c r="Z87">
        <v>3.3719165100669201E-3</v>
      </c>
      <c r="AA87">
        <v>3.9119583576838361E-2</v>
      </c>
      <c r="AB87">
        <v>1.0416003998872116E-3</v>
      </c>
      <c r="AC87">
        <v>3.0214133685288781E-3</v>
      </c>
      <c r="AD87">
        <v>5.5719166541673658E-2</v>
      </c>
      <c r="AE87">
        <v>1.5685926807230432E-3</v>
      </c>
      <c r="AF87">
        <v>5.4827506893193123E-3</v>
      </c>
      <c r="AG87">
        <v>8.6294153171059554E-2</v>
      </c>
      <c r="AH87">
        <v>6.2982913967838392E-4</v>
      </c>
      <c r="AI87">
        <v>2.5243770272866482E-3</v>
      </c>
      <c r="AJ87">
        <v>6.5137724212345907E-3</v>
      </c>
      <c r="AK87">
        <v>2.473022171591165E-2</v>
      </c>
      <c r="AL87">
        <v>0.33707433629136224</v>
      </c>
      <c r="AM87">
        <f t="shared" si="2"/>
        <v>22.649171566953271</v>
      </c>
      <c r="AN87">
        <f t="shared" si="3"/>
        <v>0.84324152796612928</v>
      </c>
    </row>
    <row r="88" spans="1:40" x14ac:dyDescent="0.35">
      <c r="A88" t="s">
        <v>139</v>
      </c>
      <c r="B88" t="s">
        <v>73</v>
      </c>
      <c r="C88">
        <v>1</v>
      </c>
      <c r="D88" t="s">
        <v>134</v>
      </c>
      <c r="E88">
        <v>0</v>
      </c>
      <c r="F88" t="s">
        <v>6</v>
      </c>
      <c r="G88" t="s">
        <v>313</v>
      </c>
      <c r="H88">
        <v>25</v>
      </c>
      <c r="I88">
        <v>29</v>
      </c>
      <c r="J88">
        <v>0.1452</v>
      </c>
      <c r="K88">
        <v>5.0824982841442806E-3</v>
      </c>
      <c r="L88">
        <v>9.4106644427543323E-4</v>
      </c>
      <c r="M88">
        <v>2.3584196333873826E-2</v>
      </c>
      <c r="N88">
        <v>3.5296370167717311E-3</v>
      </c>
      <c r="O88">
        <v>0.25326671094429021</v>
      </c>
      <c r="P88">
        <v>6.4133765622890861E-3</v>
      </c>
      <c r="Q88">
        <v>5.945745397461695E-2</v>
      </c>
      <c r="R88">
        <v>2.7764497802122636E-3</v>
      </c>
      <c r="S88">
        <v>4.9189391659034869E-3</v>
      </c>
      <c r="T88">
        <v>8.1724437286624402E-2</v>
      </c>
      <c r="U88">
        <v>0.20729319043635314</v>
      </c>
      <c r="V88">
        <v>6.146593146524601E-2</v>
      </c>
      <c r="W88">
        <v>5.3532516249565586E-2</v>
      </c>
      <c r="X88">
        <v>6.0442038194429559E-3</v>
      </c>
      <c r="Y88">
        <v>3.1590729960746919E-4</v>
      </c>
      <c r="Z88">
        <v>2.0746962104106399E-3</v>
      </c>
      <c r="AA88">
        <v>5.3734674591086787E-2</v>
      </c>
      <c r="AB88">
        <v>8.2752247070011747E-4</v>
      </c>
      <c r="AC88">
        <v>4.1120808784560333E-3</v>
      </c>
      <c r="AD88">
        <v>3.0785559524485365E-2</v>
      </c>
      <c r="AE88">
        <v>1.1173836532993747E-3</v>
      </c>
      <c r="AF88">
        <v>5.4029817395872416E-3</v>
      </c>
      <c r="AG88">
        <v>7.8007898009593124E-2</v>
      </c>
      <c r="AH88">
        <v>7.259635489564435E-4</v>
      </c>
      <c r="AI88">
        <v>2.7735058537252336E-3</v>
      </c>
      <c r="AJ88">
        <v>4.6548231656048785E-3</v>
      </c>
      <c r="AK88">
        <v>2.0926781495306766E-2</v>
      </c>
      <c r="AL88">
        <v>0.26053731092450411</v>
      </c>
      <c r="AM88">
        <f t="shared" si="2"/>
        <v>24.219293938277008</v>
      </c>
      <c r="AN88">
        <f t="shared" si="3"/>
        <v>0.84775840140825665</v>
      </c>
    </row>
    <row r="89" spans="1:40" x14ac:dyDescent="0.35">
      <c r="A89" t="s">
        <v>140</v>
      </c>
      <c r="B89" t="s">
        <v>73</v>
      </c>
      <c r="C89">
        <v>1</v>
      </c>
      <c r="D89" t="s">
        <v>134</v>
      </c>
      <c r="E89">
        <v>0</v>
      </c>
      <c r="F89" t="s">
        <v>6</v>
      </c>
      <c r="G89" t="s">
        <v>313</v>
      </c>
      <c r="H89">
        <v>30</v>
      </c>
      <c r="I89">
        <v>34</v>
      </c>
      <c r="J89">
        <v>0.21920000000000001</v>
      </c>
      <c r="K89">
        <v>6.0000000000002282E-3</v>
      </c>
      <c r="L89">
        <v>6.192172274215855E-4</v>
      </c>
      <c r="M89">
        <v>6.2866478718583141E-2</v>
      </c>
      <c r="N89">
        <v>6.5345703002604024E-3</v>
      </c>
      <c r="O89">
        <v>0.39321090680320725</v>
      </c>
      <c r="P89">
        <v>1.0433653257098078E-2</v>
      </c>
      <c r="Q89">
        <v>0.1343694554312983</v>
      </c>
      <c r="R89">
        <v>5.9295131930985632E-3</v>
      </c>
      <c r="S89">
        <v>7.475939555008697E-3</v>
      </c>
      <c r="T89">
        <v>0.12604795971873192</v>
      </c>
      <c r="U89">
        <v>0.365027301223663</v>
      </c>
      <c r="V89">
        <v>0.11000740522102789</v>
      </c>
      <c r="W89">
        <v>0.1037391315918334</v>
      </c>
      <c r="X89">
        <v>1.4909301189354478E-2</v>
      </c>
      <c r="Y89">
        <v>1.642826676686325E-2</v>
      </c>
      <c r="Z89">
        <v>4.6062155765805969E-3</v>
      </c>
      <c r="AA89">
        <v>0.12032787972164045</v>
      </c>
      <c r="AB89">
        <v>1.0409035646449657E-3</v>
      </c>
      <c r="AC89">
        <v>6.7107820330202968E-3</v>
      </c>
      <c r="AD89">
        <v>5.6822964478550883E-2</v>
      </c>
      <c r="AE89">
        <v>2.001092585525882E-3</v>
      </c>
      <c r="AF89">
        <v>1.3609887161502967E-2</v>
      </c>
      <c r="AG89">
        <v>0.1583548269306827</v>
      </c>
      <c r="AH89">
        <v>1.981706042926171E-3</v>
      </c>
      <c r="AI89">
        <v>4.0224311697696028E-3</v>
      </c>
      <c r="AJ89">
        <v>1.0043385848128196E-2</v>
      </c>
      <c r="AK89">
        <v>4.3727733577708969E-2</v>
      </c>
      <c r="AL89">
        <v>0.47586451829530629</v>
      </c>
      <c r="AM89">
        <f t="shared" si="2"/>
        <v>37.611890453055864</v>
      </c>
      <c r="AN89">
        <f t="shared" si="3"/>
        <v>1.0295225488975535</v>
      </c>
    </row>
    <row r="90" spans="1:40" x14ac:dyDescent="0.35">
      <c r="A90" t="s">
        <v>141</v>
      </c>
      <c r="B90" t="s">
        <v>73</v>
      </c>
      <c r="C90">
        <v>1</v>
      </c>
      <c r="D90" t="s">
        <v>134</v>
      </c>
      <c r="E90">
        <v>0</v>
      </c>
      <c r="F90" t="s">
        <v>6</v>
      </c>
      <c r="G90" t="s">
        <v>313</v>
      </c>
      <c r="H90">
        <v>27</v>
      </c>
      <c r="I90">
        <v>29</v>
      </c>
      <c r="J90">
        <v>0.15790000000000001</v>
      </c>
      <c r="K90">
        <v>5.2000000000003155E-3</v>
      </c>
      <c r="L90">
        <v>6.7085472407184201E-4</v>
      </c>
      <c r="M90">
        <v>3.9811008434361403E-2</v>
      </c>
      <c r="N90">
        <v>4.4569981420174683E-3</v>
      </c>
      <c r="O90">
        <v>0.32057961113807015</v>
      </c>
      <c r="P90">
        <v>8.3282641944355598E-3</v>
      </c>
      <c r="Q90">
        <v>0.1092996377288535</v>
      </c>
      <c r="R90">
        <v>5.7913842368154337E-3</v>
      </c>
      <c r="S90">
        <v>6.4526913659262251E-3</v>
      </c>
      <c r="T90">
        <v>0.10489293468295413</v>
      </c>
      <c r="U90">
        <v>0.31715508098791245</v>
      </c>
      <c r="V90">
        <v>9.6246528283049415E-2</v>
      </c>
      <c r="W90">
        <v>9.6273771460113414E-2</v>
      </c>
      <c r="X90">
        <v>1.1404772403546792E-2</v>
      </c>
      <c r="Y90">
        <v>2.7100190102992948E-4</v>
      </c>
      <c r="Z90">
        <v>2.5325298252091896E-3</v>
      </c>
      <c r="AA90">
        <v>9.9290164622029303E-2</v>
      </c>
      <c r="AB90">
        <v>1.2666791208645928E-3</v>
      </c>
      <c r="AC90">
        <v>6.9657384170245798E-3</v>
      </c>
      <c r="AD90">
        <v>5.1632050682396603E-2</v>
      </c>
      <c r="AE90">
        <v>2.174597147713377E-3</v>
      </c>
      <c r="AF90">
        <v>1.283094629221555E-2</v>
      </c>
      <c r="AG90">
        <v>0.13904277914854057</v>
      </c>
      <c r="AH90">
        <v>1.4178140689920851E-3</v>
      </c>
      <c r="AI90">
        <v>3.7710200880509037E-3</v>
      </c>
      <c r="AJ90">
        <v>8.0481043189996482E-3</v>
      </c>
      <c r="AK90">
        <v>3.9093357633719371E-2</v>
      </c>
      <c r="AL90">
        <v>0.37400131764249822</v>
      </c>
      <c r="AM90">
        <f t="shared" si="2"/>
        <v>35.840416128678825</v>
      </c>
      <c r="AN90">
        <f t="shared" si="3"/>
        <v>1.1803050276703051</v>
      </c>
    </row>
    <row r="91" spans="1:40" x14ac:dyDescent="0.35">
      <c r="A91" t="s">
        <v>142</v>
      </c>
      <c r="B91" t="s">
        <v>73</v>
      </c>
      <c r="C91">
        <v>1</v>
      </c>
      <c r="D91" t="s">
        <v>134</v>
      </c>
      <c r="E91">
        <v>0</v>
      </c>
      <c r="F91" t="s">
        <v>6</v>
      </c>
      <c r="G91" t="s">
        <v>313</v>
      </c>
      <c r="H91">
        <v>28</v>
      </c>
      <c r="I91">
        <v>31</v>
      </c>
      <c r="J91">
        <v>0.15740000000000001</v>
      </c>
      <c r="K91">
        <v>4.4000000000004036E-3</v>
      </c>
      <c r="L91">
        <v>6.8879672256045037E-4</v>
      </c>
      <c r="M91">
        <v>5.2356227750771846E-2</v>
      </c>
      <c r="N91">
        <v>5.4828875177775991E-3</v>
      </c>
      <c r="O91">
        <v>0.34431566102485645</v>
      </c>
      <c r="P91">
        <v>1.0946498659372686E-2</v>
      </c>
      <c r="Q91">
        <v>0.11527964100198203</v>
      </c>
      <c r="R91">
        <v>5.3442169760930906E-3</v>
      </c>
      <c r="S91">
        <v>6.0763092323010059E-3</v>
      </c>
      <c r="T91">
        <v>9.3409829095288846E-2</v>
      </c>
      <c r="U91">
        <v>0.29261113060377009</v>
      </c>
      <c r="V91">
        <v>8.8569877746383877E-2</v>
      </c>
      <c r="W91">
        <v>8.7504920607105616E-2</v>
      </c>
      <c r="X91">
        <v>1.1948186822984059E-2</v>
      </c>
      <c r="Y91">
        <v>1.1128086587878106E-2</v>
      </c>
      <c r="Z91">
        <v>2.6716346655168877E-3</v>
      </c>
      <c r="AA91">
        <v>9.2381292506992174E-2</v>
      </c>
      <c r="AB91">
        <v>1.2187262181097363E-3</v>
      </c>
      <c r="AC91">
        <v>5.7995604270940602E-3</v>
      </c>
      <c r="AD91">
        <v>4.2726194874208374E-2</v>
      </c>
      <c r="AE91">
        <v>1.8356112598229191E-3</v>
      </c>
      <c r="AF91">
        <v>1.1128952225191901E-2</v>
      </c>
      <c r="AG91">
        <v>0.13291582127026921</v>
      </c>
      <c r="AH91">
        <v>1.2412145643250245E-3</v>
      </c>
      <c r="AI91">
        <v>2.7633193250056363E-3</v>
      </c>
      <c r="AJ91">
        <v>8.0772071032147782E-3</v>
      </c>
      <c r="AK91">
        <v>3.3240983120243234E-2</v>
      </c>
      <c r="AL91">
        <v>0.32016709533747806</v>
      </c>
      <c r="AM91">
        <f t="shared" si="2"/>
        <v>40.496133710146232</v>
      </c>
      <c r="AN91">
        <f t="shared" si="3"/>
        <v>1.1320393159127049</v>
      </c>
    </row>
    <row r="92" spans="1:40" x14ac:dyDescent="0.35">
      <c r="A92" t="s">
        <v>143</v>
      </c>
      <c r="B92" t="s">
        <v>73</v>
      </c>
      <c r="C92">
        <v>1</v>
      </c>
      <c r="D92" t="s">
        <v>134</v>
      </c>
      <c r="E92">
        <v>0</v>
      </c>
      <c r="F92" t="s">
        <v>6</v>
      </c>
      <c r="G92" t="s">
        <v>313</v>
      </c>
      <c r="H92">
        <v>29</v>
      </c>
      <c r="I92">
        <v>33</v>
      </c>
      <c r="J92">
        <v>0.18160000000000001</v>
      </c>
      <c r="K92">
        <v>4.3000000000006358E-3</v>
      </c>
      <c r="L92">
        <v>6.4985357893453143E-4</v>
      </c>
      <c r="M92">
        <v>4.4065578745690309E-2</v>
      </c>
      <c r="N92">
        <v>5.0467000713526663E-3</v>
      </c>
      <c r="O92">
        <v>0.35965194155860858</v>
      </c>
      <c r="P92">
        <v>1.1071642995122765E-2</v>
      </c>
      <c r="Q92">
        <v>8.8572969425094017E-2</v>
      </c>
      <c r="R92">
        <v>3.7136616922626682E-3</v>
      </c>
      <c r="S92">
        <v>6.080845742050707E-3</v>
      </c>
      <c r="T92">
        <v>0.1036783575310516</v>
      </c>
      <c r="U92">
        <v>0.31606898534399908</v>
      </c>
      <c r="V92">
        <v>9.1360543695033908E-2</v>
      </c>
      <c r="W92">
        <v>8.2512020774288097E-2</v>
      </c>
      <c r="X92">
        <v>7.6357449019735435E-3</v>
      </c>
      <c r="Y92">
        <v>1.6981828572459163E-4</v>
      </c>
      <c r="Z92">
        <v>2.332969882309595E-3</v>
      </c>
      <c r="AA92">
        <v>7.6630469349419014E-2</v>
      </c>
      <c r="AB92">
        <v>1.0869787107112658E-3</v>
      </c>
      <c r="AC92">
        <v>5.1665497589924612E-3</v>
      </c>
      <c r="AD92">
        <v>5.5890005293057481E-2</v>
      </c>
      <c r="AE92">
        <v>1.6293489830195918E-3</v>
      </c>
      <c r="AF92">
        <v>7.6501543795597397E-3</v>
      </c>
      <c r="AG92">
        <v>0.12271932971100639</v>
      </c>
      <c r="AH92">
        <v>1.0224260991521612E-3</v>
      </c>
      <c r="AI92">
        <v>4.6612991633587977E-3</v>
      </c>
      <c r="AJ92">
        <v>8.9313145326126546E-3</v>
      </c>
      <c r="AK92">
        <v>3.3085767294756874E-2</v>
      </c>
      <c r="AL92">
        <v>0.44077583734747333</v>
      </c>
      <c r="AM92">
        <f t="shared" si="2"/>
        <v>43.76421197317066</v>
      </c>
      <c r="AN92">
        <f t="shared" si="3"/>
        <v>1.0362671337261102</v>
      </c>
    </row>
    <row r="93" spans="1:40" x14ac:dyDescent="0.35">
      <c r="A93" t="s">
        <v>144</v>
      </c>
      <c r="B93" t="s">
        <v>73</v>
      </c>
      <c r="C93">
        <v>1</v>
      </c>
      <c r="D93" t="s">
        <v>134</v>
      </c>
      <c r="E93">
        <v>0</v>
      </c>
      <c r="F93" t="s">
        <v>6</v>
      </c>
      <c r="G93" t="s">
        <v>313</v>
      </c>
      <c r="H93">
        <v>25</v>
      </c>
      <c r="I93">
        <v>29</v>
      </c>
      <c r="J93">
        <v>0.13109999999999999</v>
      </c>
      <c r="K93">
        <v>2.8000000000005798E-3</v>
      </c>
      <c r="L93">
        <v>3.7906981531267376E-4</v>
      </c>
      <c r="M93">
        <v>2.5960808207073308E-2</v>
      </c>
      <c r="N93">
        <v>3.8654018132143818E-3</v>
      </c>
      <c r="O93">
        <v>0.2772600617620537</v>
      </c>
      <c r="P93">
        <v>8.9386353051425435E-3</v>
      </c>
      <c r="Q93">
        <v>5.6524828094456539E-2</v>
      </c>
      <c r="R93">
        <v>1.891267649251486E-3</v>
      </c>
      <c r="S93">
        <v>5.8469154298762503E-3</v>
      </c>
      <c r="T93">
        <v>7.2301217846650223E-2</v>
      </c>
      <c r="U93">
        <v>0.19671504743103729</v>
      </c>
      <c r="V93">
        <v>5.366913464601298E-2</v>
      </c>
      <c r="W93">
        <v>4.2876535163519275E-2</v>
      </c>
      <c r="X93">
        <v>5.701473477468434E-3</v>
      </c>
      <c r="Y93">
        <v>5.701473477468434E-3</v>
      </c>
      <c r="Z93">
        <v>1.627251528967632E-3</v>
      </c>
      <c r="AA93">
        <v>4.1439273108756926E-2</v>
      </c>
      <c r="AB93">
        <v>0</v>
      </c>
      <c r="AC93">
        <v>3.611589261210235E-3</v>
      </c>
      <c r="AD93">
        <v>4.4407012375703249E-2</v>
      </c>
      <c r="AE93">
        <v>1.6018441603697243E-3</v>
      </c>
      <c r="AF93">
        <v>6.3542600566522086E-3</v>
      </c>
      <c r="AG93">
        <v>8.2539294497563809E-2</v>
      </c>
      <c r="AH93">
        <v>8.0797753332234742E-4</v>
      </c>
      <c r="AI93">
        <v>3.5776611877266196E-3</v>
      </c>
      <c r="AJ93">
        <v>7.5140430839787022E-3</v>
      </c>
      <c r="AK93">
        <v>2.5659333868829921E-2</v>
      </c>
      <c r="AL93">
        <v>0.28883659510891874</v>
      </c>
      <c r="AM93">
        <f t="shared" si="2"/>
        <v>45.200285924652697</v>
      </c>
      <c r="AN93">
        <f t="shared" si="3"/>
        <v>0.96537605331086018</v>
      </c>
    </row>
    <row r="94" spans="1:40" x14ac:dyDescent="0.35">
      <c r="A94" t="s">
        <v>145</v>
      </c>
      <c r="B94" t="s">
        <v>73</v>
      </c>
      <c r="C94">
        <v>1</v>
      </c>
      <c r="D94" t="s">
        <v>134</v>
      </c>
      <c r="E94">
        <v>0</v>
      </c>
      <c r="F94" t="s">
        <v>6</v>
      </c>
      <c r="G94" t="s">
        <v>313</v>
      </c>
      <c r="H94">
        <v>30</v>
      </c>
      <c r="I94">
        <v>35</v>
      </c>
      <c r="J94">
        <v>0.2432</v>
      </c>
      <c r="K94">
        <v>9.0000000000003411E-3</v>
      </c>
      <c r="L94">
        <v>5.981556584646558E-4</v>
      </c>
      <c r="M94">
        <v>6.8014352753805685E-2</v>
      </c>
      <c r="N94">
        <v>7.7475685228300551E-3</v>
      </c>
      <c r="O94">
        <v>0.48169066477319972</v>
      </c>
      <c r="P94">
        <v>1.3363297916208629E-2</v>
      </c>
      <c r="Q94">
        <v>0.1368728237952358</v>
      </c>
      <c r="R94">
        <v>6.533267414960393E-3</v>
      </c>
      <c r="S94">
        <v>7.8801869925421916E-3</v>
      </c>
      <c r="T94">
        <v>0.14599289143528485</v>
      </c>
      <c r="U94">
        <v>0.42952698054052113</v>
      </c>
      <c r="V94">
        <v>0.1315381172361226</v>
      </c>
      <c r="W94">
        <v>0.11762170008262547</v>
      </c>
      <c r="X94">
        <v>1.440305436525907E-2</v>
      </c>
      <c r="Y94">
        <v>1.9656360217558452E-2</v>
      </c>
      <c r="Z94">
        <v>2.9631513462506933E-3</v>
      </c>
      <c r="AA94">
        <v>0.12858187751669203</v>
      </c>
      <c r="AB94">
        <v>1.1059906992759105E-3</v>
      </c>
      <c r="AC94">
        <v>7.7479271449763833E-3</v>
      </c>
      <c r="AD94">
        <v>7.9670218029332843E-2</v>
      </c>
      <c r="AE94">
        <v>3.1830649667817538E-3</v>
      </c>
      <c r="AF94">
        <v>1.5346863089160083E-2</v>
      </c>
      <c r="AG94">
        <v>0.18310522374778032</v>
      </c>
      <c r="AH94">
        <v>1.4712962583310508E-3</v>
      </c>
      <c r="AI94">
        <v>5.6034840771821371E-3</v>
      </c>
      <c r="AJ94">
        <v>9.807174631608389E-3</v>
      </c>
      <c r="AK94">
        <v>4.8456352810381027E-2</v>
      </c>
      <c r="AL94">
        <v>0.44688477493259882</v>
      </c>
      <c r="AM94">
        <f t="shared" si="2"/>
        <v>27.948520232831942</v>
      </c>
      <c r="AN94">
        <f t="shared" si="3"/>
        <v>1.034279120458458</v>
      </c>
    </row>
    <row r="95" spans="1:40" x14ac:dyDescent="0.35">
      <c r="A95" t="s">
        <v>146</v>
      </c>
      <c r="B95" t="s">
        <v>73</v>
      </c>
      <c r="C95">
        <v>1</v>
      </c>
      <c r="D95" t="s">
        <v>134</v>
      </c>
      <c r="E95">
        <v>0</v>
      </c>
      <c r="F95" t="s">
        <v>6</v>
      </c>
      <c r="G95" t="s">
        <v>313</v>
      </c>
      <c r="H95">
        <v>27</v>
      </c>
      <c r="I95">
        <v>31</v>
      </c>
      <c r="J95">
        <v>0.1386</v>
      </c>
      <c r="K95">
        <v>2.4999999999995026E-3</v>
      </c>
      <c r="L95">
        <v>4.8954138652965292E-4</v>
      </c>
      <c r="M95">
        <v>2.1170988692741855E-2</v>
      </c>
      <c r="N95">
        <v>2.6910449371618968E-3</v>
      </c>
      <c r="O95">
        <v>0.22755850321096679</v>
      </c>
      <c r="P95">
        <v>7.2505985078878165E-3</v>
      </c>
      <c r="Q95">
        <v>4.382485924841955E-2</v>
      </c>
      <c r="R95">
        <v>1.4699617201132118E-3</v>
      </c>
      <c r="S95">
        <v>4.1970285458765534E-3</v>
      </c>
      <c r="T95">
        <v>7.1214253298621716E-2</v>
      </c>
      <c r="U95">
        <v>0.1578319227787105</v>
      </c>
      <c r="V95">
        <v>4.7419305247425783E-2</v>
      </c>
      <c r="W95">
        <v>3.7629330788201645E-2</v>
      </c>
      <c r="X95">
        <v>5.2612366686798293E-3</v>
      </c>
      <c r="Y95">
        <v>9.0596664129817856E-5</v>
      </c>
      <c r="Z95">
        <v>1.8281857960354532E-3</v>
      </c>
      <c r="AA95">
        <v>4.4608646654243689E-2</v>
      </c>
      <c r="AB95">
        <v>0</v>
      </c>
      <c r="AC95">
        <v>3.8244948784836351E-3</v>
      </c>
      <c r="AD95">
        <v>5.1833629725022631E-2</v>
      </c>
      <c r="AE95">
        <v>1.251333993215743E-3</v>
      </c>
      <c r="AF95">
        <v>6.3896073392176577E-3</v>
      </c>
      <c r="AG95">
        <v>9.7546075140518093E-2</v>
      </c>
      <c r="AH95">
        <v>5.916860408753308E-4</v>
      </c>
      <c r="AI95">
        <v>3.9248868673147745E-3</v>
      </c>
      <c r="AJ95">
        <v>6.9726684208503897E-3</v>
      </c>
      <c r="AK95">
        <v>2.7032426819944954E-2</v>
      </c>
      <c r="AL95">
        <v>0.37041862098720679</v>
      </c>
      <c r="AM95">
        <f t="shared" si="2"/>
        <v>49.772857374345733</v>
      </c>
      <c r="AN95">
        <f t="shared" si="3"/>
        <v>0.89777881266839521</v>
      </c>
    </row>
    <row r="96" spans="1:40" x14ac:dyDescent="0.35">
      <c r="A96" t="s">
        <v>147</v>
      </c>
      <c r="B96" t="s">
        <v>73</v>
      </c>
      <c r="C96">
        <v>1</v>
      </c>
      <c r="D96" t="s">
        <v>134</v>
      </c>
      <c r="E96">
        <v>0</v>
      </c>
      <c r="F96" t="s">
        <v>6</v>
      </c>
      <c r="G96" t="s">
        <v>313</v>
      </c>
      <c r="H96">
        <v>25</v>
      </c>
      <c r="I96">
        <v>30</v>
      </c>
      <c r="J96">
        <v>0.1447</v>
      </c>
      <c r="K96">
        <v>4.0000000000013358E-3</v>
      </c>
      <c r="L96">
        <v>7.2086886694449519E-4</v>
      </c>
      <c r="M96">
        <v>5.1105281969185103E-2</v>
      </c>
      <c r="N96">
        <v>6.4794665469720724E-3</v>
      </c>
      <c r="O96">
        <v>0.32148575648142957</v>
      </c>
      <c r="P96">
        <v>8.1762579398496106E-3</v>
      </c>
      <c r="Q96">
        <v>0.10651795778509852</v>
      </c>
      <c r="R96">
        <v>5.5097685586024681E-3</v>
      </c>
      <c r="S96">
        <v>6.5722066155359535E-3</v>
      </c>
      <c r="T96">
        <v>9.9182903614940601E-2</v>
      </c>
      <c r="U96">
        <v>0.30527395301506177</v>
      </c>
      <c r="V96">
        <v>9.1669480426236294E-2</v>
      </c>
      <c r="W96">
        <v>8.514935121028526E-2</v>
      </c>
      <c r="X96">
        <v>1.2804104648467797E-2</v>
      </c>
      <c r="Y96">
        <v>9.1094352549334274E-4</v>
      </c>
      <c r="Z96">
        <v>5.6126027214643305E-3</v>
      </c>
      <c r="AA96">
        <v>9.3615516525391088E-2</v>
      </c>
      <c r="AB96">
        <v>5.655888192621362E-3</v>
      </c>
      <c r="AC96">
        <v>6.1226500105183383E-3</v>
      </c>
      <c r="AD96">
        <v>4.4741680478994787E-2</v>
      </c>
      <c r="AE96">
        <v>1.879519434762119E-3</v>
      </c>
      <c r="AF96">
        <v>1.2979523014563859E-2</v>
      </c>
      <c r="AG96">
        <v>0.12136778348592552</v>
      </c>
      <c r="AH96">
        <v>1.3690519432464857E-3</v>
      </c>
      <c r="AI96">
        <v>4.9849864777347123E-3</v>
      </c>
      <c r="AJ96">
        <v>8.0004009008540489E-3</v>
      </c>
      <c r="AK96">
        <v>3.8107948834901519E-2</v>
      </c>
      <c r="AL96">
        <v>0.32327620222954573</v>
      </c>
      <c r="AM96">
        <f t="shared" si="2"/>
        <v>44.231801386350895</v>
      </c>
      <c r="AN96">
        <f t="shared" si="3"/>
        <v>1.2227173845574475</v>
      </c>
    </row>
    <row r="97" spans="1:40" x14ac:dyDescent="0.35">
      <c r="A97" t="s">
        <v>148</v>
      </c>
      <c r="B97" t="s">
        <v>73</v>
      </c>
      <c r="C97">
        <v>1</v>
      </c>
      <c r="D97" t="s">
        <v>134</v>
      </c>
      <c r="E97">
        <v>0</v>
      </c>
      <c r="F97" t="s">
        <v>6</v>
      </c>
      <c r="G97" t="s">
        <v>313</v>
      </c>
      <c r="H97">
        <v>27</v>
      </c>
      <c r="I97">
        <v>31</v>
      </c>
      <c r="J97">
        <v>0.1883</v>
      </c>
      <c r="K97">
        <v>4.8000000000012477E-3</v>
      </c>
      <c r="L97">
        <v>6.0815474590264842E-4</v>
      </c>
      <c r="M97">
        <v>4.0097825210657662E-2</v>
      </c>
      <c r="N97">
        <v>6.1241833096580215E-3</v>
      </c>
      <c r="O97">
        <v>0.33617254793951373</v>
      </c>
      <c r="P97">
        <v>1.0514048184499351E-2</v>
      </c>
      <c r="Q97">
        <v>8.822407091731238E-2</v>
      </c>
      <c r="R97">
        <v>4.7831305564445094E-3</v>
      </c>
      <c r="S97">
        <v>7.9413797101392878E-3</v>
      </c>
      <c r="T97">
        <v>0.11350817902598077</v>
      </c>
      <c r="U97">
        <v>0.2989392354473851</v>
      </c>
      <c r="V97">
        <v>9.0862273033114768E-2</v>
      </c>
      <c r="W97">
        <v>7.6865800061934678E-2</v>
      </c>
      <c r="X97">
        <v>9.3226289834220585E-3</v>
      </c>
      <c r="Y97">
        <v>3.6982075122703076E-4</v>
      </c>
      <c r="Z97">
        <v>3.0332596794821472E-3</v>
      </c>
      <c r="AA97">
        <v>8.5714815918578824E-2</v>
      </c>
      <c r="AB97">
        <v>9.4877192282800092E-4</v>
      </c>
      <c r="AC97">
        <v>6.9906380848759522E-3</v>
      </c>
      <c r="AD97">
        <v>7.4965857921183793E-2</v>
      </c>
      <c r="AE97">
        <v>2.3625258457901878E-3</v>
      </c>
      <c r="AF97">
        <v>8.7959341998103992E-3</v>
      </c>
      <c r="AG97">
        <v>0.13153257949001287</v>
      </c>
      <c r="AH97">
        <v>1.4855933478954021E-3</v>
      </c>
      <c r="AI97">
        <v>3.7559808908771098E-3</v>
      </c>
      <c r="AJ97">
        <v>8.9868129561828363E-3</v>
      </c>
      <c r="AK97">
        <v>3.9253219542083544E-2</v>
      </c>
      <c r="AL97">
        <v>0.42929525057552054</v>
      </c>
      <c r="AM97">
        <f t="shared" si="2"/>
        <v>39.196969130246352</v>
      </c>
      <c r="AN97">
        <f t="shared" si="3"/>
        <v>0.99917924495608812</v>
      </c>
    </row>
    <row r="98" spans="1:40" x14ac:dyDescent="0.35">
      <c r="A98" t="s">
        <v>149</v>
      </c>
      <c r="B98" t="s">
        <v>73</v>
      </c>
      <c r="C98">
        <v>1</v>
      </c>
      <c r="D98" t="s">
        <v>134</v>
      </c>
      <c r="E98">
        <v>0</v>
      </c>
      <c r="F98" t="s">
        <v>6</v>
      </c>
      <c r="G98" t="s">
        <v>313</v>
      </c>
      <c r="H98">
        <v>23</v>
      </c>
      <c r="I98">
        <v>25</v>
      </c>
      <c r="J98">
        <v>0.10780000000000001</v>
      </c>
      <c r="K98">
        <v>2.3999999999997357E-3</v>
      </c>
      <c r="L98">
        <v>3.8662444013270748E-4</v>
      </c>
      <c r="M98">
        <v>1.569471614689269E-2</v>
      </c>
      <c r="N98">
        <v>2.6133115134454304E-3</v>
      </c>
      <c r="O98">
        <v>0.18711938808440595</v>
      </c>
      <c r="P98">
        <v>4.5099245348792063E-3</v>
      </c>
      <c r="Q98">
        <v>2.8541566134261415E-2</v>
      </c>
      <c r="R98">
        <v>1.0710809250685475E-3</v>
      </c>
      <c r="S98">
        <v>4.0686606124694458E-3</v>
      </c>
      <c r="T98">
        <v>5.6820374928815191E-2</v>
      </c>
      <c r="U98">
        <v>0.1184446535537174</v>
      </c>
      <c r="V98">
        <v>3.5246520917966609E-2</v>
      </c>
      <c r="W98">
        <v>2.6861429241928709E-2</v>
      </c>
      <c r="X98">
        <v>2.9676059101836128E-3</v>
      </c>
      <c r="Y98">
        <v>2.9676059101836128E-3</v>
      </c>
      <c r="Z98">
        <v>4.1539833411204478E-3</v>
      </c>
      <c r="AA98">
        <v>2.4763461623784063E-2</v>
      </c>
      <c r="AB98">
        <v>0</v>
      </c>
      <c r="AC98">
        <v>1.5972895378195543E-3</v>
      </c>
      <c r="AD98">
        <v>3.1528218960928299E-2</v>
      </c>
      <c r="AE98">
        <v>1.1219762744969311E-3</v>
      </c>
      <c r="AF98">
        <v>4.3477668144222496E-3</v>
      </c>
      <c r="AG98">
        <v>6.2516702787666148E-2</v>
      </c>
      <c r="AH98">
        <v>6.4447246042052169E-4</v>
      </c>
      <c r="AI98">
        <v>1.8666392442164895E-3</v>
      </c>
      <c r="AJ98">
        <v>4.8445246892612481E-3</v>
      </c>
      <c r="AK98">
        <v>1.5645534916375659E-2</v>
      </c>
      <c r="AL98">
        <v>0.22902793313418912</v>
      </c>
      <c r="AM98">
        <f t="shared" si="2"/>
        <v>36.223831943297796</v>
      </c>
      <c r="AN98">
        <f t="shared" si="3"/>
        <v>0.80646750152045565</v>
      </c>
    </row>
    <row r="99" spans="1:40" x14ac:dyDescent="0.35">
      <c r="A99" t="s">
        <v>150</v>
      </c>
      <c r="B99" t="s">
        <v>73</v>
      </c>
      <c r="C99">
        <v>1</v>
      </c>
      <c r="D99" t="s">
        <v>134</v>
      </c>
      <c r="E99">
        <v>0</v>
      </c>
      <c r="F99" t="s">
        <v>6</v>
      </c>
      <c r="G99" t="s">
        <v>313</v>
      </c>
      <c r="H99">
        <v>27</v>
      </c>
      <c r="I99">
        <v>32</v>
      </c>
      <c r="J99">
        <v>0.1862</v>
      </c>
      <c r="K99">
        <v>2.0000000000006679E-3</v>
      </c>
      <c r="L99">
        <v>4.4439611434240252E-4</v>
      </c>
      <c r="M99">
        <v>2.5882579398979057E-2</v>
      </c>
      <c r="N99">
        <v>4.1514800054283287E-3</v>
      </c>
      <c r="O99">
        <v>0.3052669039243634</v>
      </c>
      <c r="P99">
        <v>8.2701874953255376E-3</v>
      </c>
      <c r="Q99">
        <v>5.1202661066641023E-2</v>
      </c>
      <c r="R99">
        <v>1.8911047539634876E-3</v>
      </c>
      <c r="S99">
        <v>5.61053811656715E-3</v>
      </c>
      <c r="T99">
        <v>9.6526258361868317E-2</v>
      </c>
      <c r="U99">
        <v>0.20186344067857045</v>
      </c>
      <c r="V99">
        <v>6.4677144121818839E-2</v>
      </c>
      <c r="W99">
        <v>4.4491942972835742E-2</v>
      </c>
      <c r="X99">
        <v>5.6739693103308765E-3</v>
      </c>
      <c r="Y99">
        <v>5.6739693103308765E-3</v>
      </c>
      <c r="Z99">
        <v>1.9170896816672548E-3</v>
      </c>
      <c r="AA99">
        <v>4.5791137114896949E-2</v>
      </c>
      <c r="AB99">
        <v>0</v>
      </c>
      <c r="AC99">
        <v>3.5971563141591022E-3</v>
      </c>
      <c r="AD99">
        <v>6.4505637972791047E-2</v>
      </c>
      <c r="AE99">
        <v>1.7838857822442631E-3</v>
      </c>
      <c r="AF99">
        <v>5.9887060204922796E-3</v>
      </c>
      <c r="AG99">
        <v>0.10775928621501361</v>
      </c>
      <c r="AH99">
        <v>7.8615859604847524E-4</v>
      </c>
      <c r="AI99">
        <v>5.7189707363170779E-3</v>
      </c>
      <c r="AJ99">
        <v>7.9066958914273417E-3</v>
      </c>
      <c r="AK99">
        <v>3.2146875952589374E-2</v>
      </c>
      <c r="AL99">
        <v>0.40626843313762662</v>
      </c>
      <c r="AM99">
        <f t="shared" si="2"/>
        <v>75.289830452306802</v>
      </c>
      <c r="AN99">
        <f t="shared" si="3"/>
        <v>0.80869850109916175</v>
      </c>
    </row>
    <row r="100" spans="1:40" x14ac:dyDescent="0.35">
      <c r="A100" t="s">
        <v>151</v>
      </c>
      <c r="B100" t="s">
        <v>73</v>
      </c>
      <c r="C100">
        <v>1</v>
      </c>
      <c r="D100" t="s">
        <v>134</v>
      </c>
      <c r="E100">
        <v>0</v>
      </c>
      <c r="F100" t="s">
        <v>6</v>
      </c>
      <c r="G100" t="s">
        <v>313</v>
      </c>
      <c r="H100">
        <v>28</v>
      </c>
      <c r="I100">
        <v>31</v>
      </c>
      <c r="J100">
        <v>0.1489</v>
      </c>
      <c r="K100">
        <v>2.6999999999990365E-3</v>
      </c>
      <c r="L100">
        <v>4.3199075427199864E-4</v>
      </c>
      <c r="M100">
        <v>2.2503677335999894E-2</v>
      </c>
      <c r="N100">
        <v>3.25342998651529E-3</v>
      </c>
      <c r="O100">
        <v>0.24062502078636577</v>
      </c>
      <c r="P100">
        <v>6.5101284673977329E-3</v>
      </c>
      <c r="Q100">
        <v>4.3552858397199766E-2</v>
      </c>
      <c r="R100">
        <v>1.7970857709398102E-3</v>
      </c>
      <c r="S100">
        <v>4.7888856049799391E-3</v>
      </c>
      <c r="T100">
        <v>7.7145828879334188E-2</v>
      </c>
      <c r="U100">
        <v>0.17004418874811453</v>
      </c>
      <c r="V100">
        <v>5.0137372586340635E-2</v>
      </c>
      <c r="W100">
        <v>3.8046035589894361E-2</v>
      </c>
      <c r="X100">
        <v>4.0803794131758914E-3</v>
      </c>
      <c r="Y100">
        <v>4.0803794131758914E-3</v>
      </c>
      <c r="Z100">
        <v>1.8792499394271946E-3</v>
      </c>
      <c r="AA100">
        <v>3.8652420666906967E-2</v>
      </c>
      <c r="AB100">
        <v>0</v>
      </c>
      <c r="AC100">
        <v>3.854149130577615E-3</v>
      </c>
      <c r="AD100">
        <v>4.2564165308437547E-2</v>
      </c>
      <c r="AE100">
        <v>9.2582239885554123E-4</v>
      </c>
      <c r="AF100">
        <v>4.6578161316091745E-3</v>
      </c>
      <c r="AG100">
        <v>8.3146633934325975E-2</v>
      </c>
      <c r="AH100">
        <v>8.1472615320535486E-4</v>
      </c>
      <c r="AI100">
        <v>3.5488562893397396E-3</v>
      </c>
      <c r="AJ100">
        <v>6.4353234991791101E-3</v>
      </c>
      <c r="AK100">
        <v>2.1919984483267339E-2</v>
      </c>
      <c r="AL100">
        <v>0.29529587239667743</v>
      </c>
      <c r="AM100">
        <f t="shared" si="2"/>
        <v>43.358973409849348</v>
      </c>
      <c r="AN100">
        <f t="shared" si="3"/>
        <v>0.78622718741807562</v>
      </c>
    </row>
    <row r="101" spans="1:40" x14ac:dyDescent="0.35">
      <c r="A101" t="s">
        <v>152</v>
      </c>
      <c r="B101" t="s">
        <v>73</v>
      </c>
      <c r="C101">
        <v>1</v>
      </c>
      <c r="D101" t="s">
        <v>134</v>
      </c>
      <c r="E101">
        <v>0</v>
      </c>
      <c r="F101" t="s">
        <v>6</v>
      </c>
      <c r="G101" t="s">
        <v>313</v>
      </c>
      <c r="H101">
        <v>27</v>
      </c>
      <c r="I101">
        <v>31</v>
      </c>
      <c r="J101">
        <v>0.1724</v>
      </c>
      <c r="K101">
        <v>3.0000000000001137E-3</v>
      </c>
      <c r="L101">
        <v>3.7219567091789369E-4</v>
      </c>
      <c r="M101">
        <v>2.1370804151033238E-2</v>
      </c>
      <c r="N101">
        <v>3.347017557862474E-3</v>
      </c>
      <c r="O101">
        <v>0.2678634078958792</v>
      </c>
      <c r="P101">
        <v>7.4607213961896653E-3</v>
      </c>
      <c r="Q101">
        <v>4.6294268021520174E-2</v>
      </c>
      <c r="R101">
        <v>1.6915672512947846E-3</v>
      </c>
      <c r="S101">
        <v>5.0119630643538082E-3</v>
      </c>
      <c r="T101">
        <v>8.7282901707738086E-2</v>
      </c>
      <c r="U101">
        <v>0.19829682803265766</v>
      </c>
      <c r="V101">
        <v>5.9986089555885511E-2</v>
      </c>
      <c r="W101">
        <v>4.3970188273759342E-2</v>
      </c>
      <c r="X101">
        <v>5.673422369600601E-3</v>
      </c>
      <c r="Y101">
        <v>2.6520944483780166E-4</v>
      </c>
      <c r="Z101">
        <v>1.8584535918656549E-3</v>
      </c>
      <c r="AA101">
        <v>4.7147661595829449E-2</v>
      </c>
      <c r="AB101">
        <v>0</v>
      </c>
      <c r="AC101">
        <v>3.4648160446468074E-3</v>
      </c>
      <c r="AD101">
        <v>5.7847796208633707E-2</v>
      </c>
      <c r="AE101">
        <v>2.0481864199844049E-3</v>
      </c>
      <c r="AF101">
        <v>6.1862249769942292E-3</v>
      </c>
      <c r="AG101">
        <v>9.9252502233218395E-2</v>
      </c>
      <c r="AH101">
        <v>7.8096474084063459E-4</v>
      </c>
      <c r="AI101">
        <v>6.2510557486311355E-3</v>
      </c>
      <c r="AJ101">
        <v>7.9201426267466526E-3</v>
      </c>
      <c r="AK101">
        <v>3.1324493377751825E-2</v>
      </c>
      <c r="AL101">
        <v>0.38816362548192773</v>
      </c>
      <c r="AM101">
        <f t="shared" si="2"/>
        <v>46.704416914684913</v>
      </c>
      <c r="AN101">
        <f t="shared" si="3"/>
        <v>0.81272187206531366</v>
      </c>
    </row>
    <row r="102" spans="1:40" x14ac:dyDescent="0.35">
      <c r="A102" t="s">
        <v>153</v>
      </c>
      <c r="B102" t="s">
        <v>73</v>
      </c>
      <c r="C102">
        <v>1</v>
      </c>
      <c r="D102" t="s">
        <v>134</v>
      </c>
      <c r="E102">
        <v>0</v>
      </c>
      <c r="F102" t="s">
        <v>6</v>
      </c>
      <c r="G102" t="s">
        <v>313</v>
      </c>
      <c r="H102">
        <v>24</v>
      </c>
      <c r="I102">
        <v>28</v>
      </c>
      <c r="J102">
        <v>8.7499999999999994E-2</v>
      </c>
      <c r="K102">
        <v>2.2999999999999687E-3</v>
      </c>
      <c r="L102">
        <v>3.8497047508760228E-4</v>
      </c>
      <c r="M102">
        <v>9.8620629141195956E-3</v>
      </c>
      <c r="N102">
        <v>1.7077569106943441E-3</v>
      </c>
      <c r="O102">
        <v>0.13607374463198446</v>
      </c>
      <c r="P102">
        <v>3.7750551258840842E-3</v>
      </c>
      <c r="Q102">
        <v>2.0717395157031509E-2</v>
      </c>
      <c r="R102">
        <v>6.6678762308397749E-4</v>
      </c>
      <c r="S102">
        <v>3.4623305511556112E-3</v>
      </c>
      <c r="T102">
        <v>4.5356729785183604E-2</v>
      </c>
      <c r="U102">
        <v>9.6212605754334157E-2</v>
      </c>
      <c r="V102">
        <v>2.8881489350763855E-2</v>
      </c>
      <c r="W102">
        <v>1.8564798257720758E-2</v>
      </c>
      <c r="X102">
        <v>2.3263079294608561E-3</v>
      </c>
      <c r="Y102">
        <v>1.1535083208841206E-4</v>
      </c>
      <c r="Z102">
        <v>2.3157427211910669E-3</v>
      </c>
      <c r="AA102">
        <v>1.6929259297099118E-2</v>
      </c>
      <c r="AB102">
        <v>0</v>
      </c>
      <c r="AC102">
        <v>2.8265230255484436E-3</v>
      </c>
      <c r="AD102">
        <v>2.7331511806955647E-2</v>
      </c>
      <c r="AE102">
        <v>8.948284199928548E-4</v>
      </c>
      <c r="AF102">
        <v>3.6547291428114855E-3</v>
      </c>
      <c r="AG102">
        <v>4.8070255392760872E-2</v>
      </c>
      <c r="AH102">
        <v>9.1463399295574528E-4</v>
      </c>
      <c r="AI102">
        <v>2.4770941346827034E-3</v>
      </c>
      <c r="AJ102">
        <v>4.3990788107332009E-3</v>
      </c>
      <c r="AK102">
        <v>1.5180672607990728E-2</v>
      </c>
      <c r="AL102">
        <v>0.1820247086867422</v>
      </c>
      <c r="AM102">
        <f t="shared" si="2"/>
        <v>29.353322753828966</v>
      </c>
      <c r="AN102">
        <f t="shared" si="3"/>
        <v>0.77157305524349373</v>
      </c>
    </row>
    <row r="103" spans="1:40" x14ac:dyDescent="0.35">
      <c r="A103" t="s">
        <v>154</v>
      </c>
      <c r="B103" t="s">
        <v>73</v>
      </c>
      <c r="C103">
        <v>1</v>
      </c>
      <c r="D103" t="s">
        <v>134</v>
      </c>
      <c r="E103">
        <v>0</v>
      </c>
      <c r="F103" t="s">
        <v>6</v>
      </c>
      <c r="G103" t="s">
        <v>313</v>
      </c>
      <c r="H103">
        <v>25</v>
      </c>
      <c r="I103">
        <v>29</v>
      </c>
      <c r="J103">
        <v>0.13350000000000001</v>
      </c>
      <c r="K103">
        <v>3.1999999999996476E-3</v>
      </c>
      <c r="L103">
        <v>4.3369995250267088E-4</v>
      </c>
      <c r="M103">
        <v>1.3354787561032708E-2</v>
      </c>
      <c r="N103">
        <v>2.6804064610149851E-3</v>
      </c>
      <c r="O103">
        <v>0.21261459191340992</v>
      </c>
      <c r="P103">
        <v>6.9930978354676232E-3</v>
      </c>
      <c r="Q103">
        <v>3.1752522687057382E-2</v>
      </c>
      <c r="R103">
        <v>9.4663831786531705E-4</v>
      </c>
      <c r="S103">
        <v>4.5596596251115899E-3</v>
      </c>
      <c r="T103">
        <v>7.4027263609550295E-2</v>
      </c>
      <c r="U103">
        <v>0.14527012234056128</v>
      </c>
      <c r="V103">
        <v>4.567824588536034E-2</v>
      </c>
      <c r="W103">
        <v>2.6401802505946797E-2</v>
      </c>
      <c r="X103">
        <v>4.5315287089594944E-3</v>
      </c>
      <c r="Y103">
        <v>3.0681772446586697E-3</v>
      </c>
      <c r="Z103">
        <v>3.17163983520868E-3</v>
      </c>
      <c r="AA103">
        <v>2.2855779564035044E-2</v>
      </c>
      <c r="AB103">
        <v>4.5817205013605035E-3</v>
      </c>
      <c r="AC103">
        <v>1.7141544766640919E-3</v>
      </c>
      <c r="AD103">
        <v>5.576967922698188E-2</v>
      </c>
      <c r="AE103">
        <v>1.427219131912717E-3</v>
      </c>
      <c r="AF103">
        <v>4.6340795939113985E-3</v>
      </c>
      <c r="AG103">
        <v>6.7876457786761227E-2</v>
      </c>
      <c r="AH103">
        <v>6.9039706158352055E-4</v>
      </c>
      <c r="AI103">
        <v>3.0144066079142167E-3</v>
      </c>
      <c r="AJ103">
        <v>6.1154412424835854E-3</v>
      </c>
      <c r="AK103">
        <v>2.499285747308384E-2</v>
      </c>
      <c r="AL103">
        <v>0.30003787776876345</v>
      </c>
      <c r="AM103">
        <f t="shared" si="2"/>
        <v>33.412320466227527</v>
      </c>
      <c r="AN103">
        <f t="shared" si="3"/>
        <v>0.8008945729731558</v>
      </c>
    </row>
    <row r="104" spans="1:40" x14ac:dyDescent="0.35">
      <c r="A104" t="s">
        <v>155</v>
      </c>
      <c r="B104" t="s">
        <v>73</v>
      </c>
      <c r="C104">
        <v>1</v>
      </c>
      <c r="D104" t="s">
        <v>134</v>
      </c>
      <c r="E104">
        <v>0</v>
      </c>
      <c r="F104" t="s">
        <v>6</v>
      </c>
      <c r="G104" t="s">
        <v>313</v>
      </c>
      <c r="H104">
        <v>27</v>
      </c>
      <c r="I104">
        <v>31</v>
      </c>
      <c r="J104">
        <v>0.17530000000000001</v>
      </c>
      <c r="K104">
        <v>4.4000000000004027E-3</v>
      </c>
      <c r="L104">
        <v>3.5704295063015219E-4</v>
      </c>
      <c r="M104">
        <v>1.4407627794648983E-2</v>
      </c>
      <c r="N104">
        <v>3.088666607823838E-3</v>
      </c>
      <c r="O104">
        <v>0.26158188725856962</v>
      </c>
      <c r="P104">
        <v>7.8891327606304979E-3</v>
      </c>
      <c r="Q104">
        <v>3.4023527351533085E-2</v>
      </c>
      <c r="R104">
        <v>1.0100390929130918E-3</v>
      </c>
      <c r="S104">
        <v>5.0532733814337731E-3</v>
      </c>
      <c r="T104">
        <v>8.6188186471168021E-2</v>
      </c>
      <c r="U104">
        <v>0.16600745548030602</v>
      </c>
      <c r="V104">
        <v>5.3354829851836746E-2</v>
      </c>
      <c r="W104">
        <v>2.9894630502052037E-2</v>
      </c>
      <c r="X104">
        <v>4.4356549075133455E-3</v>
      </c>
      <c r="Y104">
        <v>3.3658123492394977E-3</v>
      </c>
      <c r="Z104">
        <v>3.3227307008946542E-3</v>
      </c>
      <c r="AA104">
        <v>2.6118384829281586E-2</v>
      </c>
      <c r="AB104">
        <v>0</v>
      </c>
      <c r="AC104">
        <v>3.4770767470761479E-3</v>
      </c>
      <c r="AD104">
        <v>6.5327949439105554E-2</v>
      </c>
      <c r="AE104">
        <v>1.7485875424178294E-3</v>
      </c>
      <c r="AF104">
        <v>5.5311957746847253E-3</v>
      </c>
      <c r="AG104">
        <v>9.1737087158704197E-2</v>
      </c>
      <c r="AH104">
        <v>1.0010120680679631E-5</v>
      </c>
      <c r="AI104">
        <v>4.8734127825856921E-3</v>
      </c>
      <c r="AJ104">
        <v>8.0301886374089596E-3</v>
      </c>
      <c r="AK104">
        <v>3.2615633049097155E-2</v>
      </c>
      <c r="AL104">
        <v>0.39382160406081673</v>
      </c>
      <c r="AM104">
        <f t="shared" si="2"/>
        <v>29.710718809157573</v>
      </c>
      <c r="AN104">
        <f t="shared" si="3"/>
        <v>0.74573395756021255</v>
      </c>
    </row>
    <row r="105" spans="1:40" x14ac:dyDescent="0.35">
      <c r="A105" t="s">
        <v>156</v>
      </c>
      <c r="B105" t="s">
        <v>73</v>
      </c>
      <c r="C105">
        <v>1</v>
      </c>
      <c r="D105" t="s">
        <v>134</v>
      </c>
      <c r="E105">
        <v>0</v>
      </c>
      <c r="F105" t="s">
        <v>6</v>
      </c>
      <c r="G105" t="s">
        <v>313</v>
      </c>
      <c r="H105">
        <v>29</v>
      </c>
      <c r="I105">
        <v>33</v>
      </c>
      <c r="J105">
        <v>0.16889999999999999</v>
      </c>
      <c r="K105">
        <v>2.3999999999997352E-3</v>
      </c>
      <c r="L105">
        <v>3.313295806050238E-4</v>
      </c>
      <c r="M105">
        <v>1.4020033870119759E-2</v>
      </c>
      <c r="N105">
        <v>2.615494915261779E-3</v>
      </c>
      <c r="O105">
        <v>0.22892138210496532</v>
      </c>
      <c r="P105">
        <v>6.4135893157746789E-3</v>
      </c>
      <c r="Q105">
        <v>3.0255188028559917E-2</v>
      </c>
      <c r="R105">
        <v>9.998841518957587E-4</v>
      </c>
      <c r="S105">
        <v>4.3457695211795728E-3</v>
      </c>
      <c r="T105">
        <v>7.8706342666637827E-2</v>
      </c>
      <c r="U105">
        <v>0.14954046231951826</v>
      </c>
      <c r="V105">
        <v>4.6636055817149337E-2</v>
      </c>
      <c r="W105">
        <v>2.7325418784539958E-2</v>
      </c>
      <c r="X105">
        <v>3.8616819546100274E-3</v>
      </c>
      <c r="Y105">
        <v>3.6525926660933789E-3</v>
      </c>
      <c r="Z105">
        <v>1.8200571810044284E-3</v>
      </c>
      <c r="AA105">
        <v>2.8482124611617195E-2</v>
      </c>
      <c r="AB105">
        <v>0</v>
      </c>
      <c r="AC105">
        <v>2.4127766250192279E-3</v>
      </c>
      <c r="AD105">
        <v>5.8930057704740031E-2</v>
      </c>
      <c r="AE105">
        <v>1.2599320090171989E-3</v>
      </c>
      <c r="AF105">
        <v>4.3397281384850665E-3</v>
      </c>
      <c r="AG105">
        <v>8.6015257363667955E-2</v>
      </c>
      <c r="AH105">
        <v>8.5964214036771266E-4</v>
      </c>
      <c r="AI105">
        <v>6.413109018787274E-3</v>
      </c>
      <c r="AJ105">
        <v>7.0290663611632508E-3</v>
      </c>
      <c r="AK105">
        <v>2.7308194016109323E-2</v>
      </c>
      <c r="AL105">
        <v>0.3640907275829533</v>
      </c>
      <c r="AM105">
        <f t="shared" si="2"/>
        <v>49.441079102082227</v>
      </c>
      <c r="AN105">
        <f t="shared" si="3"/>
        <v>0.70253753608634839</v>
      </c>
    </row>
    <row r="106" spans="1:40" x14ac:dyDescent="0.35">
      <c r="A106" t="s">
        <v>157</v>
      </c>
      <c r="B106" t="s">
        <v>73</v>
      </c>
      <c r="C106">
        <v>1</v>
      </c>
      <c r="D106" t="s">
        <v>134</v>
      </c>
      <c r="E106">
        <v>0</v>
      </c>
      <c r="F106" t="s">
        <v>6</v>
      </c>
      <c r="G106" t="s">
        <v>313</v>
      </c>
      <c r="H106">
        <v>25</v>
      </c>
      <c r="I106">
        <v>29</v>
      </c>
      <c r="J106">
        <v>0.12889999999999999</v>
      </c>
      <c r="K106">
        <v>2.2999999999999687E-3</v>
      </c>
      <c r="L106">
        <v>4.9053185412327189E-4</v>
      </c>
      <c r="M106">
        <v>3.0678195699715596E-2</v>
      </c>
      <c r="N106">
        <v>3.6801350501210594E-3</v>
      </c>
      <c r="O106">
        <v>0.25498600386758669</v>
      </c>
      <c r="P106">
        <v>5.995227247175835E-3</v>
      </c>
      <c r="Q106">
        <v>6.5339001345508796E-2</v>
      </c>
      <c r="R106">
        <v>2.9295981522686897E-3</v>
      </c>
      <c r="S106">
        <v>4.9175778186386181E-3</v>
      </c>
      <c r="T106">
        <v>7.9206024336332767E-2</v>
      </c>
      <c r="U106">
        <v>0.23179497578115446</v>
      </c>
      <c r="V106">
        <v>6.4648046083888008E-2</v>
      </c>
      <c r="W106">
        <v>6.3400112374724885E-2</v>
      </c>
      <c r="X106">
        <v>8.2956964304817579E-3</v>
      </c>
      <c r="Y106">
        <v>9.5400636961450475E-3</v>
      </c>
      <c r="Z106">
        <v>1.864797446724154E-3</v>
      </c>
      <c r="AA106">
        <v>6.6047937674524326E-2</v>
      </c>
      <c r="AB106">
        <v>0</v>
      </c>
      <c r="AC106">
        <v>5.5063327419047348E-3</v>
      </c>
      <c r="AD106">
        <v>3.8120958412128057E-2</v>
      </c>
      <c r="AE106">
        <v>2.008425688036687E-3</v>
      </c>
      <c r="AF106">
        <v>8.7469557281362048E-3</v>
      </c>
      <c r="AG106">
        <v>0.10499158945992104</v>
      </c>
      <c r="AH106">
        <v>1.0721717523772235E-3</v>
      </c>
      <c r="AI106">
        <v>4.3387839303895333E-3</v>
      </c>
      <c r="AJ106">
        <v>6.19481114126187E-3</v>
      </c>
      <c r="AK106">
        <v>2.5563665653146071E-2</v>
      </c>
      <c r="AL106">
        <v>0.30826869952490737</v>
      </c>
      <c r="AM106">
        <f t="shared" si="2"/>
        <v>60.809839951797464</v>
      </c>
      <c r="AN106">
        <f t="shared" si="3"/>
        <v>1.0850475709009486</v>
      </c>
    </row>
    <row r="107" spans="1:40" x14ac:dyDescent="0.35">
      <c r="A107" t="s">
        <v>158</v>
      </c>
      <c r="B107" t="s">
        <v>73</v>
      </c>
      <c r="C107">
        <v>1</v>
      </c>
      <c r="D107" t="s">
        <v>134</v>
      </c>
      <c r="E107">
        <v>0</v>
      </c>
      <c r="F107" t="s">
        <v>6</v>
      </c>
      <c r="G107" t="s">
        <v>313</v>
      </c>
      <c r="H107">
        <v>28</v>
      </c>
      <c r="I107">
        <v>32</v>
      </c>
      <c r="J107">
        <v>0.1993</v>
      </c>
      <c r="K107">
        <v>7.0999999999994401E-3</v>
      </c>
      <c r="L107">
        <v>5.9175179800679796E-4</v>
      </c>
      <c r="M107">
        <v>3.6587883587195565E-2</v>
      </c>
      <c r="N107">
        <v>5.1405771443823025E-3</v>
      </c>
      <c r="O107">
        <v>0.35203212280089957</v>
      </c>
      <c r="P107">
        <v>1.0826377164789592E-2</v>
      </c>
      <c r="Q107">
        <v>7.4903516634754794E-2</v>
      </c>
      <c r="R107">
        <v>3.2173296623266771E-3</v>
      </c>
      <c r="S107">
        <v>6.2888680309579918E-3</v>
      </c>
      <c r="T107">
        <v>0.10893746652302859</v>
      </c>
      <c r="U107">
        <v>0.27123717036888267</v>
      </c>
      <c r="V107">
        <v>8.4346440231732558E-2</v>
      </c>
      <c r="W107">
        <v>6.4876707694596039E-2</v>
      </c>
      <c r="X107">
        <v>8.6543442356183178E-3</v>
      </c>
      <c r="Y107">
        <v>1.0117958086056455E-2</v>
      </c>
      <c r="Z107">
        <v>2.3689964683755861E-3</v>
      </c>
      <c r="AA107">
        <v>6.8060818959975858E-2</v>
      </c>
      <c r="AB107">
        <v>0</v>
      </c>
      <c r="AC107">
        <v>4.2422199454474115E-3</v>
      </c>
      <c r="AD107">
        <v>7.3560760135731262E-2</v>
      </c>
      <c r="AE107">
        <v>2.4556785557390383E-3</v>
      </c>
      <c r="AF107">
        <v>7.962589752927806E-3</v>
      </c>
      <c r="AG107">
        <v>0.13078716424724149</v>
      </c>
      <c r="AH107">
        <v>1.2248855802028528E-3</v>
      </c>
      <c r="AI107">
        <v>3.811992350787581E-3</v>
      </c>
      <c r="AJ107">
        <v>8.4078300888396958E-3</v>
      </c>
      <c r="AK107">
        <v>4.0381121342739038E-2</v>
      </c>
      <c r="AL107">
        <v>0.44371118673709331</v>
      </c>
      <c r="AM107">
        <f t="shared" si="2"/>
        <v>25.70047546659821</v>
      </c>
      <c r="AN107">
        <f t="shared" si="3"/>
        <v>0.91557137889028051</v>
      </c>
    </row>
    <row r="108" spans="1:40" x14ac:dyDescent="0.35">
      <c r="A108" t="s">
        <v>159</v>
      </c>
      <c r="B108" t="s">
        <v>73</v>
      </c>
      <c r="C108">
        <v>1</v>
      </c>
      <c r="D108" t="s">
        <v>134</v>
      </c>
      <c r="E108">
        <v>0</v>
      </c>
      <c r="F108" t="s">
        <v>6</v>
      </c>
      <c r="G108" t="s">
        <v>313</v>
      </c>
      <c r="H108">
        <v>26</v>
      </c>
      <c r="I108">
        <v>30</v>
      </c>
      <c r="J108">
        <v>0.19309999999999999</v>
      </c>
      <c r="K108">
        <v>5.5999999999993832E-3</v>
      </c>
      <c r="L108">
        <v>4.1012016439275433E-4</v>
      </c>
      <c r="M108">
        <v>3.6409777060846832E-2</v>
      </c>
      <c r="N108">
        <v>4.8685012502574249E-3</v>
      </c>
      <c r="O108">
        <v>0.33632729958589686</v>
      </c>
      <c r="P108">
        <v>9.4438262780641713E-3</v>
      </c>
      <c r="Q108">
        <v>7.6326188084706287E-2</v>
      </c>
      <c r="R108">
        <v>3.2125182017151998E-3</v>
      </c>
      <c r="S108">
        <v>6.0613432074155702E-3</v>
      </c>
      <c r="T108">
        <v>0.10594777979117156</v>
      </c>
      <c r="U108">
        <v>0.28514188203848212</v>
      </c>
      <c r="V108">
        <v>8.1170020711341384E-2</v>
      </c>
      <c r="W108">
        <v>7.1159709797647158E-2</v>
      </c>
      <c r="X108">
        <v>8.6203433944783275E-3</v>
      </c>
      <c r="Y108">
        <v>1.0092010691092744E-2</v>
      </c>
      <c r="Z108">
        <v>2.2562280648054369E-3</v>
      </c>
      <c r="AA108">
        <v>7.5224252239865633E-2</v>
      </c>
      <c r="AB108">
        <v>9.2854738801206576E-3</v>
      </c>
      <c r="AC108">
        <v>5.6751068079743915E-3</v>
      </c>
      <c r="AD108">
        <v>5.7006170063320011E-2</v>
      </c>
      <c r="AE108">
        <v>1.8987679069933693E-3</v>
      </c>
      <c r="AF108">
        <v>8.9395402598673752E-3</v>
      </c>
      <c r="AG108">
        <v>0.13102708500964194</v>
      </c>
      <c r="AH108">
        <v>1.3728323930537088E-3</v>
      </c>
      <c r="AI108">
        <v>3.9167999585686293E-3</v>
      </c>
      <c r="AJ108">
        <v>1.0839488319314576E-2</v>
      </c>
      <c r="AK108">
        <v>3.5357888846281292E-2</v>
      </c>
      <c r="AL108">
        <v>0.41606261583378945</v>
      </c>
      <c r="AM108">
        <f t="shared" si="2"/>
        <v>32.036670890023252</v>
      </c>
      <c r="AN108">
        <f t="shared" si="3"/>
        <v>0.92908004652568865</v>
      </c>
    </row>
    <row r="109" spans="1:40" x14ac:dyDescent="0.35">
      <c r="A109" t="s">
        <v>160</v>
      </c>
      <c r="B109" t="s">
        <v>73</v>
      </c>
      <c r="C109">
        <v>1</v>
      </c>
      <c r="D109" t="s">
        <v>134</v>
      </c>
      <c r="E109">
        <v>0</v>
      </c>
      <c r="F109" t="s">
        <v>6</v>
      </c>
      <c r="G109" t="s">
        <v>313</v>
      </c>
      <c r="H109">
        <v>25</v>
      </c>
      <c r="I109">
        <v>28</v>
      </c>
      <c r="J109">
        <v>0.1285</v>
      </c>
      <c r="K109">
        <v>2.5999999999992696E-3</v>
      </c>
      <c r="L109">
        <v>6.4550185305442824E-4</v>
      </c>
      <c r="M109">
        <v>4.010255077923728E-2</v>
      </c>
      <c r="N109">
        <v>4.8499757848638305E-3</v>
      </c>
      <c r="O109">
        <v>0.3488586319705575</v>
      </c>
      <c r="P109">
        <v>8.1509284940893788E-3</v>
      </c>
      <c r="Q109">
        <v>8.3680364555489412E-2</v>
      </c>
      <c r="R109">
        <v>3.5322378913033806E-3</v>
      </c>
      <c r="S109">
        <v>5.6674905509378768E-3</v>
      </c>
      <c r="T109">
        <v>0.10569540566963073</v>
      </c>
      <c r="U109">
        <v>0.30822356181115029</v>
      </c>
      <c r="V109">
        <v>8.587738032209033E-2</v>
      </c>
      <c r="W109">
        <v>7.9180411953958349E-2</v>
      </c>
      <c r="X109">
        <v>9.0272439628215437E-3</v>
      </c>
      <c r="Y109">
        <v>1.178478289889036E-2</v>
      </c>
      <c r="Z109">
        <v>3.7454705442698478E-3</v>
      </c>
      <c r="AA109">
        <v>8.5641814768073171E-2</v>
      </c>
      <c r="AB109">
        <v>0</v>
      </c>
      <c r="AC109">
        <v>5.4799884953920311E-3</v>
      </c>
      <c r="AD109">
        <v>5.7582622463778863E-2</v>
      </c>
      <c r="AE109">
        <v>2.6635763079881575E-3</v>
      </c>
      <c r="AF109">
        <v>1.0426877221198658E-2</v>
      </c>
      <c r="AG109">
        <v>0.13678419444851075</v>
      </c>
      <c r="AH109">
        <v>1.5280081422186223E-3</v>
      </c>
      <c r="AI109">
        <v>4.3419294917142956E-3</v>
      </c>
      <c r="AJ109">
        <v>9.4350038015506722E-3</v>
      </c>
      <c r="AK109">
        <v>3.56633456031955E-2</v>
      </c>
      <c r="AL109">
        <v>0.4166259158061319</v>
      </c>
      <c r="AM109">
        <f t="shared" si="2"/>
        <v>71.738277522793112</v>
      </c>
      <c r="AN109">
        <f t="shared" si="3"/>
        <v>1.4515137864529937</v>
      </c>
    </row>
    <row r="110" spans="1:40" x14ac:dyDescent="0.35">
      <c r="A110" t="s">
        <v>161</v>
      </c>
      <c r="B110" t="s">
        <v>73</v>
      </c>
      <c r="C110">
        <v>1</v>
      </c>
      <c r="D110" t="s">
        <v>134</v>
      </c>
      <c r="E110">
        <v>0</v>
      </c>
      <c r="F110" t="s">
        <v>6</v>
      </c>
      <c r="G110" t="s">
        <v>313</v>
      </c>
      <c r="H110">
        <v>25</v>
      </c>
      <c r="I110">
        <v>30</v>
      </c>
      <c r="J110">
        <v>0.1522</v>
      </c>
      <c r="K110">
        <v>4.3000000000006366E-3</v>
      </c>
      <c r="L110">
        <v>6.2770286657794401E-4</v>
      </c>
      <c r="M110">
        <v>3.8726012830469204E-2</v>
      </c>
      <c r="N110">
        <v>4.8317725535071097E-3</v>
      </c>
      <c r="O110">
        <v>0.38165008270973977</v>
      </c>
      <c r="P110">
        <v>1.035202468937807E-2</v>
      </c>
      <c r="Q110">
        <v>7.7303914932935633E-2</v>
      </c>
      <c r="R110">
        <v>3.3016655244099413E-3</v>
      </c>
      <c r="S110">
        <v>6.1354094585872607E-3</v>
      </c>
      <c r="T110">
        <v>0.116547463964423</v>
      </c>
      <c r="U110">
        <v>0.28536513829057841</v>
      </c>
      <c r="V110">
        <v>8.2131572642650252E-2</v>
      </c>
      <c r="W110">
        <v>6.5968572644049442E-2</v>
      </c>
      <c r="X110">
        <v>8.0312764389306249E-3</v>
      </c>
      <c r="Y110">
        <v>1.0071600449771345E-2</v>
      </c>
      <c r="Z110">
        <v>3.8162338352214355E-3</v>
      </c>
      <c r="AA110">
        <v>6.4853509097598405E-2</v>
      </c>
      <c r="AB110">
        <v>8.0592408227504048E-3</v>
      </c>
      <c r="AC110">
        <v>3.888503735393315E-3</v>
      </c>
      <c r="AD110">
        <v>6.4504693316336875E-2</v>
      </c>
      <c r="AE110">
        <v>1.9860861129204969E-3</v>
      </c>
      <c r="AF110">
        <v>8.9706905470548839E-3</v>
      </c>
      <c r="AG110">
        <v>0.12775645217064613</v>
      </c>
      <c r="AH110">
        <v>7.0735110734328763E-4</v>
      </c>
      <c r="AI110">
        <v>4.9448361636909299E-3</v>
      </c>
      <c r="AJ110">
        <v>1.0218493278605649E-2</v>
      </c>
      <c r="AK110">
        <v>3.5703979319993293E-2</v>
      </c>
      <c r="AL110">
        <v>0.44635699458509814</v>
      </c>
      <c r="AM110">
        <f t="shared" si="2"/>
        <v>43.55375056019497</v>
      </c>
      <c r="AN110">
        <f t="shared" si="3"/>
        <v>1.2304936097823005</v>
      </c>
    </row>
    <row r="111" spans="1:40" x14ac:dyDescent="0.35">
      <c r="A111" t="s">
        <v>162</v>
      </c>
      <c r="B111" t="s">
        <v>73</v>
      </c>
      <c r="C111">
        <v>1</v>
      </c>
      <c r="D111" t="s">
        <v>134</v>
      </c>
      <c r="E111">
        <v>0</v>
      </c>
      <c r="F111" t="s">
        <v>6</v>
      </c>
      <c r="G111" t="s">
        <v>313</v>
      </c>
      <c r="H111">
        <v>27</v>
      </c>
      <c r="I111">
        <v>30</v>
      </c>
      <c r="J111">
        <v>0.151</v>
      </c>
      <c r="K111">
        <v>3.2000000000014239E-3</v>
      </c>
      <c r="L111">
        <v>4.8959852058502815E-4</v>
      </c>
      <c r="M111">
        <v>1.9365681517575138E-2</v>
      </c>
      <c r="N111">
        <v>3.5494028560242251E-3</v>
      </c>
      <c r="O111">
        <v>0.31542256338676505</v>
      </c>
      <c r="P111">
        <v>1.0502545230059224E-2</v>
      </c>
      <c r="Q111">
        <v>4.5193861232393259E-2</v>
      </c>
      <c r="R111">
        <v>4.8619756662658499E-3</v>
      </c>
      <c r="S111">
        <v>1.1621851632012211E-2</v>
      </c>
      <c r="T111">
        <v>0.10322822640936742</v>
      </c>
      <c r="U111">
        <v>0.20919157233095398</v>
      </c>
      <c r="V111">
        <v>6.3246035705902509E-2</v>
      </c>
      <c r="W111">
        <v>3.6605081134922106E-2</v>
      </c>
      <c r="X111">
        <v>5.0141957829542274E-3</v>
      </c>
      <c r="Y111">
        <v>4.586848090494631E-3</v>
      </c>
      <c r="Z111">
        <v>2.4621603874344809E-3</v>
      </c>
      <c r="AA111">
        <v>3.6160051567421518E-2</v>
      </c>
      <c r="AB111">
        <v>6.9354947828040633E-3</v>
      </c>
      <c r="AC111">
        <v>3.0287432035203525E-3</v>
      </c>
      <c r="AD111">
        <v>7.3789301531366369E-2</v>
      </c>
      <c r="AE111">
        <v>1.5203155573301872E-3</v>
      </c>
      <c r="AF111">
        <v>5.8918098949018371E-3</v>
      </c>
      <c r="AG111">
        <v>0.10398876130994324</v>
      </c>
      <c r="AH111">
        <v>7.07926394031143E-4</v>
      </c>
      <c r="AI111">
        <v>3.7455833881683827E-3</v>
      </c>
      <c r="AJ111">
        <v>8.1774086605018274E-3</v>
      </c>
      <c r="AK111">
        <v>3.367666950155683E-2</v>
      </c>
      <c r="AL111">
        <v>0.46030286774928841</v>
      </c>
      <c r="AM111">
        <f t="shared" si="2"/>
        <v>49.164579169495099</v>
      </c>
      <c r="AN111">
        <f t="shared" si="3"/>
        <v>1.04189836650632</v>
      </c>
    </row>
    <row r="112" spans="1:40" x14ac:dyDescent="0.35">
      <c r="A112" t="s">
        <v>163</v>
      </c>
      <c r="B112" t="s">
        <v>73</v>
      </c>
      <c r="C112">
        <v>1</v>
      </c>
      <c r="D112" t="s">
        <v>134</v>
      </c>
      <c r="E112">
        <v>0</v>
      </c>
      <c r="F112" t="s">
        <v>6</v>
      </c>
      <c r="G112" t="s">
        <v>313</v>
      </c>
      <c r="H112">
        <v>30</v>
      </c>
      <c r="I112">
        <v>35</v>
      </c>
      <c r="J112">
        <v>0.24729999999999999</v>
      </c>
      <c r="K112">
        <v>6.0000000000002274E-3</v>
      </c>
      <c r="L112">
        <v>8.3717920474415855E-4</v>
      </c>
      <c r="M112">
        <v>7.3088377434987348E-2</v>
      </c>
      <c r="N112">
        <v>9.0004661559056377E-3</v>
      </c>
      <c r="O112">
        <v>0.59363372873099796</v>
      </c>
      <c r="P112">
        <v>1.8037435079356397E-2</v>
      </c>
      <c r="Q112">
        <v>0.14198510856781263</v>
      </c>
      <c r="R112">
        <v>6.6897512659557443E-3</v>
      </c>
      <c r="S112">
        <v>9.5395815944065362E-3</v>
      </c>
      <c r="T112">
        <v>0.18447945157166612</v>
      </c>
      <c r="U112">
        <v>0.47747108887783696</v>
      </c>
      <c r="V112">
        <v>0.14930939922624253</v>
      </c>
      <c r="W112">
        <v>0.13010453495070351</v>
      </c>
      <c r="X112">
        <v>1.5599754041423473E-2</v>
      </c>
      <c r="Y112">
        <v>1.9056062403555053E-2</v>
      </c>
      <c r="Z112">
        <v>4.3629049282186355E-3</v>
      </c>
      <c r="AA112">
        <v>0.13717875750027986</v>
      </c>
      <c r="AB112">
        <v>0</v>
      </c>
      <c r="AC112">
        <v>7.8240971935063259E-3</v>
      </c>
      <c r="AD112">
        <v>0.10486941501011791</v>
      </c>
      <c r="AE112">
        <v>3.5837191983140691E-3</v>
      </c>
      <c r="AF112">
        <v>1.5000582694882048E-2</v>
      </c>
      <c r="AG112">
        <v>0.21971836925170218</v>
      </c>
      <c r="AH112">
        <v>1.778024429227362E-3</v>
      </c>
      <c r="AI112">
        <v>6.0536247966318183E-3</v>
      </c>
      <c r="AJ112">
        <v>1.3644076676512846E-2</v>
      </c>
      <c r="AK112">
        <v>6.724050526802175E-2</v>
      </c>
      <c r="AL112">
        <v>0.71686210372275583</v>
      </c>
      <c r="AM112">
        <f t="shared" si="2"/>
        <v>52.115801662927431</v>
      </c>
      <c r="AN112">
        <f t="shared" si="3"/>
        <v>1.2644351394159985</v>
      </c>
    </row>
    <row r="113" spans="1:40" x14ac:dyDescent="0.35">
      <c r="A113" t="s">
        <v>164</v>
      </c>
      <c r="B113" t="s">
        <v>73</v>
      </c>
      <c r="C113">
        <v>1</v>
      </c>
      <c r="D113" t="s">
        <v>45</v>
      </c>
      <c r="E113">
        <v>8</v>
      </c>
      <c r="F113">
        <v>22</v>
      </c>
      <c r="G113" t="s">
        <v>12</v>
      </c>
      <c r="H113">
        <v>28</v>
      </c>
      <c r="I113">
        <v>34</v>
      </c>
      <c r="J113">
        <v>0.34010000000000001</v>
      </c>
      <c r="K113">
        <v>3.6999999999984818E-3</v>
      </c>
      <c r="L113">
        <v>1.098959720668307E-3</v>
      </c>
      <c r="M113">
        <v>1.760797923428745E-2</v>
      </c>
      <c r="N113">
        <v>9.6175790934156687E-3</v>
      </c>
      <c r="O113">
        <v>0.43081854904091244</v>
      </c>
      <c r="P113">
        <v>1.5967914043351284E-2</v>
      </c>
      <c r="Q113">
        <v>5.6110028386213283E-2</v>
      </c>
      <c r="R113">
        <v>4.7983756680071009E-4</v>
      </c>
      <c r="S113">
        <v>2.2097484754163441E-2</v>
      </c>
      <c r="T113">
        <v>0.21734642244766078</v>
      </c>
      <c r="U113">
        <v>0.34986696637622727</v>
      </c>
      <c r="V113">
        <v>0.10966601764218714</v>
      </c>
      <c r="W113">
        <v>3.2917529697555903E-2</v>
      </c>
      <c r="X113">
        <v>8.9487100657546399E-3</v>
      </c>
      <c r="Y113">
        <v>1.7987457311387086E-3</v>
      </c>
      <c r="Z113">
        <v>4.9255065677014289E-3</v>
      </c>
      <c r="AA113">
        <v>1.708565370834322E-2</v>
      </c>
      <c r="AB113">
        <v>0</v>
      </c>
      <c r="AC113">
        <v>1.2123736025184548E-2</v>
      </c>
      <c r="AD113">
        <v>0.18610503607876205</v>
      </c>
      <c r="AE113">
        <v>3.1714131509917648E-3</v>
      </c>
      <c r="AF113">
        <v>3.4777193705538712E-3</v>
      </c>
      <c r="AG113">
        <v>0.1335533243241582</v>
      </c>
      <c r="AH113">
        <v>2.3350230242311643E-3</v>
      </c>
      <c r="AI113">
        <v>1.9371013103215009E-2</v>
      </c>
      <c r="AJ113">
        <v>2.9429471368291951E-2</v>
      </c>
      <c r="AK113">
        <v>4.4006837087354395E-2</v>
      </c>
      <c r="AL113">
        <v>0.59300276422855136</v>
      </c>
      <c r="AM113">
        <f t="shared" si="2"/>
        <v>62.781897887530512</v>
      </c>
      <c r="AN113">
        <f t="shared" si="3"/>
        <v>0.68301388469205404</v>
      </c>
    </row>
    <row r="114" spans="1:40" x14ac:dyDescent="0.35">
      <c r="A114" t="s">
        <v>165</v>
      </c>
      <c r="B114" t="s">
        <v>73</v>
      </c>
      <c r="C114">
        <v>1</v>
      </c>
      <c r="D114" t="s">
        <v>45</v>
      </c>
      <c r="E114">
        <v>8</v>
      </c>
      <c r="F114">
        <v>22</v>
      </c>
      <c r="G114" t="s">
        <v>12</v>
      </c>
      <c r="H114">
        <v>30</v>
      </c>
      <c r="I114">
        <v>35</v>
      </c>
      <c r="J114">
        <v>0.36830000000000002</v>
      </c>
      <c r="K114">
        <v>4.5999999999999375E-3</v>
      </c>
      <c r="L114">
        <v>2.1634410254252022E-3</v>
      </c>
      <c r="M114">
        <v>3.1041556118836019E-2</v>
      </c>
      <c r="N114">
        <v>1.6937329667573872E-2</v>
      </c>
      <c r="O114">
        <v>0.54800645465899711</v>
      </c>
      <c r="P114">
        <v>2.2421211079656347E-2</v>
      </c>
      <c r="Q114">
        <v>9.1640328030649948E-2</v>
      </c>
      <c r="R114">
        <v>7.8940315708339777E-4</v>
      </c>
      <c r="S114">
        <v>3.5772109702370623E-2</v>
      </c>
      <c r="T114">
        <v>0.27360909880326961</v>
      </c>
      <c r="U114">
        <v>0.43043619713923192</v>
      </c>
      <c r="V114">
        <v>0.1678857877076807</v>
      </c>
      <c r="W114">
        <v>5.5520409283400268E-2</v>
      </c>
      <c r="X114">
        <v>1.645745566087789E-2</v>
      </c>
      <c r="Y114">
        <v>3.7454159817919036E-3</v>
      </c>
      <c r="Z114">
        <v>8.1495657097766117E-3</v>
      </c>
      <c r="AA114">
        <v>2.5001928573849596E-2</v>
      </c>
      <c r="AB114">
        <v>2.1722458056657916E-3</v>
      </c>
      <c r="AC114">
        <v>1.132156532205616E-2</v>
      </c>
      <c r="AD114">
        <v>0.21969381578967109</v>
      </c>
      <c r="AE114">
        <v>4.9049300314081548E-3</v>
      </c>
      <c r="AF114">
        <v>4.5507904439212104E-3</v>
      </c>
      <c r="AG114">
        <v>0.17814438818213094</v>
      </c>
      <c r="AH114">
        <v>4.2275282634035632E-3</v>
      </c>
      <c r="AI114">
        <v>2.6303188798472283E-2</v>
      </c>
      <c r="AJ114">
        <v>3.9788849099769374E-2</v>
      </c>
      <c r="AK114">
        <v>6.0894702867909406E-2</v>
      </c>
      <c r="AL114">
        <v>0.62541043734223267</v>
      </c>
      <c r="AM114">
        <f t="shared" si="2"/>
        <v>63.195437701025028</v>
      </c>
      <c r="AN114">
        <f t="shared" si="3"/>
        <v>0.78929952056668795</v>
      </c>
    </row>
    <row r="115" spans="1:40" x14ac:dyDescent="0.35">
      <c r="A115" t="s">
        <v>166</v>
      </c>
      <c r="B115" t="s">
        <v>73</v>
      </c>
      <c r="C115">
        <v>1</v>
      </c>
      <c r="D115" t="s">
        <v>45</v>
      </c>
      <c r="E115">
        <v>8</v>
      </c>
      <c r="F115">
        <v>22</v>
      </c>
      <c r="G115" t="s">
        <v>12</v>
      </c>
      <c r="H115">
        <v>30</v>
      </c>
      <c r="I115">
        <v>35</v>
      </c>
      <c r="J115">
        <v>0.30349999999999999</v>
      </c>
      <c r="K115">
        <v>4.6999999999997044E-3</v>
      </c>
      <c r="L115">
        <v>1.7509152597045708E-3</v>
      </c>
      <c r="M115">
        <v>2.3232632621299751E-2</v>
      </c>
      <c r="N115">
        <v>1.3672130324182399E-2</v>
      </c>
      <c r="O115">
        <v>0.50775424507063038</v>
      </c>
      <c r="P115">
        <v>1.9367559145746512E-2</v>
      </c>
      <c r="Q115">
        <v>7.9592111753673075E-2</v>
      </c>
      <c r="R115">
        <v>7.0273148705947267E-4</v>
      </c>
      <c r="S115">
        <v>2.8440556832180938E-2</v>
      </c>
      <c r="T115">
        <v>0.23302483277506161</v>
      </c>
      <c r="U115">
        <v>0.36875803527623158</v>
      </c>
      <c r="V115">
        <v>0.14126597171041477</v>
      </c>
      <c r="W115">
        <v>4.7823046920342831E-2</v>
      </c>
      <c r="X115">
        <v>1.3790140814187358E-2</v>
      </c>
      <c r="Y115">
        <v>3.8129516967846059E-3</v>
      </c>
      <c r="Z115">
        <v>5.8297354508366804E-3</v>
      </c>
      <c r="AA115">
        <v>1.9087047118847247E-2</v>
      </c>
      <c r="AB115">
        <v>0</v>
      </c>
      <c r="AC115">
        <v>1.1993972871454824E-2</v>
      </c>
      <c r="AD115">
        <v>0.20031481678920529</v>
      </c>
      <c r="AE115">
        <v>4.3909329325370859E-3</v>
      </c>
      <c r="AF115">
        <v>4.4535595418212547E-3</v>
      </c>
      <c r="AG115">
        <v>0.16707148306040395</v>
      </c>
      <c r="AH115">
        <v>2.7131491126322254E-3</v>
      </c>
      <c r="AI115">
        <v>2.217078250963922E-2</v>
      </c>
      <c r="AJ115">
        <v>3.6989247074895093E-2</v>
      </c>
      <c r="AK115">
        <v>5.8816761613912243E-2</v>
      </c>
      <c r="AL115">
        <v>0.57521432662485583</v>
      </c>
      <c r="AM115">
        <f t="shared" si="2"/>
        <v>55.149652689121375</v>
      </c>
      <c r="AN115">
        <f t="shared" si="3"/>
        <v>0.85404733983147996</v>
      </c>
    </row>
    <row r="116" spans="1:40" x14ac:dyDescent="0.35">
      <c r="A116" t="s">
        <v>167</v>
      </c>
      <c r="B116" t="s">
        <v>73</v>
      </c>
      <c r="C116">
        <v>1</v>
      </c>
      <c r="D116" t="s">
        <v>49</v>
      </c>
      <c r="E116">
        <v>8</v>
      </c>
      <c r="F116">
        <v>23</v>
      </c>
      <c r="G116" t="s">
        <v>13</v>
      </c>
      <c r="H116">
        <v>31</v>
      </c>
      <c r="I116">
        <v>37</v>
      </c>
      <c r="J116">
        <v>0.26340000000000002</v>
      </c>
      <c r="K116">
        <v>4.2000000000008697E-3</v>
      </c>
      <c r="L116">
        <v>1.2831634380161172E-3</v>
      </c>
      <c r="M116">
        <v>2.7224422335496924E-2</v>
      </c>
      <c r="N116">
        <v>1.6782993981324205E-2</v>
      </c>
      <c r="O116">
        <v>0.42028308408366727</v>
      </c>
      <c r="P116">
        <v>8.1368729524820133E-2</v>
      </c>
      <c r="Q116">
        <v>8.7878074755011019E-3</v>
      </c>
      <c r="R116">
        <v>2.0451657631989889E-2</v>
      </c>
      <c r="S116">
        <v>1.4062677078225106E-2</v>
      </c>
      <c r="T116">
        <v>0.18664954809205025</v>
      </c>
      <c r="U116">
        <v>0.36294956619287766</v>
      </c>
      <c r="V116">
        <v>0.1239891748614262</v>
      </c>
      <c r="W116">
        <v>3.6625094496966749E-2</v>
      </c>
      <c r="X116">
        <v>9.7266172366083509E-3</v>
      </c>
      <c r="Y116">
        <v>3.6620967267235109E-3</v>
      </c>
      <c r="Z116">
        <v>6.3596849371182077E-3</v>
      </c>
      <c r="AA116">
        <v>1.8323472835600086E-2</v>
      </c>
      <c r="AB116">
        <v>0</v>
      </c>
      <c r="AC116">
        <v>8.7428322430983304E-3</v>
      </c>
      <c r="AD116">
        <v>0.13238352619788402</v>
      </c>
      <c r="AE116">
        <v>2.0311466823955695E-3</v>
      </c>
      <c r="AF116">
        <v>3.8214772243978256E-3</v>
      </c>
      <c r="AG116">
        <v>0.11263944738836802</v>
      </c>
      <c r="AH116">
        <v>2.630530370315607E-3</v>
      </c>
      <c r="AI116">
        <v>7.5317796086645308E-3</v>
      </c>
      <c r="AJ116">
        <v>2.1604620472256815E-2</v>
      </c>
      <c r="AK116">
        <v>4.0200249393642362E-2</v>
      </c>
      <c r="AL116">
        <v>0.47075644221707613</v>
      </c>
      <c r="AM116">
        <f t="shared" si="2"/>
        <v>50.973139112525423</v>
      </c>
      <c r="AN116">
        <f t="shared" si="3"/>
        <v>0.81278353937984471</v>
      </c>
    </row>
    <row r="117" spans="1:40" x14ac:dyDescent="0.35">
      <c r="A117" t="s">
        <v>168</v>
      </c>
      <c r="B117" t="s">
        <v>73</v>
      </c>
      <c r="C117">
        <v>1</v>
      </c>
      <c r="D117" t="s">
        <v>49</v>
      </c>
      <c r="E117">
        <v>8</v>
      </c>
      <c r="F117">
        <v>23</v>
      </c>
      <c r="G117" t="s">
        <v>13</v>
      </c>
      <c r="H117">
        <v>30</v>
      </c>
      <c r="I117">
        <v>36</v>
      </c>
      <c r="J117">
        <v>0.3261</v>
      </c>
      <c r="K117">
        <v>3.7000000000002582E-3</v>
      </c>
      <c r="L117">
        <v>1.1124462198953957E-3</v>
      </c>
      <c r="M117">
        <v>2.3757851888501894E-2</v>
      </c>
      <c r="N117">
        <v>1.7943612912695531E-2</v>
      </c>
      <c r="O117">
        <v>0.47174612459625143</v>
      </c>
      <c r="P117">
        <v>8.7239192727692233E-2</v>
      </c>
      <c r="Q117">
        <v>8.9982854820054137E-2</v>
      </c>
      <c r="R117">
        <v>2.3207949557261135E-2</v>
      </c>
      <c r="S117">
        <v>1.5457634940094778E-2</v>
      </c>
      <c r="T117">
        <v>0.21521460722751523</v>
      </c>
      <c r="U117">
        <v>0.44253112793943972</v>
      </c>
      <c r="V117">
        <v>0.16076034580671578</v>
      </c>
      <c r="W117">
        <v>4.4287502813071492E-2</v>
      </c>
      <c r="X117">
        <v>1.0963155059750858E-2</v>
      </c>
      <c r="Y117">
        <v>5.4638284366255278E-3</v>
      </c>
      <c r="Z117">
        <v>4.8938426028609242E-3</v>
      </c>
      <c r="AA117">
        <v>2.3581444208566196E-2</v>
      </c>
      <c r="AB117">
        <v>2.4422362340941282E-3</v>
      </c>
      <c r="AC117">
        <v>1.4211179545591798E-2</v>
      </c>
      <c r="AD117">
        <v>0.15638684357264279</v>
      </c>
      <c r="AE117">
        <v>2.1756044481600007E-3</v>
      </c>
      <c r="AF117">
        <v>4.1722122427579828E-3</v>
      </c>
      <c r="AG117">
        <v>0.12721231723159643</v>
      </c>
      <c r="AH117">
        <v>2.6545754015549548E-3</v>
      </c>
      <c r="AI117">
        <v>1.2778502202929493E-2</v>
      </c>
      <c r="AJ117">
        <v>3.4524797411459675E-2</v>
      </c>
      <c r="AK117">
        <v>5.9615212440722383E-2</v>
      </c>
      <c r="AL117">
        <v>0.54625238755635275</v>
      </c>
      <c r="AM117">
        <f t="shared" si="2"/>
        <v>70.285659190396558</v>
      </c>
      <c r="AN117">
        <f t="shared" si="3"/>
        <v>0.79747604723853249</v>
      </c>
    </row>
    <row r="118" spans="1:40" x14ac:dyDescent="0.35">
      <c r="A118" t="s">
        <v>169</v>
      </c>
      <c r="B118" t="s">
        <v>73</v>
      </c>
      <c r="C118">
        <v>1</v>
      </c>
      <c r="D118" t="s">
        <v>49</v>
      </c>
      <c r="E118">
        <v>8</v>
      </c>
      <c r="F118">
        <v>23</v>
      </c>
      <c r="G118" t="s">
        <v>13</v>
      </c>
      <c r="H118">
        <v>32</v>
      </c>
      <c r="I118">
        <v>38</v>
      </c>
      <c r="J118">
        <v>0.34360000000000002</v>
      </c>
      <c r="K118">
        <v>6.0000000000002265E-3</v>
      </c>
      <c r="L118">
        <v>1.5970845360719352E-3</v>
      </c>
      <c r="M118">
        <v>3.451581484997493E-2</v>
      </c>
      <c r="N118">
        <v>2.3331920302626853E-2</v>
      </c>
      <c r="O118">
        <v>0.53166372941157491</v>
      </c>
      <c r="P118">
        <v>0.12542627136239418</v>
      </c>
      <c r="Q118">
        <v>0.12468686963626391</v>
      </c>
      <c r="R118">
        <v>2.7122598640904268E-2</v>
      </c>
      <c r="S118">
        <v>2.2479699905998424E-2</v>
      </c>
      <c r="T118">
        <v>0.23701238186434531</v>
      </c>
      <c r="U118">
        <v>0.53070311520439484</v>
      </c>
      <c r="V118">
        <v>0.19151686449541586</v>
      </c>
      <c r="W118">
        <v>5.1657905380397003E-2</v>
      </c>
      <c r="X118">
        <v>1.2143585637194518E-2</v>
      </c>
      <c r="Y118">
        <v>8.5806197466470144E-3</v>
      </c>
      <c r="Z118">
        <v>6.3200808650784287E-3</v>
      </c>
      <c r="AA118">
        <v>3.1180431712986491E-2</v>
      </c>
      <c r="AB118">
        <v>1.1448806334904145E-2</v>
      </c>
      <c r="AC118">
        <v>2.1525677214324843E-2</v>
      </c>
      <c r="AD118">
        <v>0.17186433730341175</v>
      </c>
      <c r="AE118">
        <v>2.0868783868059218E-3</v>
      </c>
      <c r="AF118">
        <v>4.7033667347955235E-3</v>
      </c>
      <c r="AG118">
        <v>0.15577416567644531</v>
      </c>
      <c r="AH118">
        <v>3.1682378670435628E-3</v>
      </c>
      <c r="AI118">
        <v>1.6091766102360974E-2</v>
      </c>
      <c r="AJ118">
        <v>3.5731468829589066E-2</v>
      </c>
      <c r="AK118">
        <v>6.9618663662542782E-2</v>
      </c>
      <c r="AL118">
        <v>0.52877343378172303</v>
      </c>
      <c r="AM118">
        <f t="shared" si="2"/>
        <v>49.678762924101711</v>
      </c>
      <c r="AN118">
        <f t="shared" si="3"/>
        <v>0.86749877050239077</v>
      </c>
    </row>
    <row r="119" spans="1:40" x14ac:dyDescent="0.35">
      <c r="A119" t="s">
        <v>170</v>
      </c>
      <c r="B119" t="s">
        <v>73</v>
      </c>
      <c r="C119">
        <v>1</v>
      </c>
      <c r="D119" t="s">
        <v>53</v>
      </c>
      <c r="E119">
        <v>8</v>
      </c>
      <c r="F119">
        <v>24</v>
      </c>
      <c r="G119" t="s">
        <v>10</v>
      </c>
      <c r="H119">
        <v>31</v>
      </c>
      <c r="I119">
        <v>36</v>
      </c>
      <c r="J119">
        <v>0.35649999999999998</v>
      </c>
      <c r="K119">
        <v>5.3000000000000824E-3</v>
      </c>
      <c r="L119">
        <v>1.3309671123324992E-3</v>
      </c>
      <c r="M119">
        <v>3.8230578193043818E-2</v>
      </c>
      <c r="N119">
        <v>1.8610119909663866E-2</v>
      </c>
      <c r="O119">
        <v>0.48168130331824571</v>
      </c>
      <c r="P119">
        <v>7.285534590161824E-2</v>
      </c>
      <c r="Q119">
        <v>0.14663555008706816</v>
      </c>
      <c r="R119">
        <v>9.4341705072614811E-4</v>
      </c>
      <c r="S119">
        <v>2.2465818534255208E-2</v>
      </c>
      <c r="T119">
        <v>0.21707947711654296</v>
      </c>
      <c r="U119">
        <v>0.61971664018483197</v>
      </c>
      <c r="V119">
        <v>0.21760996440392294</v>
      </c>
      <c r="W119">
        <v>5.2569258459193566E-2</v>
      </c>
      <c r="X119">
        <v>9.0162342449401998E-3</v>
      </c>
      <c r="Y119">
        <v>8.0305475585715352E-3</v>
      </c>
      <c r="Z119">
        <v>7.4521009230671805E-3</v>
      </c>
      <c r="AA119">
        <v>4.3096155982272996E-2</v>
      </c>
      <c r="AB119">
        <v>2.1632354057218143E-2</v>
      </c>
      <c r="AC119">
        <v>3.0088476429120017E-2</v>
      </c>
      <c r="AD119">
        <v>0.14942954612250714</v>
      </c>
      <c r="AE119">
        <v>1.6170991689725045E-3</v>
      </c>
      <c r="AF119">
        <v>4.2791789965159746E-3</v>
      </c>
      <c r="AG119">
        <v>0.11802213161886067</v>
      </c>
      <c r="AH119">
        <v>3.8518681488653905E-3</v>
      </c>
      <c r="AI119">
        <v>1.3677945603865956E-2</v>
      </c>
      <c r="AJ119">
        <v>3.0794818393029749E-2</v>
      </c>
      <c r="AK119">
        <v>6.5395942434184617E-2</v>
      </c>
      <c r="AL119">
        <v>0.43121070874823814</v>
      </c>
      <c r="AM119">
        <f t="shared" si="2"/>
        <v>53.345727333993032</v>
      </c>
      <c r="AN119">
        <f t="shared" si="3"/>
        <v>0.79307813427816964</v>
      </c>
    </row>
    <row r="120" spans="1:40" x14ac:dyDescent="0.35">
      <c r="A120" t="s">
        <v>171</v>
      </c>
      <c r="B120" t="s">
        <v>73</v>
      </c>
      <c r="C120">
        <v>1</v>
      </c>
      <c r="D120" t="s">
        <v>53</v>
      </c>
      <c r="E120">
        <v>8</v>
      </c>
      <c r="F120">
        <v>24</v>
      </c>
      <c r="G120" t="s">
        <v>10</v>
      </c>
      <c r="H120">
        <v>32</v>
      </c>
      <c r="I120">
        <v>38</v>
      </c>
      <c r="J120">
        <v>0.3639</v>
      </c>
      <c r="K120">
        <v>5.6999999999991502E-3</v>
      </c>
      <c r="L120">
        <v>1.2628412055605107E-3</v>
      </c>
      <c r="M120">
        <v>3.5082556192178094E-2</v>
      </c>
      <c r="N120">
        <v>1.750985294368777E-2</v>
      </c>
      <c r="O120">
        <v>0.50609189003587007</v>
      </c>
      <c r="P120">
        <v>4.8947267896914164E-2</v>
      </c>
      <c r="Q120">
        <v>0.1096293191021636</v>
      </c>
      <c r="R120">
        <v>3.4601065136436864E-4</v>
      </c>
      <c r="S120">
        <v>2.3092515199168485E-2</v>
      </c>
      <c r="T120">
        <v>0.22966518423097995</v>
      </c>
      <c r="U120">
        <v>0.52795508755279352</v>
      </c>
      <c r="V120">
        <v>0.18122437359269733</v>
      </c>
      <c r="W120">
        <v>4.5409427138228944E-2</v>
      </c>
      <c r="X120">
        <v>7.7980756363362318E-3</v>
      </c>
      <c r="Y120">
        <v>4.7484054323987338E-3</v>
      </c>
      <c r="Z120">
        <v>6.1206895990391277E-3</v>
      </c>
      <c r="AA120">
        <v>3.2464986559818769E-2</v>
      </c>
      <c r="AB120">
        <v>1.1849494251650463E-2</v>
      </c>
      <c r="AC120">
        <v>2.4804811070895719E-2</v>
      </c>
      <c r="AD120">
        <v>0.14077974244902067</v>
      </c>
      <c r="AE120">
        <v>2.1613346445595975E-3</v>
      </c>
      <c r="AF120">
        <v>4.3820916246203063E-3</v>
      </c>
      <c r="AG120">
        <v>0.10946713330458908</v>
      </c>
      <c r="AH120">
        <v>3.5605384524789673E-3</v>
      </c>
      <c r="AI120">
        <v>1.0522693692395755E-2</v>
      </c>
      <c r="AJ120">
        <v>2.8616334849250538E-2</v>
      </c>
      <c r="AK120">
        <v>5.5870228340774014E-2</v>
      </c>
      <c r="AL120">
        <v>0.54041962503183005</v>
      </c>
      <c r="AM120">
        <f t="shared" si="2"/>
        <v>47.540044047046827</v>
      </c>
      <c r="AN120">
        <f t="shared" si="3"/>
        <v>0.74465031895610478</v>
      </c>
    </row>
    <row r="121" spans="1:40" x14ac:dyDescent="0.35">
      <c r="A121" t="s">
        <v>172</v>
      </c>
      <c r="B121" t="s">
        <v>73</v>
      </c>
      <c r="C121">
        <v>1</v>
      </c>
      <c r="D121" t="s">
        <v>53</v>
      </c>
      <c r="E121">
        <v>8</v>
      </c>
      <c r="F121">
        <v>24</v>
      </c>
      <c r="G121" t="s">
        <v>10</v>
      </c>
      <c r="H121">
        <v>33</v>
      </c>
      <c r="I121">
        <v>38</v>
      </c>
      <c r="J121">
        <v>0.44240000000000002</v>
      </c>
      <c r="K121">
        <v>7.0000000000014495E-3</v>
      </c>
      <c r="L121">
        <v>1.4614444640699794E-3</v>
      </c>
      <c r="M121">
        <v>4.2420386682247499E-2</v>
      </c>
      <c r="N121">
        <v>2.2500929052787028E-2</v>
      </c>
      <c r="O121">
        <v>0.57955836297966401</v>
      </c>
      <c r="P121">
        <v>8.7528417196735403E-2</v>
      </c>
      <c r="Q121">
        <v>0.16240924954315122</v>
      </c>
      <c r="R121">
        <v>9.1021089800360552E-3</v>
      </c>
      <c r="S121">
        <v>4.4310711798114215E-4</v>
      </c>
      <c r="T121">
        <v>0.26163014200029183</v>
      </c>
      <c r="U121">
        <v>0.66966683691073303</v>
      </c>
      <c r="V121">
        <v>0.2340183129721764</v>
      </c>
      <c r="W121">
        <v>5.2547667724569126E-2</v>
      </c>
      <c r="X121">
        <v>8.9286946349305171E-3</v>
      </c>
      <c r="Y121">
        <v>8.6243331399237337E-3</v>
      </c>
      <c r="Z121">
        <v>6.4299117832364019E-3</v>
      </c>
      <c r="AA121">
        <v>4.6177897907141524E-2</v>
      </c>
      <c r="AB121">
        <v>1.4930954777432731E-2</v>
      </c>
      <c r="AC121">
        <v>3.0425512807813117E-2</v>
      </c>
      <c r="AD121">
        <v>0.17231880110766615</v>
      </c>
      <c r="AE121">
        <v>1.5808176896484171E-3</v>
      </c>
      <c r="AF121">
        <v>4.0212446203872184E-3</v>
      </c>
      <c r="AG121">
        <v>0.13204394943559655</v>
      </c>
      <c r="AH121">
        <v>2.7397309125961229E-3</v>
      </c>
      <c r="AI121">
        <v>1.3481809265794391E-2</v>
      </c>
      <c r="AJ121">
        <v>4.0593934774408237E-2</v>
      </c>
      <c r="AK121">
        <v>6.6619260831485227E-2</v>
      </c>
      <c r="AL121">
        <v>0.61544523843536703</v>
      </c>
      <c r="AM121">
        <f t="shared" si="2"/>
        <v>46.966415110674134</v>
      </c>
      <c r="AN121">
        <f t="shared" si="3"/>
        <v>0.74313947959942817</v>
      </c>
    </row>
    <row r="122" spans="1:40" x14ac:dyDescent="0.35">
      <c r="A122" t="s">
        <v>173</v>
      </c>
      <c r="B122" t="s">
        <v>73</v>
      </c>
      <c r="C122">
        <v>1</v>
      </c>
      <c r="D122" t="s">
        <v>57</v>
      </c>
      <c r="E122">
        <v>8</v>
      </c>
      <c r="F122">
        <v>25</v>
      </c>
      <c r="G122" t="s">
        <v>9</v>
      </c>
      <c r="H122">
        <v>35</v>
      </c>
      <c r="I122">
        <v>43</v>
      </c>
      <c r="J122">
        <v>0.6411</v>
      </c>
      <c r="K122">
        <v>1.2399999999999523E-2</v>
      </c>
      <c r="L122">
        <v>4.1941706718476241E-3</v>
      </c>
      <c r="M122">
        <v>9.7079547144942269E-2</v>
      </c>
      <c r="N122">
        <v>2.8473066245199033E-2</v>
      </c>
      <c r="O122">
        <v>1.002067902097834</v>
      </c>
      <c r="P122">
        <v>0.11955635132711234</v>
      </c>
      <c r="Q122">
        <v>0.34616818601238997</v>
      </c>
      <c r="R122">
        <v>3.2778403735877499E-3</v>
      </c>
      <c r="S122">
        <v>5.0802790915012518E-2</v>
      </c>
      <c r="T122">
        <v>0.44876830231675002</v>
      </c>
      <c r="U122">
        <v>1.3655353862068709</v>
      </c>
      <c r="V122">
        <v>0.44300302366288596</v>
      </c>
      <c r="W122">
        <v>0.13130148308236333</v>
      </c>
      <c r="X122">
        <v>2.3890657759739795E-2</v>
      </c>
      <c r="Y122">
        <v>2.0973703219604699E-2</v>
      </c>
      <c r="Z122">
        <v>1.6810224208033128E-2</v>
      </c>
      <c r="AA122">
        <v>0.15153496846854933</v>
      </c>
      <c r="AB122">
        <v>5.2067015691069571E-2</v>
      </c>
      <c r="AC122">
        <v>5.3234512198668663E-2</v>
      </c>
      <c r="AD122">
        <v>0.28423170311023016</v>
      </c>
      <c r="AE122">
        <v>3.8500055035145266E-3</v>
      </c>
      <c r="AF122">
        <v>6.3794458273967033E-3</v>
      </c>
      <c r="AG122">
        <v>0.20625331167550776</v>
      </c>
      <c r="AH122">
        <v>7.9435738779683671E-3</v>
      </c>
      <c r="AI122">
        <v>2.5539814066092549E-2</v>
      </c>
      <c r="AJ122">
        <v>8.0533858998983771E-2</v>
      </c>
      <c r="AK122">
        <v>0.10275747089921027</v>
      </c>
      <c r="AL122">
        <v>0.76947165008167606</v>
      </c>
      <c r="AM122">
        <f t="shared" si="2"/>
        <v>47.142741658413442</v>
      </c>
      <c r="AN122">
        <f t="shared" si="3"/>
        <v>0.91182342312323228</v>
      </c>
    </row>
    <row r="123" spans="1:40" x14ac:dyDescent="0.35">
      <c r="A123" t="s">
        <v>174</v>
      </c>
      <c r="B123" t="s">
        <v>73</v>
      </c>
      <c r="C123">
        <v>1</v>
      </c>
      <c r="D123" t="s">
        <v>57</v>
      </c>
      <c r="E123">
        <v>8</v>
      </c>
      <c r="F123">
        <v>25</v>
      </c>
      <c r="G123" t="s">
        <v>9</v>
      </c>
      <c r="H123">
        <v>38</v>
      </c>
      <c r="I123">
        <v>45</v>
      </c>
      <c r="J123">
        <v>0.8861</v>
      </c>
      <c r="K123">
        <v>1.6400000000000858E-2</v>
      </c>
      <c r="L123">
        <v>6.2353087123228302E-3</v>
      </c>
      <c r="M123">
        <v>0.14950879601519798</v>
      </c>
      <c r="N123">
        <v>4.1882145102461958E-2</v>
      </c>
      <c r="O123">
        <v>1.4290562133505682</v>
      </c>
      <c r="P123">
        <v>0.1523455525721521</v>
      </c>
      <c r="Q123">
        <v>0.50105256306624169</v>
      </c>
      <c r="R123">
        <v>4.9432138039512399E-3</v>
      </c>
      <c r="S123">
        <v>7.7899600139960515E-2</v>
      </c>
      <c r="T123">
        <v>0.68008621099524136</v>
      </c>
      <c r="U123">
        <v>1.9767862067722748</v>
      </c>
      <c r="V123">
        <v>0.60820520200251382</v>
      </c>
      <c r="W123">
        <v>0.18145653743848741</v>
      </c>
      <c r="X123">
        <v>3.3754802808614322E-2</v>
      </c>
      <c r="Y123">
        <v>2.8106816321548034E-2</v>
      </c>
      <c r="Z123">
        <v>2.9246045199916561E-2</v>
      </c>
      <c r="AA123">
        <v>0.21216183848781006</v>
      </c>
      <c r="AB123">
        <v>7.213402332310781E-2</v>
      </c>
      <c r="AC123">
        <v>7.6704436477624358E-2</v>
      </c>
      <c r="AD123">
        <v>0.35734790655841869</v>
      </c>
      <c r="AE123">
        <v>6.4887146841011746E-3</v>
      </c>
      <c r="AF123">
        <v>1.0931033127045941E-2</v>
      </c>
      <c r="AG123">
        <v>0.28087444059533739</v>
      </c>
      <c r="AH123">
        <v>1.4816409527474279E-2</v>
      </c>
      <c r="AI123">
        <v>2.9806204296774708E-2</v>
      </c>
      <c r="AJ123">
        <v>0.10144144432498735</v>
      </c>
      <c r="AK123">
        <v>0.12687828737641049</v>
      </c>
      <c r="AL123">
        <v>1.0895373898002989</v>
      </c>
      <c r="AM123">
        <f t="shared" si="2"/>
        <v>50.485898432197615</v>
      </c>
      <c r="AN123">
        <f t="shared" si="3"/>
        <v>0.93439649507740008</v>
      </c>
    </row>
    <row r="124" spans="1:40" x14ac:dyDescent="0.35">
      <c r="A124" t="s">
        <v>175</v>
      </c>
      <c r="B124" t="s">
        <v>73</v>
      </c>
      <c r="C124">
        <v>1</v>
      </c>
      <c r="D124" t="s">
        <v>61</v>
      </c>
      <c r="E124">
        <v>8</v>
      </c>
      <c r="F124">
        <v>26</v>
      </c>
      <c r="G124" t="s">
        <v>11</v>
      </c>
      <c r="H124">
        <v>29</v>
      </c>
      <c r="I124">
        <v>34</v>
      </c>
      <c r="J124">
        <v>0.217</v>
      </c>
      <c r="K124">
        <v>2.2000000000002018E-3</v>
      </c>
      <c r="L124">
        <v>8.2260813692570521E-4</v>
      </c>
      <c r="M124">
        <v>1.6548576459667386E-2</v>
      </c>
      <c r="N124">
        <v>1.2000113092068028E-2</v>
      </c>
      <c r="O124">
        <v>0.28279146572756114</v>
      </c>
      <c r="P124">
        <v>3.4685798864420803E-2</v>
      </c>
      <c r="Q124">
        <v>5.1296849277457389E-2</v>
      </c>
      <c r="R124">
        <v>1.0634286459961052E-2</v>
      </c>
      <c r="S124">
        <v>7.4168839351350787E-3</v>
      </c>
      <c r="T124">
        <v>0.12295928415271888</v>
      </c>
      <c r="U124">
        <v>0.30220953172382836</v>
      </c>
      <c r="V124">
        <v>9.5074169294877942E-2</v>
      </c>
      <c r="W124">
        <v>1.574573210305117E-2</v>
      </c>
      <c r="X124">
        <v>3.2050364963348487E-3</v>
      </c>
      <c r="Y124">
        <v>1.705200015196367E-3</v>
      </c>
      <c r="Z124">
        <v>2.2677206904094618E-3</v>
      </c>
      <c r="AA124">
        <v>1.7373006702952297E-2</v>
      </c>
      <c r="AB124">
        <v>3.4084321555247956E-3</v>
      </c>
      <c r="AC124">
        <v>8.148374606724915E-3</v>
      </c>
      <c r="AD124">
        <v>5.4007171749892953E-2</v>
      </c>
      <c r="AE124">
        <v>8.744774312843455E-4</v>
      </c>
      <c r="AF124">
        <v>2.0090180295298452E-3</v>
      </c>
      <c r="AG124">
        <v>5.1066109875503675E-2</v>
      </c>
      <c r="AH124">
        <v>1.0605266379346814E-3</v>
      </c>
      <c r="AI124">
        <v>3.7723310902090545E-3</v>
      </c>
      <c r="AJ124">
        <v>6.8678711417315417E-3</v>
      </c>
      <c r="AK124">
        <v>2.0051478756228987E-2</v>
      </c>
      <c r="AL124">
        <v>0.33245448082222429</v>
      </c>
      <c r="AM124">
        <f t="shared" si="2"/>
        <v>66.384387974055485</v>
      </c>
      <c r="AN124">
        <f t="shared" si="3"/>
        <v>0.67302144489832016</v>
      </c>
    </row>
    <row r="125" spans="1:40" x14ac:dyDescent="0.35">
      <c r="A125" t="s">
        <v>176</v>
      </c>
      <c r="B125" t="s">
        <v>73</v>
      </c>
      <c r="C125">
        <v>1</v>
      </c>
      <c r="D125" t="s">
        <v>61</v>
      </c>
      <c r="E125">
        <v>8</v>
      </c>
      <c r="F125">
        <v>26</v>
      </c>
      <c r="G125" t="s">
        <v>11</v>
      </c>
      <c r="H125">
        <v>25</v>
      </c>
      <c r="I125">
        <v>30</v>
      </c>
      <c r="J125">
        <v>0.2175</v>
      </c>
      <c r="K125">
        <v>3.5000000000007252E-3</v>
      </c>
      <c r="L125">
        <v>9.820494463753872E-4</v>
      </c>
      <c r="M125">
        <v>1.8389916470818696E-2</v>
      </c>
      <c r="N125">
        <v>1.3706568569446459E-2</v>
      </c>
      <c r="O125">
        <v>0.29614766735364378</v>
      </c>
      <c r="P125">
        <v>4.7943016573162932E-2</v>
      </c>
      <c r="Q125">
        <v>6.0945728714026356E-2</v>
      </c>
      <c r="R125">
        <v>1.2687430611004961E-2</v>
      </c>
      <c r="S125">
        <v>4.9808646258333372E-3</v>
      </c>
      <c r="T125">
        <v>0.1328618958387465</v>
      </c>
      <c r="U125">
        <v>0.35857069260885865</v>
      </c>
      <c r="V125">
        <v>0.11738033893987129</v>
      </c>
      <c r="W125">
        <v>1.875137315651762E-2</v>
      </c>
      <c r="X125">
        <v>4.4218859790432809E-3</v>
      </c>
      <c r="Y125">
        <v>2.1728666175589613E-3</v>
      </c>
      <c r="Z125">
        <v>7.4852353501176248E-3</v>
      </c>
      <c r="AA125">
        <v>2.3052981982922143E-2</v>
      </c>
      <c r="AB125">
        <v>5.7981123650756704E-3</v>
      </c>
      <c r="AC125">
        <v>1.3653690971776123E-2</v>
      </c>
      <c r="AD125">
        <v>6.9627883458486112E-2</v>
      </c>
      <c r="AE125">
        <v>1.0257487001965953E-3</v>
      </c>
      <c r="AF125">
        <v>3.6478789932482209E-3</v>
      </c>
      <c r="AG125">
        <v>5.6451516385087469E-2</v>
      </c>
      <c r="AH125">
        <v>1.7419596297645603E-3</v>
      </c>
      <c r="AI125">
        <v>5.0209292221448064E-3</v>
      </c>
      <c r="AJ125">
        <v>1.0393044721612397E-2</v>
      </c>
      <c r="AK125">
        <v>2.4049411668298212E-2</v>
      </c>
      <c r="AL125">
        <v>0.3096917683996791</v>
      </c>
      <c r="AM125">
        <f t="shared" si="2"/>
        <v>46.330927352942304</v>
      </c>
      <c r="AN125">
        <f t="shared" si="3"/>
        <v>0.7455551528061225</v>
      </c>
    </row>
    <row r="126" spans="1:40" x14ac:dyDescent="0.35">
      <c r="A126" t="s">
        <v>177</v>
      </c>
      <c r="B126" t="s">
        <v>73</v>
      </c>
      <c r="C126">
        <v>1</v>
      </c>
      <c r="D126" t="s">
        <v>61</v>
      </c>
      <c r="E126">
        <v>8</v>
      </c>
      <c r="F126">
        <v>26</v>
      </c>
      <c r="G126" t="s">
        <v>11</v>
      </c>
      <c r="H126">
        <v>24</v>
      </c>
      <c r="I126">
        <v>24</v>
      </c>
      <c r="J126">
        <v>0.13539999999999999</v>
      </c>
      <c r="K126">
        <v>3.0000000000001133E-3</v>
      </c>
      <c r="L126">
        <v>7.0027400208402953E-4</v>
      </c>
      <c r="M126">
        <v>6.0945993860247313E-3</v>
      </c>
      <c r="N126">
        <v>4.7787758053181298E-3</v>
      </c>
      <c r="O126">
        <v>0.16381652964159674</v>
      </c>
      <c r="P126">
        <v>1.7653543482812183E-2</v>
      </c>
      <c r="Q126">
        <v>1.9939419038538686E-2</v>
      </c>
      <c r="R126">
        <v>5.7508115267082193E-3</v>
      </c>
      <c r="S126">
        <v>7.0208936068093019E-3</v>
      </c>
      <c r="T126">
        <v>7.7233381964914055E-2</v>
      </c>
      <c r="U126">
        <v>0.15923399479260814</v>
      </c>
      <c r="V126">
        <v>4.4974182896167635E-2</v>
      </c>
      <c r="W126">
        <v>7.8442636845268907E-3</v>
      </c>
      <c r="X126">
        <v>1.5492021144314291E-3</v>
      </c>
      <c r="Y126">
        <v>8.6381774353290767E-4</v>
      </c>
      <c r="Z126">
        <v>1.7343248643606213E-3</v>
      </c>
      <c r="AA126">
        <v>7.478585414683582E-3</v>
      </c>
      <c r="AB126">
        <v>2.1567129068911055E-3</v>
      </c>
      <c r="AC126">
        <v>8.8978290750497107E-3</v>
      </c>
      <c r="AD126">
        <v>4.521518501332672E-2</v>
      </c>
      <c r="AE126">
        <v>1.3747823681739266E-5</v>
      </c>
      <c r="AF126">
        <v>1.6636827334456439E-3</v>
      </c>
      <c r="AG126">
        <v>3.7159929142194341E-2</v>
      </c>
      <c r="AH126">
        <v>2.7034310998319497E-5</v>
      </c>
      <c r="AI126">
        <v>2.1266222424736071E-3</v>
      </c>
      <c r="AJ126">
        <v>6.4765743629672844E-3</v>
      </c>
      <c r="AK126">
        <v>1.6223239283091363E-2</v>
      </c>
      <c r="AL126">
        <v>0.23112163009283271</v>
      </c>
      <c r="AM126">
        <f t="shared" si="2"/>
        <v>29.258292898401223</v>
      </c>
      <c r="AN126">
        <f t="shared" si="3"/>
        <v>0.64826350587302062</v>
      </c>
    </row>
    <row r="127" spans="1:40" x14ac:dyDescent="0.35">
      <c r="A127" t="s">
        <v>178</v>
      </c>
      <c r="B127" t="s">
        <v>73</v>
      </c>
      <c r="C127">
        <v>1</v>
      </c>
      <c r="D127" t="s">
        <v>53</v>
      </c>
      <c r="E127">
        <v>8</v>
      </c>
      <c r="F127">
        <v>27</v>
      </c>
      <c r="G127" t="s">
        <v>10</v>
      </c>
      <c r="H127">
        <v>31</v>
      </c>
      <c r="I127">
        <v>37</v>
      </c>
      <c r="J127">
        <v>0.34860000000000002</v>
      </c>
      <c r="K127">
        <v>6.2999999999995282E-3</v>
      </c>
      <c r="L127">
        <v>1.1651577675647925E-3</v>
      </c>
      <c r="M127">
        <v>3.146277278122997E-2</v>
      </c>
      <c r="N127">
        <v>1.7605335591703752E-2</v>
      </c>
      <c r="O127">
        <v>0.50543143516340283</v>
      </c>
      <c r="P127">
        <v>5.2774411076883243E-2</v>
      </c>
      <c r="Q127">
        <v>0.10853196851580554</v>
      </c>
      <c r="R127">
        <v>2.1695701870580991E-2</v>
      </c>
      <c r="S127">
        <v>3.7185340279918145E-3</v>
      </c>
      <c r="T127">
        <v>0.23017041690736231</v>
      </c>
      <c r="U127">
        <v>0.5430738682996169</v>
      </c>
      <c r="V127">
        <v>0.17762188067995463</v>
      </c>
      <c r="W127">
        <v>4.5439837837780252E-2</v>
      </c>
      <c r="X127">
        <v>6.8358570951262956E-3</v>
      </c>
      <c r="Y127">
        <v>4.7370630507970798E-3</v>
      </c>
      <c r="Z127">
        <v>4.8816225866020859E-3</v>
      </c>
      <c r="AA127">
        <v>3.416182135205531E-2</v>
      </c>
      <c r="AB127">
        <v>9.1983143426827823E-3</v>
      </c>
      <c r="AC127">
        <v>2.3282270135581547E-2</v>
      </c>
      <c r="AD127">
        <v>0.14694220692492657</v>
      </c>
      <c r="AE127">
        <v>1.9929149212474019E-3</v>
      </c>
      <c r="AF127">
        <v>3.1148492128732969E-3</v>
      </c>
      <c r="AG127">
        <v>0.10575986307415923</v>
      </c>
      <c r="AH127">
        <v>1.9618308045083648E-3</v>
      </c>
      <c r="AI127">
        <v>1.113714474010111E-2</v>
      </c>
      <c r="AJ127">
        <v>2.9244185333160307E-2</v>
      </c>
      <c r="AK127">
        <v>5.3711716750860353E-2</v>
      </c>
      <c r="AL127">
        <v>0.55735915352554843</v>
      </c>
      <c r="AM127">
        <f t="shared" si="2"/>
        <v>43.381144990004941</v>
      </c>
      <c r="AN127">
        <f t="shared" si="3"/>
        <v>0.78399659620484974</v>
      </c>
    </row>
    <row r="128" spans="1:40" x14ac:dyDescent="0.35">
      <c r="A128" t="s">
        <v>179</v>
      </c>
      <c r="B128" t="s">
        <v>73</v>
      </c>
      <c r="C128">
        <v>1</v>
      </c>
      <c r="D128" t="s">
        <v>53</v>
      </c>
      <c r="E128">
        <v>8</v>
      </c>
      <c r="F128">
        <v>27</v>
      </c>
      <c r="G128" t="s">
        <v>10</v>
      </c>
      <c r="H128">
        <v>28</v>
      </c>
      <c r="I128">
        <v>35</v>
      </c>
      <c r="J128">
        <v>0.4365</v>
      </c>
      <c r="K128">
        <v>7.6999999999998181E-3</v>
      </c>
      <c r="L128">
        <v>1.3319424174095995E-3</v>
      </c>
      <c r="M128">
        <v>3.9897741010489131E-2</v>
      </c>
      <c r="N128">
        <v>2.2710584395549321E-2</v>
      </c>
      <c r="O128">
        <v>0.59373647655477835</v>
      </c>
      <c r="P128">
        <v>6.5279283554950773E-2</v>
      </c>
      <c r="Q128">
        <v>0.13059284015431361</v>
      </c>
      <c r="R128">
        <v>2.6875326817794431E-2</v>
      </c>
      <c r="S128">
        <v>2.6965937217116463E-3</v>
      </c>
      <c r="T128">
        <v>0.26580679683194891</v>
      </c>
      <c r="U128">
        <v>0.68304787766202646</v>
      </c>
      <c r="V128">
        <v>0.23369871253225616</v>
      </c>
      <c r="W128">
        <v>5.3866885765608281E-2</v>
      </c>
      <c r="X128">
        <v>7.2502161559569326E-3</v>
      </c>
      <c r="Y128">
        <v>5.4649310577963598E-3</v>
      </c>
      <c r="Z128">
        <v>8.5615753677765749E-3</v>
      </c>
      <c r="AA128">
        <v>4.791204119372626E-2</v>
      </c>
      <c r="AB128">
        <v>1.2908175325355147E-2</v>
      </c>
      <c r="AC128">
        <v>4.165957758795745E-2</v>
      </c>
      <c r="AD128">
        <v>0.18608208947820767</v>
      </c>
      <c r="AE128">
        <v>3.1422263516801014E-3</v>
      </c>
      <c r="AF128">
        <v>3.5097341582795449E-3</v>
      </c>
      <c r="AG128">
        <v>0.1290808396748232</v>
      </c>
      <c r="AH128">
        <v>4.1025498582130428E-3</v>
      </c>
      <c r="AI128">
        <v>1.5577915369296438E-2</v>
      </c>
      <c r="AJ128">
        <v>4.5194601266487736E-2</v>
      </c>
      <c r="AK128">
        <v>6.7273667445069588E-2</v>
      </c>
      <c r="AL128">
        <v>0.59109021271573314</v>
      </c>
      <c r="AM128">
        <f t="shared" si="2"/>
        <v>42.705862525003567</v>
      </c>
      <c r="AN128">
        <f t="shared" si="3"/>
        <v>0.75334511212490196</v>
      </c>
    </row>
    <row r="129" spans="1:40" x14ac:dyDescent="0.35">
      <c r="A129" t="s">
        <v>180</v>
      </c>
      <c r="B129" t="s">
        <v>73</v>
      </c>
      <c r="C129">
        <v>1</v>
      </c>
      <c r="D129" t="s">
        <v>53</v>
      </c>
      <c r="E129">
        <v>8</v>
      </c>
      <c r="F129">
        <v>27</v>
      </c>
      <c r="G129" t="s">
        <v>10</v>
      </c>
      <c r="H129">
        <v>30</v>
      </c>
      <c r="I129">
        <v>36</v>
      </c>
      <c r="J129">
        <v>0.34200000000000003</v>
      </c>
      <c r="K129">
        <v>5.7000000000009257E-3</v>
      </c>
      <c r="L129">
        <v>1.5005133713113345E-3</v>
      </c>
      <c r="M129">
        <v>3.5642507731542296E-2</v>
      </c>
      <c r="N129">
        <v>1.9348778401101316E-2</v>
      </c>
      <c r="O129">
        <v>0.50069719494227383</v>
      </c>
      <c r="P129">
        <v>5.0835790413943434E-2</v>
      </c>
      <c r="Q129">
        <v>0.11540580581048018</v>
      </c>
      <c r="R129">
        <v>2.3651773139100878E-2</v>
      </c>
      <c r="S129">
        <v>3.4242514616995784E-3</v>
      </c>
      <c r="T129">
        <v>0.22163446955481081</v>
      </c>
      <c r="U129">
        <v>0.59802066062731463</v>
      </c>
      <c r="V129">
        <v>0.21251969293303283</v>
      </c>
      <c r="W129">
        <v>4.6669833311055058E-2</v>
      </c>
      <c r="X129">
        <v>6.9228372309227213E-3</v>
      </c>
      <c r="Y129">
        <v>4.3130662569385051E-3</v>
      </c>
      <c r="Z129">
        <v>7.2587321341677493E-3</v>
      </c>
      <c r="AA129">
        <v>4.789959826227095E-2</v>
      </c>
      <c r="AB129">
        <v>1.1293343634583978E-2</v>
      </c>
      <c r="AC129">
        <v>2.8989808131824533E-2</v>
      </c>
      <c r="AD129">
        <v>0.14300959099918964</v>
      </c>
      <c r="AE129">
        <v>1.8285589875381414E-3</v>
      </c>
      <c r="AF129">
        <v>2.8460293150293909E-3</v>
      </c>
      <c r="AG129">
        <v>0.10629063932345297</v>
      </c>
      <c r="AH129">
        <v>4.5098702347596336E-3</v>
      </c>
      <c r="AI129">
        <v>1.0888364609171945E-2</v>
      </c>
      <c r="AJ129">
        <v>3.2556685297207871E-2</v>
      </c>
      <c r="AK129">
        <v>5.2516694436082492E-2</v>
      </c>
      <c r="AL129">
        <v>0.48745241978909648</v>
      </c>
      <c r="AM129">
        <f t="shared" si="2"/>
        <v>48.73557035683249</v>
      </c>
      <c r="AN129">
        <f t="shared" si="3"/>
        <v>0.81225950594733998</v>
      </c>
    </row>
    <row r="130" spans="1:40" x14ac:dyDescent="0.35">
      <c r="A130" t="s">
        <v>181</v>
      </c>
      <c r="B130" t="s">
        <v>73</v>
      </c>
      <c r="C130">
        <v>1</v>
      </c>
      <c r="D130" t="s">
        <v>65</v>
      </c>
      <c r="E130">
        <v>8</v>
      </c>
      <c r="F130">
        <v>28</v>
      </c>
      <c r="G130" t="s">
        <v>7</v>
      </c>
      <c r="H130">
        <v>34</v>
      </c>
      <c r="I130">
        <v>40</v>
      </c>
      <c r="J130">
        <v>0.57769999999999999</v>
      </c>
      <c r="K130">
        <v>1.4599999999999723E-2</v>
      </c>
      <c r="L130">
        <v>2.1680102145845777E-3</v>
      </c>
      <c r="M130">
        <v>0.10893466732507459</v>
      </c>
      <c r="N130">
        <v>2.2442249330330927E-2</v>
      </c>
      <c r="O130">
        <v>1.0115156874953428</v>
      </c>
      <c r="P130">
        <v>0.16806892508168006</v>
      </c>
      <c r="Q130">
        <v>0.39412907658286273</v>
      </c>
      <c r="R130">
        <v>4.9614585083018754E-2</v>
      </c>
      <c r="S130">
        <v>6.128360816813145E-2</v>
      </c>
      <c r="T130">
        <v>0.45106019886108895</v>
      </c>
      <c r="U130">
        <v>1.6218708678481806</v>
      </c>
      <c r="V130">
        <v>0.47051228579114401</v>
      </c>
      <c r="W130">
        <v>0.11975834765707384</v>
      </c>
      <c r="X130">
        <v>1.2999252344946824E-2</v>
      </c>
      <c r="Y130">
        <v>1.8064346957410181E-2</v>
      </c>
      <c r="Z130">
        <v>1.970176835575246E-2</v>
      </c>
      <c r="AA130">
        <v>0.20214532481949563</v>
      </c>
      <c r="AB130">
        <v>6.4709039680023839E-2</v>
      </c>
      <c r="AC130">
        <v>6.7185457604043389E-2</v>
      </c>
      <c r="AD130">
        <v>0.23745900210783155</v>
      </c>
      <c r="AE130">
        <v>2.4542061279929877E-3</v>
      </c>
      <c r="AF130">
        <v>5.8389870536960297E-3</v>
      </c>
      <c r="AG130">
        <v>0.11797085850249239</v>
      </c>
      <c r="AH130">
        <v>7.0455753849728905E-3</v>
      </c>
      <c r="AI130">
        <v>1.9201505666139179E-2</v>
      </c>
      <c r="AJ130">
        <v>7.266528291545056E-2</v>
      </c>
      <c r="AK130">
        <v>5.9100632223175034E-2</v>
      </c>
      <c r="AL130">
        <v>0.49864875872843073</v>
      </c>
      <c r="AM130">
        <f t="shared" si="2"/>
        <v>40.318825396647121</v>
      </c>
      <c r="AN130">
        <f t="shared" si="3"/>
        <v>1.0189628713710175</v>
      </c>
    </row>
    <row r="131" spans="1:40" x14ac:dyDescent="0.35">
      <c r="A131" t="s">
        <v>182</v>
      </c>
      <c r="B131" t="s">
        <v>73</v>
      </c>
      <c r="C131">
        <v>1</v>
      </c>
      <c r="D131" t="s">
        <v>65</v>
      </c>
      <c r="E131">
        <v>8</v>
      </c>
      <c r="F131">
        <v>28</v>
      </c>
      <c r="G131" t="s">
        <v>7</v>
      </c>
      <c r="H131">
        <v>37</v>
      </c>
      <c r="I131">
        <v>42</v>
      </c>
      <c r="J131">
        <v>0.8054</v>
      </c>
      <c r="K131">
        <v>1.9600000000000506E-2</v>
      </c>
      <c r="L131">
        <v>4.0857516717057304E-3</v>
      </c>
      <c r="M131">
        <v>0.17659169469258854</v>
      </c>
      <c r="N131">
        <v>3.3303209838849476E-2</v>
      </c>
      <c r="O131">
        <v>1.3031351190747684</v>
      </c>
      <c r="P131">
        <v>0.23602127615231455</v>
      </c>
      <c r="Q131">
        <v>0.55342459323156235</v>
      </c>
      <c r="R131">
        <v>7.1022922385163959E-2</v>
      </c>
      <c r="S131">
        <v>9.0730925862408926E-2</v>
      </c>
      <c r="T131">
        <v>0.65407652742801181</v>
      </c>
      <c r="U131">
        <v>2.2292130462854409</v>
      </c>
      <c r="V131">
        <v>0.66237211570568877</v>
      </c>
      <c r="W131">
        <v>0.17910457906724964</v>
      </c>
      <c r="X131">
        <v>2.2846258378654186E-2</v>
      </c>
      <c r="Y131">
        <v>3.6425274981998441E-2</v>
      </c>
      <c r="Z131">
        <v>3.303318562395352E-2</v>
      </c>
      <c r="AA131">
        <v>0.33832398095963417</v>
      </c>
      <c r="AB131">
        <v>0.10493028186371163</v>
      </c>
      <c r="AC131">
        <v>8.3041046508897598E-2</v>
      </c>
      <c r="AD131">
        <v>0.32498000212594635</v>
      </c>
      <c r="AE131">
        <v>3.7799248236067063E-3</v>
      </c>
      <c r="AF131">
        <v>7.186693383083983E-3</v>
      </c>
      <c r="AG131">
        <v>0.17517545021115871</v>
      </c>
      <c r="AH131">
        <v>1.1458803912476185E-2</v>
      </c>
      <c r="AI131">
        <v>2.9014458820530633E-2</v>
      </c>
      <c r="AJ131">
        <v>0.10199377157219557</v>
      </c>
      <c r="AK131">
        <v>9.2455007207071685E-2</v>
      </c>
      <c r="AL131">
        <v>0.74553025473256795</v>
      </c>
      <c r="AM131">
        <f t="shared" ref="AM131:AM194" si="4">(SUM(L131:AL131)/1000)/K131*100</f>
        <v>42.36355181888279</v>
      </c>
      <c r="AN131">
        <f t="shared" ref="AN131:AN194" si="5">(SUM(L131:AL131)/1000)/J131*100</f>
        <v>1.0309481197543136</v>
      </c>
    </row>
    <row r="132" spans="1:40" x14ac:dyDescent="0.35">
      <c r="A132" t="s">
        <v>183</v>
      </c>
      <c r="B132" t="s">
        <v>73</v>
      </c>
      <c r="C132">
        <v>1</v>
      </c>
      <c r="D132" t="s">
        <v>65</v>
      </c>
      <c r="E132">
        <v>8</v>
      </c>
      <c r="F132">
        <v>28</v>
      </c>
      <c r="G132" t="s">
        <v>7</v>
      </c>
      <c r="H132">
        <v>37</v>
      </c>
      <c r="I132">
        <v>44</v>
      </c>
      <c r="J132">
        <v>0.74590000000000001</v>
      </c>
      <c r="K132">
        <v>1.5200000000000104E-2</v>
      </c>
      <c r="L132">
        <v>3.4355390555122563E-3</v>
      </c>
      <c r="M132">
        <v>0.14929530163368132</v>
      </c>
      <c r="N132">
        <v>2.761348094945755E-2</v>
      </c>
      <c r="O132">
        <v>1.2136865510443526</v>
      </c>
      <c r="P132">
        <v>0.18550940508796007</v>
      </c>
      <c r="Q132">
        <v>0.51673410875691328</v>
      </c>
      <c r="R132">
        <v>5.5972609728697081E-2</v>
      </c>
      <c r="S132">
        <v>7.3835939479851204E-2</v>
      </c>
      <c r="T132">
        <v>0.52964443578039588</v>
      </c>
      <c r="U132">
        <v>1.8869912458456679</v>
      </c>
      <c r="V132">
        <v>0.52774670014679881</v>
      </c>
      <c r="W132">
        <v>0.16310723429180235</v>
      </c>
      <c r="X132">
        <v>2.0870580243258972E-2</v>
      </c>
      <c r="Y132">
        <v>3.0621648579369564E-2</v>
      </c>
      <c r="Z132">
        <v>2.4791536672038747E-2</v>
      </c>
      <c r="AA132">
        <v>0.24368682889766127</v>
      </c>
      <c r="AB132">
        <v>7.8916720213626057E-2</v>
      </c>
      <c r="AC132">
        <v>8.8068083971658384E-2</v>
      </c>
      <c r="AD132">
        <v>0.25486648729390626</v>
      </c>
      <c r="AE132">
        <v>4.4338287660815618E-3</v>
      </c>
      <c r="AF132">
        <v>7.7696068962451615E-3</v>
      </c>
      <c r="AG132">
        <v>0.16104067133895783</v>
      </c>
      <c r="AH132">
        <v>7.8641312605657303E-3</v>
      </c>
      <c r="AI132">
        <v>1.9985897280417674E-2</v>
      </c>
      <c r="AJ132">
        <v>7.5311969232689235E-2</v>
      </c>
      <c r="AK132">
        <v>8.442108548141021E-2</v>
      </c>
      <c r="AL132">
        <v>0.71091426780685307</v>
      </c>
      <c r="AM132">
        <f t="shared" si="4"/>
        <v>47.020630892998554</v>
      </c>
      <c r="AN132">
        <f t="shared" si="5"/>
        <v>0.95818955566910158</v>
      </c>
    </row>
    <row r="133" spans="1:40" x14ac:dyDescent="0.35">
      <c r="A133" t="s">
        <v>184</v>
      </c>
      <c r="B133" t="s">
        <v>73</v>
      </c>
      <c r="C133">
        <v>1</v>
      </c>
      <c r="D133" t="s">
        <v>69</v>
      </c>
      <c r="E133">
        <v>8</v>
      </c>
      <c r="F133">
        <v>29</v>
      </c>
      <c r="G133" t="s">
        <v>8</v>
      </c>
      <c r="H133">
        <v>30</v>
      </c>
      <c r="I133">
        <v>35</v>
      </c>
      <c r="J133">
        <v>0.31459999999999999</v>
      </c>
      <c r="K133">
        <v>6.9999999999996732E-3</v>
      </c>
      <c r="L133">
        <v>1.4934063898042538E-3</v>
      </c>
      <c r="M133">
        <v>4.1389945005645322E-2</v>
      </c>
      <c r="N133">
        <v>1.7349556668156626E-2</v>
      </c>
      <c r="O133">
        <v>0.45063308344215591</v>
      </c>
      <c r="P133">
        <v>7.2310149399628515E-2</v>
      </c>
      <c r="Q133">
        <v>0.13007698435489781</v>
      </c>
      <c r="R133">
        <v>1.7199359348165886E-2</v>
      </c>
      <c r="S133">
        <v>1.8316104236615574E-2</v>
      </c>
      <c r="T133">
        <v>0.19246972987997091</v>
      </c>
      <c r="U133">
        <v>0.59246759744888455</v>
      </c>
      <c r="V133">
        <v>0.18818088712911302</v>
      </c>
      <c r="W133">
        <v>3.6712717018178041E-2</v>
      </c>
      <c r="X133">
        <v>4.8969054751130062E-3</v>
      </c>
      <c r="Y133">
        <v>4.432948735093453E-3</v>
      </c>
      <c r="Z133">
        <v>7.3202001615710584E-3</v>
      </c>
      <c r="AA133">
        <v>5.4053387011568546E-2</v>
      </c>
      <c r="AB133">
        <v>1.245708757684705E-2</v>
      </c>
      <c r="AC133">
        <v>3.3510120755516161E-2</v>
      </c>
      <c r="AD133">
        <v>9.8902112060574782E-2</v>
      </c>
      <c r="AE133">
        <v>3.9073137437628854E-3</v>
      </c>
      <c r="AF133">
        <v>3.4885274570146223E-3</v>
      </c>
      <c r="AG133">
        <v>8.0194034540261139E-2</v>
      </c>
      <c r="AH133">
        <v>2.5079614720232056E-3</v>
      </c>
      <c r="AI133">
        <v>7.2413882900536942E-3</v>
      </c>
      <c r="AJ133">
        <v>1.5757061768636258E-2</v>
      </c>
      <c r="AK133">
        <v>3.8467717073632834E-2</v>
      </c>
      <c r="AL133">
        <v>0.39895626306193721</v>
      </c>
      <c r="AM133">
        <f t="shared" si="4"/>
        <v>36.067036421499147</v>
      </c>
      <c r="AN133">
        <f t="shared" si="5"/>
        <v>0.80250875699453983</v>
      </c>
    </row>
    <row r="134" spans="1:40" x14ac:dyDescent="0.35">
      <c r="A134" t="s">
        <v>185</v>
      </c>
      <c r="B134" t="s">
        <v>73</v>
      </c>
      <c r="C134">
        <v>1</v>
      </c>
      <c r="D134" t="s">
        <v>69</v>
      </c>
      <c r="E134">
        <v>8</v>
      </c>
      <c r="F134">
        <v>29</v>
      </c>
      <c r="G134" t="s">
        <v>8</v>
      </c>
      <c r="H134">
        <v>32</v>
      </c>
      <c r="I134">
        <v>38</v>
      </c>
      <c r="J134">
        <v>0.43909999999999999</v>
      </c>
      <c r="K134">
        <v>8.2000000000004292E-3</v>
      </c>
      <c r="L134">
        <v>1.6887867685514168E-3</v>
      </c>
      <c r="M134">
        <v>6.2203087591765557E-2</v>
      </c>
      <c r="N134">
        <v>2.5458121966937107E-2</v>
      </c>
      <c r="O134">
        <v>0.64113420370857677</v>
      </c>
      <c r="P134">
        <v>0.13434176292747579</v>
      </c>
      <c r="Q134">
        <v>0.21848858719767283</v>
      </c>
      <c r="R134">
        <v>2.2435664423329348E-2</v>
      </c>
      <c r="S134">
        <v>3.1718871826830107E-2</v>
      </c>
      <c r="T134">
        <v>0.25280633178249606</v>
      </c>
      <c r="U134">
        <v>0.87760656822239569</v>
      </c>
      <c r="V134">
        <v>0.28560352810106765</v>
      </c>
      <c r="W134">
        <v>5.0190880548304E-2</v>
      </c>
      <c r="X134">
        <v>6.3446331744746211E-3</v>
      </c>
      <c r="Y134">
        <v>6.7631374593186367E-3</v>
      </c>
      <c r="Z134">
        <v>9.1635718342699748E-3</v>
      </c>
      <c r="AA134">
        <v>7.8862442846332467E-2</v>
      </c>
      <c r="AB134">
        <v>1.7667732418360834E-2</v>
      </c>
      <c r="AC134">
        <v>2.844013998273888E-2</v>
      </c>
      <c r="AD134">
        <v>0.12198110903084965</v>
      </c>
      <c r="AE134">
        <v>1.3150947025791484E-3</v>
      </c>
      <c r="AF134">
        <v>5.8873881051163465E-3</v>
      </c>
      <c r="AG134">
        <v>0.10367669391838891</v>
      </c>
      <c r="AH134">
        <v>2.8315062143332722E-3</v>
      </c>
      <c r="AI134">
        <v>1.0330671392109116E-2</v>
      </c>
      <c r="AJ134">
        <v>2.2237760829842385E-2</v>
      </c>
      <c r="AK134">
        <v>5.335312264407506E-2</v>
      </c>
      <c r="AL134">
        <v>0.48668716903014814</v>
      </c>
      <c r="AM134">
        <f t="shared" si="4"/>
        <v>43.405104495709182</v>
      </c>
      <c r="AN134">
        <f t="shared" si="5"/>
        <v>0.81057129780194481</v>
      </c>
    </row>
    <row r="135" spans="1:40" x14ac:dyDescent="0.35">
      <c r="A135" t="s">
        <v>186</v>
      </c>
      <c r="B135" t="s">
        <v>73</v>
      </c>
      <c r="C135">
        <v>1</v>
      </c>
      <c r="D135" t="s">
        <v>69</v>
      </c>
      <c r="E135">
        <v>8</v>
      </c>
      <c r="F135">
        <v>29</v>
      </c>
      <c r="G135" t="s">
        <v>8</v>
      </c>
      <c r="H135">
        <v>30</v>
      </c>
      <c r="I135">
        <v>35</v>
      </c>
      <c r="J135">
        <v>0.29380000000000001</v>
      </c>
      <c r="K135">
        <v>5.3000000000000833E-3</v>
      </c>
      <c r="L135">
        <v>1.2512283117367951E-3</v>
      </c>
      <c r="M135">
        <v>3.7727651661596431E-2</v>
      </c>
      <c r="N135">
        <v>1.6446611082070888E-2</v>
      </c>
      <c r="O135">
        <v>0.38707183284835195</v>
      </c>
      <c r="P135">
        <v>9.2908973051360727E-2</v>
      </c>
      <c r="Q135">
        <v>0.14154139303522495</v>
      </c>
      <c r="R135">
        <v>1.5468722557795342E-2</v>
      </c>
      <c r="S135">
        <v>2.2325213512978129E-2</v>
      </c>
      <c r="T135">
        <v>0.16403044495429803</v>
      </c>
      <c r="U135">
        <v>0.58370176155495224</v>
      </c>
      <c r="V135">
        <v>0.18763828091134227</v>
      </c>
      <c r="W135">
        <v>3.4139121746701674E-2</v>
      </c>
      <c r="X135">
        <v>3.9520933606399314E-3</v>
      </c>
      <c r="Y135">
        <v>5.4907794785420379E-3</v>
      </c>
      <c r="Z135">
        <v>4.2801704947212776E-3</v>
      </c>
      <c r="AA135">
        <v>4.791674229846845E-2</v>
      </c>
      <c r="AB135">
        <v>1.5103593408652614E-2</v>
      </c>
      <c r="AC135">
        <v>2.3176128829337436E-2</v>
      </c>
      <c r="AD135">
        <v>9.0774180949008854E-2</v>
      </c>
      <c r="AE135">
        <v>9.7302238928429028E-4</v>
      </c>
      <c r="AF135">
        <v>2.3579671087972376E-3</v>
      </c>
      <c r="AG135">
        <v>6.7997546679182008E-2</v>
      </c>
      <c r="AH135">
        <v>1.7350128694962718E-3</v>
      </c>
      <c r="AI135">
        <v>7.6051195802633864E-3</v>
      </c>
      <c r="AJ135">
        <v>1.417880535926336E-2</v>
      </c>
      <c r="AK135">
        <v>3.4827835528699821E-2</v>
      </c>
      <c r="AL135">
        <v>0.28340557895556445</v>
      </c>
      <c r="AM135">
        <f t="shared" si="4"/>
        <v>43.17029834940179</v>
      </c>
      <c r="AN135">
        <f t="shared" si="5"/>
        <v>0.77876984769173951</v>
      </c>
    </row>
    <row r="136" spans="1:40" x14ac:dyDescent="0.35">
      <c r="A136" t="s">
        <v>187</v>
      </c>
      <c r="B136" t="s">
        <v>73</v>
      </c>
      <c r="C136">
        <v>1</v>
      </c>
      <c r="D136" t="s">
        <v>61</v>
      </c>
      <c r="E136">
        <v>8</v>
      </c>
      <c r="F136">
        <v>30</v>
      </c>
      <c r="G136" t="s">
        <v>11</v>
      </c>
      <c r="H136">
        <v>27</v>
      </c>
      <c r="I136">
        <v>31</v>
      </c>
      <c r="J136">
        <v>0.182</v>
      </c>
      <c r="K136">
        <v>1.7999999999993577E-3</v>
      </c>
      <c r="L136">
        <v>8.2014752707436573E-4</v>
      </c>
      <c r="M136">
        <v>1.1024101840397838E-2</v>
      </c>
      <c r="N136">
        <v>8.2925648939661482E-3</v>
      </c>
      <c r="O136">
        <v>0.21949418523149208</v>
      </c>
      <c r="P136">
        <v>2.8062625022008989E-2</v>
      </c>
      <c r="Q136">
        <v>3.6378298632851733E-2</v>
      </c>
      <c r="R136">
        <v>8.4653182164219961E-3</v>
      </c>
      <c r="S136">
        <v>7.9682228115207799E-3</v>
      </c>
      <c r="T136">
        <v>9.5782130132743296E-2</v>
      </c>
      <c r="U136">
        <v>0.22906940369413448</v>
      </c>
      <c r="V136">
        <v>7.4105416582342543E-2</v>
      </c>
      <c r="W136">
        <v>1.3206447414934588E-2</v>
      </c>
      <c r="X136">
        <v>2.6182784345309342E-3</v>
      </c>
      <c r="Y136">
        <v>1.4420834443204659E-3</v>
      </c>
      <c r="Z136">
        <v>3.2399379317187022E-3</v>
      </c>
      <c r="AA136">
        <v>1.2075004832168145E-2</v>
      </c>
      <c r="AB136">
        <v>1.9340742921444744E-3</v>
      </c>
      <c r="AC136">
        <v>6.4458393402547333E-3</v>
      </c>
      <c r="AD136">
        <v>5.3054545686012353E-2</v>
      </c>
      <c r="AE136">
        <v>5.7594883354152243E-4</v>
      </c>
      <c r="AF136">
        <v>1.873206595299666E-3</v>
      </c>
      <c r="AG136">
        <v>4.2021561547740102E-2</v>
      </c>
      <c r="AH136">
        <v>9.86349694147732E-4</v>
      </c>
      <c r="AI136">
        <v>2.6946901526559721E-3</v>
      </c>
      <c r="AJ136">
        <v>5.7419356617111131E-3</v>
      </c>
      <c r="AK136">
        <v>1.9274687741505231E-2</v>
      </c>
      <c r="AL136">
        <v>0.26436648526881878</v>
      </c>
      <c r="AM136">
        <f t="shared" si="4"/>
        <v>63.945193969826065</v>
      </c>
      <c r="AN136">
        <f t="shared" si="5"/>
        <v>0.63242499530574647</v>
      </c>
    </row>
    <row r="137" spans="1:40" x14ac:dyDescent="0.35">
      <c r="A137" t="s">
        <v>188</v>
      </c>
      <c r="B137" t="s">
        <v>73</v>
      </c>
      <c r="C137">
        <v>1</v>
      </c>
      <c r="D137" t="s">
        <v>61</v>
      </c>
      <c r="E137">
        <v>8</v>
      </c>
      <c r="F137">
        <v>30</v>
      </c>
      <c r="G137" t="s">
        <v>11</v>
      </c>
      <c r="H137">
        <v>25</v>
      </c>
      <c r="I137">
        <v>30</v>
      </c>
      <c r="J137">
        <v>0.21049999999999999</v>
      </c>
      <c r="K137">
        <v>2.8000000000005802E-3</v>
      </c>
      <c r="L137">
        <v>9.6803833773488395E-4</v>
      </c>
      <c r="M137">
        <v>1.3844378004749294E-2</v>
      </c>
      <c r="N137">
        <v>1.046785398161838E-2</v>
      </c>
      <c r="O137">
        <v>0.26806337633633254</v>
      </c>
      <c r="P137">
        <v>3.8172795671008043E-2</v>
      </c>
      <c r="Q137">
        <v>4.0311632258426794E-2</v>
      </c>
      <c r="R137">
        <v>1.0525507950591449E-2</v>
      </c>
      <c r="S137">
        <v>8.5361423892098762E-3</v>
      </c>
      <c r="T137">
        <v>0.12714038543533118</v>
      </c>
      <c r="U137">
        <v>0.29502638618055188</v>
      </c>
      <c r="V137">
        <v>9.6608691713107764E-2</v>
      </c>
      <c r="W137">
        <v>1.6862911104256736E-2</v>
      </c>
      <c r="X137">
        <v>2.4634520619057567E-3</v>
      </c>
      <c r="Y137">
        <v>1.8678827745319713E-3</v>
      </c>
      <c r="Z137">
        <v>2.5873879532856549E-3</v>
      </c>
      <c r="AA137">
        <v>1.7134628506053681E-2</v>
      </c>
      <c r="AB137">
        <v>3.9160807570629312E-3</v>
      </c>
      <c r="AC137">
        <v>1.3577951612723578E-2</v>
      </c>
      <c r="AD137">
        <v>7.9659939987823961E-2</v>
      </c>
      <c r="AE137">
        <v>8.6831482856945461E-4</v>
      </c>
      <c r="AF137">
        <v>1.8250436329183401E-3</v>
      </c>
      <c r="AG137">
        <v>6.4453271267250103E-2</v>
      </c>
      <c r="AH137">
        <v>7.7153143733371871E-4</v>
      </c>
      <c r="AI137">
        <v>4.6838243124013388E-3</v>
      </c>
      <c r="AJ137">
        <v>9.4047398058012023E-3</v>
      </c>
      <c r="AK137">
        <v>3.3350749740844489E-2</v>
      </c>
      <c r="AL137">
        <v>0.34954475846292382</v>
      </c>
      <c r="AM137">
        <f t="shared" si="4"/>
        <v>54.022773446572714</v>
      </c>
      <c r="AN137">
        <f t="shared" si="5"/>
        <v>0.71859271092843202</v>
      </c>
    </row>
    <row r="138" spans="1:40" x14ac:dyDescent="0.35">
      <c r="A138" t="s">
        <v>189</v>
      </c>
      <c r="B138" t="s">
        <v>73</v>
      </c>
      <c r="C138">
        <v>1</v>
      </c>
      <c r="D138" t="s">
        <v>61</v>
      </c>
      <c r="E138">
        <v>8</v>
      </c>
      <c r="F138">
        <v>30</v>
      </c>
      <c r="G138" t="s">
        <v>11</v>
      </c>
      <c r="H138">
        <v>25</v>
      </c>
      <c r="I138">
        <v>29</v>
      </c>
      <c r="J138">
        <v>0.17330000000000001</v>
      </c>
      <c r="K138">
        <v>3.5000000000007248E-3</v>
      </c>
      <c r="L138">
        <v>1.4698035357121229E-3</v>
      </c>
      <c r="M138">
        <v>1.4414955888053067E-2</v>
      </c>
      <c r="N138">
        <v>1.0261806127009854E-2</v>
      </c>
      <c r="O138">
        <v>0.23970013056204112</v>
      </c>
      <c r="P138">
        <v>3.6745169334321107E-2</v>
      </c>
      <c r="Q138">
        <v>5.063190087568941E-2</v>
      </c>
      <c r="R138">
        <v>8.8489179687280869E-3</v>
      </c>
      <c r="S138">
        <v>5.3266668699947575E-3</v>
      </c>
      <c r="T138">
        <v>0.10537778930794697</v>
      </c>
      <c r="U138">
        <v>0.27424409531344901</v>
      </c>
      <c r="V138">
        <v>8.907332113267355E-2</v>
      </c>
      <c r="W138">
        <v>1.6404336518273395E-2</v>
      </c>
      <c r="X138">
        <v>3.0574444314275988E-3</v>
      </c>
      <c r="Y138">
        <v>2.7224005077821161E-3</v>
      </c>
      <c r="Z138">
        <v>1.8495271773119393E-3</v>
      </c>
      <c r="AA138">
        <v>1.2880561020950441E-2</v>
      </c>
      <c r="AB138">
        <v>7.0450687880928911E-3</v>
      </c>
      <c r="AC138">
        <v>1.3425499791109052E-2</v>
      </c>
      <c r="AD138">
        <v>6.2723808215683241E-2</v>
      </c>
      <c r="AE138">
        <v>4.5502623387671655E-5</v>
      </c>
      <c r="AF138">
        <v>2.0552265551403467E-3</v>
      </c>
      <c r="AG138">
        <v>5.0780779307858508E-2</v>
      </c>
      <c r="AH138">
        <v>1.296278411301918E-3</v>
      </c>
      <c r="AI138">
        <v>3.3113040124857687E-3</v>
      </c>
      <c r="AJ138">
        <v>6.1830416210391648E-3</v>
      </c>
      <c r="AK138">
        <v>2.5382329227758446E-2</v>
      </c>
      <c r="AL138">
        <v>0.26030035396287926</v>
      </c>
      <c r="AM138">
        <f t="shared" si="4"/>
        <v>37.301657688223727</v>
      </c>
      <c r="AN138">
        <f t="shared" si="5"/>
        <v>0.75335142474789418</v>
      </c>
    </row>
    <row r="139" spans="1:40" x14ac:dyDescent="0.35">
      <c r="A139" t="s">
        <v>190</v>
      </c>
      <c r="B139" t="s">
        <v>73</v>
      </c>
      <c r="C139">
        <v>1</v>
      </c>
      <c r="D139" t="s">
        <v>61</v>
      </c>
      <c r="E139">
        <v>8</v>
      </c>
      <c r="F139">
        <v>31</v>
      </c>
      <c r="G139" t="s">
        <v>11</v>
      </c>
      <c r="H139">
        <v>24</v>
      </c>
      <c r="I139">
        <v>27</v>
      </c>
      <c r="J139">
        <v>0.13270000000000001</v>
      </c>
      <c r="K139">
        <v>4.5000000000001705E-3</v>
      </c>
      <c r="L139">
        <v>2.2735765206563009E-3</v>
      </c>
      <c r="M139">
        <v>1.2625366423022694E-2</v>
      </c>
      <c r="N139">
        <v>7.5057118363869146E-3</v>
      </c>
      <c r="O139">
        <v>0.20613917618451147</v>
      </c>
      <c r="P139">
        <v>2.1261888137037121E-2</v>
      </c>
      <c r="Q139">
        <v>3.5232918314436555E-2</v>
      </c>
      <c r="R139">
        <v>8.3404102404935551E-3</v>
      </c>
      <c r="S139">
        <v>3.8856098997176731E-3</v>
      </c>
      <c r="T139">
        <v>9.4451717964108173E-2</v>
      </c>
      <c r="U139">
        <v>0.21487194259881268</v>
      </c>
      <c r="V139">
        <v>6.4170159132687546E-2</v>
      </c>
      <c r="W139">
        <v>1.4141639181368197E-2</v>
      </c>
      <c r="X139">
        <v>3.5889078491203046E-3</v>
      </c>
      <c r="Y139">
        <v>1.7481952807647395E-3</v>
      </c>
      <c r="Z139">
        <v>6.7401496765965244E-3</v>
      </c>
      <c r="AA139">
        <v>1.2151268572872513E-2</v>
      </c>
      <c r="AB139">
        <v>4.7737410068604972E-3</v>
      </c>
      <c r="AC139">
        <v>1.1501817738958722E-2</v>
      </c>
      <c r="AD139">
        <v>5.5466931253802809E-2</v>
      </c>
      <c r="AE139">
        <v>9.3459306435801593E-4</v>
      </c>
      <c r="AF139">
        <v>4.188101541983031E-3</v>
      </c>
      <c r="AG139">
        <v>4.7787415488279167E-2</v>
      </c>
      <c r="AH139">
        <v>9.8722219530650171E-4</v>
      </c>
      <c r="AI139">
        <v>4.1495784897306355E-3</v>
      </c>
      <c r="AJ139">
        <v>8.3550294435348008E-3</v>
      </c>
      <c r="AK139">
        <v>2.1271821449832033E-2</v>
      </c>
      <c r="AL139">
        <v>0.22065323714295754</v>
      </c>
      <c r="AM139">
        <f t="shared" si="4"/>
        <v>24.204402813959007</v>
      </c>
      <c r="AN139">
        <f t="shared" si="5"/>
        <v>0.82079738253820389</v>
      </c>
    </row>
    <row r="140" spans="1:40" x14ac:dyDescent="0.35">
      <c r="A140" t="s">
        <v>191</v>
      </c>
      <c r="B140" t="s">
        <v>73</v>
      </c>
      <c r="C140">
        <v>1</v>
      </c>
      <c r="D140" t="s">
        <v>61</v>
      </c>
      <c r="E140">
        <v>8</v>
      </c>
      <c r="F140">
        <v>31</v>
      </c>
      <c r="G140" t="s">
        <v>11</v>
      </c>
      <c r="H140">
        <v>25</v>
      </c>
      <c r="I140">
        <v>28</v>
      </c>
      <c r="J140">
        <v>0.1923</v>
      </c>
      <c r="K140">
        <v>5.0000000000007816E-3</v>
      </c>
      <c r="L140">
        <v>1.4009263496457013E-3</v>
      </c>
      <c r="M140">
        <v>1.8740909459401503E-2</v>
      </c>
      <c r="N140">
        <v>1.3132003819210475E-2</v>
      </c>
      <c r="O140">
        <v>0.27775557416025715</v>
      </c>
      <c r="P140">
        <v>3.7698940718202165E-2</v>
      </c>
      <c r="Q140">
        <v>5.9355838810390853E-2</v>
      </c>
      <c r="R140">
        <v>1.1247490136767719E-2</v>
      </c>
      <c r="S140">
        <v>6.3135500903610297E-3</v>
      </c>
      <c r="T140">
        <v>0.1168877514379771</v>
      </c>
      <c r="U140">
        <v>0.32258369475565585</v>
      </c>
      <c r="V140">
        <v>0.10312860316571734</v>
      </c>
      <c r="W140">
        <v>2.147890693966582E-2</v>
      </c>
      <c r="X140">
        <v>4.7816455832721972E-3</v>
      </c>
      <c r="Y140">
        <v>2.6783703856078705E-3</v>
      </c>
      <c r="Z140">
        <v>3.1094750998318533E-3</v>
      </c>
      <c r="AA140">
        <v>1.8600491223723627E-2</v>
      </c>
      <c r="AB140">
        <v>5.2439048981220157E-3</v>
      </c>
      <c r="AC140">
        <v>1.247848336593212E-2</v>
      </c>
      <c r="AD140">
        <v>7.0943347447447541E-2</v>
      </c>
      <c r="AE140">
        <v>1.4780164178108352E-3</v>
      </c>
      <c r="AF140">
        <v>3.1328176257894814E-3</v>
      </c>
      <c r="AG140">
        <v>5.7756331162395133E-2</v>
      </c>
      <c r="AH140">
        <v>1.1405746138142272E-3</v>
      </c>
      <c r="AI140">
        <v>4.774278574327215E-3</v>
      </c>
      <c r="AJ140">
        <v>1.259903761564706E-2</v>
      </c>
      <c r="AK140">
        <v>2.7569795333599108E-2</v>
      </c>
      <c r="AL140">
        <v>0.2982551959617547</v>
      </c>
      <c r="AM140">
        <f t="shared" si="4"/>
        <v>30.285319103041825</v>
      </c>
      <c r="AN140">
        <f t="shared" si="5"/>
        <v>0.7874497946709974</v>
      </c>
    </row>
    <row r="141" spans="1:40" x14ac:dyDescent="0.35">
      <c r="A141" t="s">
        <v>192</v>
      </c>
      <c r="B141" t="s">
        <v>73</v>
      </c>
      <c r="C141">
        <v>1</v>
      </c>
      <c r="D141" t="s">
        <v>61</v>
      </c>
      <c r="E141">
        <v>8</v>
      </c>
      <c r="F141">
        <v>31</v>
      </c>
      <c r="G141" t="s">
        <v>11</v>
      </c>
      <c r="H141">
        <v>27</v>
      </c>
      <c r="I141">
        <v>31</v>
      </c>
      <c r="J141">
        <v>0.25380000000000003</v>
      </c>
      <c r="K141">
        <v>2.4999999999995022E-3</v>
      </c>
      <c r="L141">
        <v>9.237324908409224E-4</v>
      </c>
      <c r="M141">
        <v>8.1052539136596199E-3</v>
      </c>
      <c r="N141">
        <v>6.1708469006957712E-3</v>
      </c>
      <c r="O141">
        <v>0.20942478019713731</v>
      </c>
      <c r="P141">
        <v>2.4159166264157261E-2</v>
      </c>
      <c r="Q141">
        <v>2.6343590936624611E-2</v>
      </c>
      <c r="R141">
        <v>7.1840905737524949E-3</v>
      </c>
      <c r="S141">
        <v>2.5172769945625093E-3</v>
      </c>
      <c r="T141">
        <v>0.10269896942137649</v>
      </c>
      <c r="U141">
        <v>0.21340950056742236</v>
      </c>
      <c r="V141">
        <v>6.1076556061355251E-2</v>
      </c>
      <c r="W141">
        <v>1.1609657607455011E-2</v>
      </c>
      <c r="X141">
        <v>1.7271403522791395E-3</v>
      </c>
      <c r="Y141">
        <v>8.0146872522385293E-4</v>
      </c>
      <c r="Z141">
        <v>1.9374098103928429E-3</v>
      </c>
      <c r="AA141">
        <v>1.0121268287813633E-2</v>
      </c>
      <c r="AB141">
        <v>2.1348171498188641E-3</v>
      </c>
      <c r="AC141">
        <v>8.5636755331465475E-3</v>
      </c>
      <c r="AD141">
        <v>6.2379066492735322E-2</v>
      </c>
      <c r="AE141">
        <v>1.1391893428782838E-3</v>
      </c>
      <c r="AF141">
        <v>1.7809534277300843E-3</v>
      </c>
      <c r="AG141">
        <v>4.9015349722261695E-2</v>
      </c>
      <c r="AH141">
        <v>7.9915321657969649E-4</v>
      </c>
      <c r="AI141">
        <v>3.4248336529317095E-3</v>
      </c>
      <c r="AJ141">
        <v>8.9769242790490658E-3</v>
      </c>
      <c r="AK141">
        <v>2.0012041190416902E-2</v>
      </c>
      <c r="AL141">
        <v>0.31704402548314087</v>
      </c>
      <c r="AM141">
        <f t="shared" si="4"/>
        <v>46.539229543826792</v>
      </c>
      <c r="AN141">
        <f t="shared" si="5"/>
        <v>0.45842424688551542</v>
      </c>
    </row>
    <row r="142" spans="1:40" x14ac:dyDescent="0.35">
      <c r="A142" t="s">
        <v>193</v>
      </c>
      <c r="B142" t="s">
        <v>73</v>
      </c>
      <c r="C142">
        <v>1</v>
      </c>
      <c r="D142" t="s">
        <v>69</v>
      </c>
      <c r="E142">
        <v>8</v>
      </c>
      <c r="F142">
        <v>32</v>
      </c>
      <c r="G142" t="s">
        <v>8</v>
      </c>
      <c r="H142">
        <v>30</v>
      </c>
      <c r="I142">
        <v>36</v>
      </c>
      <c r="J142">
        <v>0.38779999999999998</v>
      </c>
      <c r="K142">
        <v>8.7000000000010402E-3</v>
      </c>
      <c r="L142">
        <v>1.353294587698343E-3</v>
      </c>
      <c r="M142">
        <v>3.1371730706587303E-2</v>
      </c>
      <c r="N142">
        <v>1.9765487250793318E-2</v>
      </c>
      <c r="O142">
        <v>0.5086133695067766</v>
      </c>
      <c r="P142">
        <v>5.140293132002581E-2</v>
      </c>
      <c r="Q142">
        <v>9.8578214753874724E-2</v>
      </c>
      <c r="R142">
        <v>2.1416276603335588E-2</v>
      </c>
      <c r="S142">
        <v>1.5360857432574024E-2</v>
      </c>
      <c r="T142">
        <v>0.21312173474355348</v>
      </c>
      <c r="U142">
        <v>0.5238817282303031</v>
      </c>
      <c r="V142">
        <v>0.17015997190171364</v>
      </c>
      <c r="W142">
        <v>4.1571496824723643E-2</v>
      </c>
      <c r="X142">
        <v>5.324086223318222E-3</v>
      </c>
      <c r="Y142">
        <v>2.7930762699047268E-3</v>
      </c>
      <c r="Z142">
        <v>5.4236385600920749E-3</v>
      </c>
      <c r="AA142">
        <v>3.4349223271848264E-2</v>
      </c>
      <c r="AB142">
        <v>3.0957871122974105E-2</v>
      </c>
      <c r="AC142">
        <v>3.1773667254697192E-2</v>
      </c>
      <c r="AD142">
        <v>0.11928119325338543</v>
      </c>
      <c r="AE142">
        <v>1.2927977067160037E-3</v>
      </c>
      <c r="AF142">
        <v>4.257465494292732E-3</v>
      </c>
      <c r="AG142">
        <v>0.10303260070176583</v>
      </c>
      <c r="AH142">
        <v>2.5951739192649182E-3</v>
      </c>
      <c r="AI142">
        <v>7.0333285078994032E-3</v>
      </c>
      <c r="AJ142">
        <v>1.8741308520416586E-2</v>
      </c>
      <c r="AK142">
        <v>4.5828000460690063E-2</v>
      </c>
      <c r="AL142">
        <v>0.51396254420143961</v>
      </c>
      <c r="AM142">
        <f t="shared" si="4"/>
        <v>30.152219187705185</v>
      </c>
      <c r="AN142">
        <f t="shared" si="5"/>
        <v>0.67644225614509157</v>
      </c>
    </row>
    <row r="143" spans="1:40" x14ac:dyDescent="0.35">
      <c r="A143" t="s">
        <v>194</v>
      </c>
      <c r="B143" t="s">
        <v>73</v>
      </c>
      <c r="C143">
        <v>1</v>
      </c>
      <c r="D143" t="s">
        <v>69</v>
      </c>
      <c r="E143">
        <v>8</v>
      </c>
      <c r="F143">
        <v>32</v>
      </c>
      <c r="G143" t="s">
        <v>8</v>
      </c>
      <c r="H143">
        <v>29</v>
      </c>
      <c r="I143">
        <v>34</v>
      </c>
      <c r="J143">
        <v>0.35570000000000002</v>
      </c>
      <c r="K143">
        <v>6.7000000000003732E-3</v>
      </c>
      <c r="L143">
        <v>1.3399156750447288E-3</v>
      </c>
      <c r="M143">
        <v>3.254016656266781E-2</v>
      </c>
      <c r="N143">
        <v>1.6435310253287864E-2</v>
      </c>
      <c r="O143">
        <v>0.40951306213766964</v>
      </c>
      <c r="P143">
        <v>7.1429108247773682E-2</v>
      </c>
      <c r="Q143">
        <v>0.12019809712165391</v>
      </c>
      <c r="R143">
        <v>1.7772087217451722E-2</v>
      </c>
      <c r="S143">
        <v>1.7524102901938742E-2</v>
      </c>
      <c r="T143">
        <v>0.18942775371965573</v>
      </c>
      <c r="U143">
        <v>0.55284646638261914</v>
      </c>
      <c r="V143">
        <v>0.18345255058185164</v>
      </c>
      <c r="W143">
        <v>3.873208460883424E-2</v>
      </c>
      <c r="X143">
        <v>5.0636691861505774E-3</v>
      </c>
      <c r="Y143">
        <v>4.7088379210678735E-3</v>
      </c>
      <c r="Z143">
        <v>5.0129920833864808E-3</v>
      </c>
      <c r="AA143">
        <v>3.5219265546885065E-2</v>
      </c>
      <c r="AB143">
        <v>1.2468018933750271E-2</v>
      </c>
      <c r="AC143">
        <v>2.1772792729908615E-2</v>
      </c>
      <c r="AD143">
        <v>0.10872552034377256</v>
      </c>
      <c r="AE143">
        <v>1.3399810648547469E-3</v>
      </c>
      <c r="AF143">
        <v>3.1852684256060571E-3</v>
      </c>
      <c r="AG143">
        <v>7.9276539348056618E-2</v>
      </c>
      <c r="AH143">
        <v>1.739081231319766E-3</v>
      </c>
      <c r="AI143">
        <v>9.2734128432736176E-3</v>
      </c>
      <c r="AJ143">
        <v>1.992437973623843E-2</v>
      </c>
      <c r="AK143">
        <v>3.9217316233055216E-2</v>
      </c>
      <c r="AL143">
        <v>0.37804367986997373</v>
      </c>
      <c r="AM143">
        <f t="shared" si="4"/>
        <v>35.465394938919637</v>
      </c>
      <c r="AN143">
        <f t="shared" si="5"/>
        <v>0.66802964883546467</v>
      </c>
    </row>
    <row r="144" spans="1:40" x14ac:dyDescent="0.35">
      <c r="A144" t="s">
        <v>195</v>
      </c>
      <c r="B144" t="s">
        <v>73</v>
      </c>
      <c r="C144">
        <v>1</v>
      </c>
      <c r="D144" t="s">
        <v>69</v>
      </c>
      <c r="E144">
        <v>8</v>
      </c>
      <c r="F144">
        <v>32</v>
      </c>
      <c r="G144" t="s">
        <v>8</v>
      </c>
      <c r="H144">
        <v>30</v>
      </c>
      <c r="I144">
        <v>36</v>
      </c>
      <c r="J144">
        <v>0.3266</v>
      </c>
      <c r="K144">
        <v>7.4000000000005173E-3</v>
      </c>
      <c r="L144">
        <v>1.915035250453106E-3</v>
      </c>
      <c r="M144">
        <v>3.3833266891506251E-2</v>
      </c>
      <c r="N144">
        <v>1.6934701772091835E-2</v>
      </c>
      <c r="O144">
        <v>0.42764748650882872</v>
      </c>
      <c r="P144">
        <v>7.8025816157963682E-2</v>
      </c>
      <c r="Q144">
        <v>0.12472738949820741</v>
      </c>
      <c r="R144">
        <v>1.6057514148554743E-2</v>
      </c>
      <c r="S144">
        <v>1.8453226120031668E-2</v>
      </c>
      <c r="T144">
        <v>0.1811207982764298</v>
      </c>
      <c r="U144">
        <v>0.53972949123702829</v>
      </c>
      <c r="V144">
        <v>0.17812555850288958</v>
      </c>
      <c r="W144">
        <v>3.1305508036721205E-2</v>
      </c>
      <c r="X144">
        <v>3.8040639590613194E-3</v>
      </c>
      <c r="Y144">
        <v>4.2034332115609592E-3</v>
      </c>
      <c r="Z144">
        <v>5.6909452026538661E-3</v>
      </c>
      <c r="AA144">
        <v>3.8968759160280461E-2</v>
      </c>
      <c r="AB144">
        <v>1.4346414024072121E-2</v>
      </c>
      <c r="AC144">
        <v>2.5355193490485567E-2</v>
      </c>
      <c r="AD144">
        <v>0.10611345894448614</v>
      </c>
      <c r="AE144">
        <v>2.400939938032305E-3</v>
      </c>
      <c r="AF144">
        <v>3.5912723911641592E-3</v>
      </c>
      <c r="AG144">
        <v>7.3672282546859438E-2</v>
      </c>
      <c r="AH144">
        <v>1.449435214849617E-3</v>
      </c>
      <c r="AI144">
        <v>7.1830631359527889E-3</v>
      </c>
      <c r="AJ144">
        <v>1.6020755471527964E-2</v>
      </c>
      <c r="AK144">
        <v>3.7813497032369962E-2</v>
      </c>
      <c r="AL144">
        <v>0.42214655493480235</v>
      </c>
      <c r="AM144">
        <f t="shared" si="4"/>
        <v>32.576160284576986</v>
      </c>
      <c r="AN144">
        <f t="shared" si="5"/>
        <v>0.7381003861172275</v>
      </c>
    </row>
    <row r="145" spans="1:40" x14ac:dyDescent="0.35">
      <c r="A145" t="s">
        <v>196</v>
      </c>
      <c r="B145" t="s">
        <v>73</v>
      </c>
      <c r="C145">
        <v>1</v>
      </c>
      <c r="D145" t="s">
        <v>45</v>
      </c>
      <c r="E145">
        <v>8</v>
      </c>
      <c r="F145">
        <v>33</v>
      </c>
      <c r="G145" t="s">
        <v>12</v>
      </c>
      <c r="H145">
        <v>36</v>
      </c>
      <c r="I145">
        <v>44</v>
      </c>
      <c r="J145">
        <v>0.48480000000000001</v>
      </c>
      <c r="K145">
        <v>6.7000000000003732E-3</v>
      </c>
      <c r="L145">
        <v>3.3574948335946238E-3</v>
      </c>
      <c r="M145">
        <v>3.7822010722026088E-2</v>
      </c>
      <c r="N145">
        <v>1.9432237227688831E-2</v>
      </c>
      <c r="O145">
        <v>0.67265143110392178</v>
      </c>
      <c r="P145">
        <v>2.5127352781950281E-2</v>
      </c>
      <c r="Q145">
        <v>0.10793001143852654</v>
      </c>
      <c r="R145">
        <v>4.5076901317192553E-2</v>
      </c>
      <c r="S145">
        <v>2.6852646291627778E-2</v>
      </c>
      <c r="T145">
        <v>0.3705194203658646</v>
      </c>
      <c r="U145">
        <v>0.57115910149222271</v>
      </c>
      <c r="V145">
        <v>0.21915974993132692</v>
      </c>
      <c r="W145">
        <v>7.2918585989884793E-2</v>
      </c>
      <c r="X145">
        <v>1.8425547893215554E-2</v>
      </c>
      <c r="Y145">
        <v>4.763091215182925E-3</v>
      </c>
      <c r="Z145">
        <v>1.5317022626154182E-2</v>
      </c>
      <c r="AA145">
        <v>3.3044935991809909E-2</v>
      </c>
      <c r="AB145">
        <v>3.931460189183009E-3</v>
      </c>
      <c r="AC145">
        <v>2.1390851816843064E-2</v>
      </c>
      <c r="AD145">
        <v>0.28392290920786623</v>
      </c>
      <c r="AE145">
        <v>7.9549550818953894E-3</v>
      </c>
      <c r="AF145">
        <v>7.7472160725599306E-3</v>
      </c>
      <c r="AG145">
        <v>0.21433030733105463</v>
      </c>
      <c r="AH145">
        <v>8.15927414869657E-3</v>
      </c>
      <c r="AI145">
        <v>3.101328762985129E-2</v>
      </c>
      <c r="AJ145">
        <v>5.3617341561107576E-2</v>
      </c>
      <c r="AK145">
        <v>9.4575867079883469E-2</v>
      </c>
      <c r="AL145">
        <v>0.88700278683129741</v>
      </c>
      <c r="AM145">
        <f t="shared" si="4"/>
        <v>57.570205942868867</v>
      </c>
      <c r="AN145">
        <f t="shared" si="5"/>
        <v>0.79562784615767934</v>
      </c>
    </row>
    <row r="146" spans="1:40" x14ac:dyDescent="0.35">
      <c r="A146" t="s">
        <v>197</v>
      </c>
      <c r="B146" t="s">
        <v>73</v>
      </c>
      <c r="C146">
        <v>1</v>
      </c>
      <c r="D146" t="s">
        <v>45</v>
      </c>
      <c r="E146">
        <v>8</v>
      </c>
      <c r="F146">
        <v>39</v>
      </c>
      <c r="G146" t="s">
        <v>12</v>
      </c>
      <c r="H146">
        <v>35</v>
      </c>
      <c r="I146">
        <v>41</v>
      </c>
      <c r="J146">
        <v>0.43780000000000002</v>
      </c>
      <c r="K146">
        <v>7.1999999999992079E-3</v>
      </c>
      <c r="L146">
        <v>2.574617447833149E-3</v>
      </c>
      <c r="M146">
        <v>3.3938611117792762E-2</v>
      </c>
      <c r="N146">
        <v>2.0685703499115634E-2</v>
      </c>
      <c r="O146">
        <v>0.73234714158155167</v>
      </c>
      <c r="P146">
        <v>2.1998786977935426E-2</v>
      </c>
      <c r="Q146">
        <v>0.11073365913271953</v>
      </c>
      <c r="R146">
        <v>4.5825748516277541E-2</v>
      </c>
      <c r="S146">
        <v>2.5023778053099209E-2</v>
      </c>
      <c r="T146">
        <v>0.35571941998347051</v>
      </c>
      <c r="U146">
        <v>0.51658872577804316</v>
      </c>
      <c r="V146">
        <v>0.20584220545412521</v>
      </c>
      <c r="W146">
        <v>7.6685544585967824E-2</v>
      </c>
      <c r="X146">
        <v>2.1178992654494126E-2</v>
      </c>
      <c r="Y146">
        <v>5.4648914731312403E-3</v>
      </c>
      <c r="Z146">
        <v>1.3071818455345498E-2</v>
      </c>
      <c r="AA146">
        <v>2.7885920560709029E-2</v>
      </c>
      <c r="AB146">
        <v>3.2094335752581506E-2</v>
      </c>
      <c r="AC146">
        <v>3.472955567203035E-2</v>
      </c>
      <c r="AD146">
        <v>0.29354794289586222</v>
      </c>
      <c r="AE146">
        <v>7.3607462752954067E-3</v>
      </c>
      <c r="AF146">
        <v>8.9996017070893258E-3</v>
      </c>
      <c r="AG146">
        <v>0.23104223943639998</v>
      </c>
      <c r="AH146">
        <v>6.0719187486951284E-3</v>
      </c>
      <c r="AI146">
        <v>1.9363791512085161E-2</v>
      </c>
      <c r="AJ146">
        <v>5.0717954114427116E-2</v>
      </c>
      <c r="AK146">
        <v>7.728829227958553E-2</v>
      </c>
      <c r="AL146">
        <v>0.81470016945872603</v>
      </c>
      <c r="AM146">
        <f t="shared" si="4"/>
        <v>52.659473793400082</v>
      </c>
      <c r="AN146">
        <f t="shared" si="5"/>
        <v>0.86603063342265607</v>
      </c>
    </row>
    <row r="147" spans="1:40" x14ac:dyDescent="0.35">
      <c r="A147" t="s">
        <v>198</v>
      </c>
      <c r="B147" t="s">
        <v>73</v>
      </c>
      <c r="C147">
        <v>1</v>
      </c>
      <c r="D147" t="s">
        <v>45</v>
      </c>
      <c r="E147">
        <v>8</v>
      </c>
      <c r="F147">
        <v>39</v>
      </c>
      <c r="G147" t="s">
        <v>12</v>
      </c>
      <c r="H147">
        <v>34</v>
      </c>
      <c r="I147">
        <v>41</v>
      </c>
      <c r="J147">
        <v>0.39340000000000003</v>
      </c>
      <c r="K147">
        <v>7.799999999999585E-3</v>
      </c>
      <c r="L147">
        <v>1.1691007988643065E-3</v>
      </c>
      <c r="M147">
        <v>2.1252590294729111E-2</v>
      </c>
      <c r="N147">
        <v>1.4274864813947259E-2</v>
      </c>
      <c r="O147">
        <v>0.58641366906743886</v>
      </c>
      <c r="P147">
        <v>2.4417994426418142E-2</v>
      </c>
      <c r="Q147">
        <v>7.3760951928043453E-2</v>
      </c>
      <c r="R147">
        <v>3.2542269804399004E-2</v>
      </c>
      <c r="S147">
        <v>1.9282018261003564E-2</v>
      </c>
      <c r="T147">
        <v>0.27695958031608442</v>
      </c>
      <c r="U147">
        <v>0.4229699421137193</v>
      </c>
      <c r="V147">
        <v>0.14746949932833497</v>
      </c>
      <c r="W147">
        <v>5.2870029337319407E-2</v>
      </c>
      <c r="X147">
        <v>1.2523208289999572E-2</v>
      </c>
      <c r="Y147">
        <v>2.7528500687419265E-3</v>
      </c>
      <c r="Z147">
        <v>7.8442452624614203E-3</v>
      </c>
      <c r="AA147">
        <v>2.2953936698991075E-2</v>
      </c>
      <c r="AB147">
        <v>2.5678861326850176E-2</v>
      </c>
      <c r="AC147">
        <v>1.8156157569410997E-2</v>
      </c>
      <c r="AD147">
        <v>0.23394261061482763</v>
      </c>
      <c r="AE147">
        <v>4.9557019303821158E-3</v>
      </c>
      <c r="AF147">
        <v>6.1410039175681256E-3</v>
      </c>
      <c r="AG147">
        <v>0.18402179595436269</v>
      </c>
      <c r="AH147">
        <v>2.7530495361768035E-3</v>
      </c>
      <c r="AI147">
        <v>1.5451334826377868E-2</v>
      </c>
      <c r="AJ147">
        <v>3.9319486187032508E-2</v>
      </c>
      <c r="AK147">
        <v>6.7418519145821712E-2</v>
      </c>
      <c r="AL147">
        <v>0.72307782906255869</v>
      </c>
      <c r="AM147">
        <f t="shared" si="4"/>
        <v>38.979142319000346</v>
      </c>
      <c r="AN147">
        <f t="shared" si="5"/>
        <v>0.77284522137312262</v>
      </c>
    </row>
    <row r="148" spans="1:40" x14ac:dyDescent="0.35">
      <c r="A148" t="s">
        <v>199</v>
      </c>
      <c r="B148" t="s">
        <v>73</v>
      </c>
      <c r="C148">
        <v>1</v>
      </c>
      <c r="D148" t="s">
        <v>49</v>
      </c>
      <c r="E148">
        <v>8</v>
      </c>
      <c r="F148">
        <v>34</v>
      </c>
      <c r="G148" t="s">
        <v>13</v>
      </c>
      <c r="H148">
        <v>33</v>
      </c>
      <c r="I148">
        <v>39</v>
      </c>
      <c r="J148">
        <v>0.38529999999999998</v>
      </c>
      <c r="K148">
        <v>4.9999999999990052E-3</v>
      </c>
      <c r="L148">
        <v>1.2537006488723829E-3</v>
      </c>
      <c r="M148">
        <v>3.466474962300839E-2</v>
      </c>
      <c r="N148">
        <v>2.5173938399972329E-2</v>
      </c>
      <c r="O148">
        <v>0.59289710247620908</v>
      </c>
      <c r="P148">
        <v>6.1986255791549018E-2</v>
      </c>
      <c r="Q148">
        <v>0.12748534072056067</v>
      </c>
      <c r="R148">
        <v>3.0558127157012813E-2</v>
      </c>
      <c r="S148">
        <v>2.0823856631458117E-2</v>
      </c>
      <c r="T148">
        <v>0.26345259017395406</v>
      </c>
      <c r="U148">
        <v>0.53257467297508765</v>
      </c>
      <c r="V148">
        <v>0.19624806815542864</v>
      </c>
      <c r="W148">
        <v>5.3729232388609154E-2</v>
      </c>
      <c r="X148">
        <v>1.4405465253309192E-2</v>
      </c>
      <c r="Y148">
        <v>6.7620204975688859E-3</v>
      </c>
      <c r="Z148">
        <v>8.4581280973998717E-3</v>
      </c>
      <c r="AA148">
        <v>3.040043965485776E-2</v>
      </c>
      <c r="AB148">
        <v>3.4123246065237249E-2</v>
      </c>
      <c r="AC148">
        <v>2.2895949041009746E-2</v>
      </c>
      <c r="AD148">
        <v>0.18693386905997475</v>
      </c>
      <c r="AE148">
        <v>3.1784338751432695E-3</v>
      </c>
      <c r="AF148">
        <v>6.0011464221433617E-3</v>
      </c>
      <c r="AG148">
        <v>0.14139478102184158</v>
      </c>
      <c r="AH148">
        <v>2.8093558630237526E-3</v>
      </c>
      <c r="AI148">
        <v>1.323978908340261E-2</v>
      </c>
      <c r="AJ148">
        <v>4.025279516770687E-2</v>
      </c>
      <c r="AK148">
        <v>6.1608825867253365E-2</v>
      </c>
      <c r="AL148">
        <v>0.65194154065258714</v>
      </c>
      <c r="AM148">
        <f t="shared" si="4"/>
        <v>63.305068415296219</v>
      </c>
      <c r="AN148">
        <f t="shared" si="5"/>
        <v>0.82150361296760477</v>
      </c>
    </row>
    <row r="149" spans="1:40" x14ac:dyDescent="0.35">
      <c r="A149" t="s">
        <v>200</v>
      </c>
      <c r="B149" t="s">
        <v>73</v>
      </c>
      <c r="C149">
        <v>1</v>
      </c>
      <c r="D149" t="s">
        <v>49</v>
      </c>
      <c r="E149">
        <v>8</v>
      </c>
      <c r="F149">
        <v>34</v>
      </c>
      <c r="G149" t="s">
        <v>13</v>
      </c>
      <c r="H149">
        <v>34</v>
      </c>
      <c r="I149">
        <v>38</v>
      </c>
      <c r="J149">
        <v>0.38769999999999999</v>
      </c>
      <c r="K149">
        <v>6.0999999999999943E-3</v>
      </c>
      <c r="L149">
        <v>1.5714273211291695E-3</v>
      </c>
      <c r="M149">
        <v>4.1552833072552343E-2</v>
      </c>
      <c r="N149">
        <v>2.7961491697004077E-2</v>
      </c>
      <c r="O149">
        <v>0.62371763360782351</v>
      </c>
      <c r="P149">
        <v>6.5213024353561397E-2</v>
      </c>
      <c r="Q149">
        <v>0.1430722096640846</v>
      </c>
      <c r="R149">
        <v>3.1935254495764072E-2</v>
      </c>
      <c r="S149">
        <v>2.3437403237351762E-2</v>
      </c>
      <c r="T149">
        <v>0.26585997519354954</v>
      </c>
      <c r="U149">
        <v>0.57657942222031588</v>
      </c>
      <c r="V149">
        <v>0.21653396439601494</v>
      </c>
      <c r="W149">
        <v>5.7394897089259614E-2</v>
      </c>
      <c r="X149">
        <v>1.4702296185058396E-2</v>
      </c>
      <c r="Y149">
        <v>7.603422789023484E-3</v>
      </c>
      <c r="Z149">
        <v>8.4595155477665013E-3</v>
      </c>
      <c r="AA149">
        <v>3.1733670509313035E-2</v>
      </c>
      <c r="AB149">
        <v>3.328452147456841E-2</v>
      </c>
      <c r="AC149">
        <v>2.668309372961326E-2</v>
      </c>
      <c r="AD149">
        <v>0.1802765575521873</v>
      </c>
      <c r="AE149">
        <v>3.5531569766464235E-3</v>
      </c>
      <c r="AF149">
        <v>5.0951895036701776E-3</v>
      </c>
      <c r="AG149">
        <v>0.1326673864478721</v>
      </c>
      <c r="AH149">
        <v>3.1615325843461547E-3</v>
      </c>
      <c r="AI149">
        <v>1.1577889838058925E-2</v>
      </c>
      <c r="AJ149">
        <v>3.9538861002250715E-2</v>
      </c>
      <c r="AK149">
        <v>5.5409263437650236E-2</v>
      </c>
      <c r="AL149">
        <v>0.60168862375283583</v>
      </c>
      <c r="AM149">
        <f t="shared" si="4"/>
        <v>52.955156027529107</v>
      </c>
      <c r="AN149">
        <f t="shared" si="5"/>
        <v>0.83318661792088533</v>
      </c>
    </row>
    <row r="150" spans="1:40" x14ac:dyDescent="0.35">
      <c r="A150" t="s">
        <v>201</v>
      </c>
      <c r="B150" t="s">
        <v>73</v>
      </c>
      <c r="C150">
        <v>1</v>
      </c>
      <c r="D150" t="s">
        <v>49</v>
      </c>
      <c r="E150">
        <v>8</v>
      </c>
      <c r="F150">
        <v>34</v>
      </c>
      <c r="G150" t="s">
        <v>13</v>
      </c>
      <c r="H150">
        <v>34</v>
      </c>
      <c r="I150">
        <v>37</v>
      </c>
      <c r="J150">
        <v>0.3972</v>
      </c>
      <c r="K150">
        <v>7.2000000000009834E-3</v>
      </c>
      <c r="L150">
        <v>1.8356993407710456E-3</v>
      </c>
      <c r="M150">
        <v>4.5843399447454622E-2</v>
      </c>
      <c r="N150">
        <v>3.0534225391445357E-2</v>
      </c>
      <c r="O150">
        <v>0.63547256337015934</v>
      </c>
      <c r="P150">
        <v>7.046975471471105E-2</v>
      </c>
      <c r="Q150">
        <v>0.16654512095672555</v>
      </c>
      <c r="R150">
        <v>3.4437186281332771E-2</v>
      </c>
      <c r="S150">
        <v>2.8453077600720567E-2</v>
      </c>
      <c r="T150">
        <v>0.28989609016543616</v>
      </c>
      <c r="U150">
        <v>0.68120888987574457</v>
      </c>
      <c r="V150">
        <v>0.2490590506806229</v>
      </c>
      <c r="W150">
        <v>6.5166099963757343E-2</v>
      </c>
      <c r="X150">
        <v>1.8444056303512917E-2</v>
      </c>
      <c r="Y150">
        <v>9.9904438842938984E-3</v>
      </c>
      <c r="Z150">
        <v>9.3437176972338484E-3</v>
      </c>
      <c r="AA150">
        <v>4.2102260558562914E-2</v>
      </c>
      <c r="AB150">
        <v>1.1827248131679775E-2</v>
      </c>
      <c r="AC150">
        <v>2.2609076697038048E-2</v>
      </c>
      <c r="AD150">
        <v>0.201301915521821</v>
      </c>
      <c r="AE150">
        <v>2.9274407123769919E-3</v>
      </c>
      <c r="AF150">
        <v>6.4586567080663583E-3</v>
      </c>
      <c r="AG150">
        <v>0.15679284999323517</v>
      </c>
      <c r="AH150">
        <v>3.9587212194748186E-3</v>
      </c>
      <c r="AI150">
        <v>1.5727971117491392E-2</v>
      </c>
      <c r="AJ150">
        <v>4.7399885141211941E-2</v>
      </c>
      <c r="AK150">
        <v>8.27292554231739E-2</v>
      </c>
      <c r="AL150">
        <v>0.62179954064755971</v>
      </c>
      <c r="AM150">
        <f t="shared" si="4"/>
        <v>49.337974965904571</v>
      </c>
      <c r="AN150">
        <f t="shared" si="5"/>
        <v>0.89434395708600567</v>
      </c>
    </row>
    <row r="151" spans="1:40" x14ac:dyDescent="0.35">
      <c r="A151" t="s">
        <v>202</v>
      </c>
      <c r="B151" t="s">
        <v>73</v>
      </c>
      <c r="C151">
        <v>1</v>
      </c>
      <c r="D151" t="s">
        <v>49</v>
      </c>
      <c r="E151">
        <v>8</v>
      </c>
      <c r="F151">
        <v>35</v>
      </c>
      <c r="G151" t="s">
        <v>13</v>
      </c>
      <c r="H151">
        <v>32</v>
      </c>
      <c r="I151">
        <v>37</v>
      </c>
      <c r="J151">
        <v>0.38159999999999999</v>
      </c>
      <c r="K151">
        <v>5.9000000000004604E-3</v>
      </c>
      <c r="L151">
        <v>1.7616808996391274E-3</v>
      </c>
      <c r="M151">
        <v>4.0280034759712494E-2</v>
      </c>
      <c r="N151">
        <v>2.7901344147558019E-2</v>
      </c>
      <c r="O151">
        <v>0.63796749511738493</v>
      </c>
      <c r="P151">
        <v>6.5009306514746443E-2</v>
      </c>
      <c r="Q151">
        <v>0.15124880857407244</v>
      </c>
      <c r="R151">
        <v>3.2430713622101287E-2</v>
      </c>
      <c r="S151">
        <v>2.2326194129104603E-2</v>
      </c>
      <c r="T151">
        <v>0.2829238837514399</v>
      </c>
      <c r="U151">
        <v>0.60932376544802347</v>
      </c>
      <c r="V151">
        <v>0.22562238095796266</v>
      </c>
      <c r="W151">
        <v>5.8782867312316529E-2</v>
      </c>
      <c r="X151">
        <v>1.4317465680179456E-2</v>
      </c>
      <c r="Y151">
        <v>8.9904956548996391E-3</v>
      </c>
      <c r="Z151">
        <v>7.7958093710619987E-3</v>
      </c>
      <c r="AA151">
        <v>3.7324524847369311E-2</v>
      </c>
      <c r="AB151">
        <v>2.6912707492631485E-2</v>
      </c>
      <c r="AC151">
        <v>3.3421617533578502E-2</v>
      </c>
      <c r="AD151">
        <v>0.18851772359659194</v>
      </c>
      <c r="AE151">
        <v>3.6271480058590344E-3</v>
      </c>
      <c r="AF151">
        <v>5.7217885018302408E-3</v>
      </c>
      <c r="AG151">
        <v>0.15753991534767153</v>
      </c>
      <c r="AH151">
        <v>3.3176054473338999E-3</v>
      </c>
      <c r="AI151">
        <v>1.2048550986656564E-2</v>
      </c>
      <c r="AJ151">
        <v>3.9824857627427497E-2</v>
      </c>
      <c r="AK151">
        <v>6.4844755576630969E-2</v>
      </c>
      <c r="AL151">
        <v>0.64361691188772707</v>
      </c>
      <c r="AM151">
        <f t="shared" si="4"/>
        <v>57.684751742224506</v>
      </c>
      <c r="AN151">
        <f t="shared" si="5"/>
        <v>0.8918764027231425</v>
      </c>
    </row>
    <row r="152" spans="1:40" x14ac:dyDescent="0.35">
      <c r="A152" t="s">
        <v>203</v>
      </c>
      <c r="B152" t="s">
        <v>73</v>
      </c>
      <c r="C152">
        <v>1</v>
      </c>
      <c r="D152" t="s">
        <v>49</v>
      </c>
      <c r="E152">
        <v>8</v>
      </c>
      <c r="F152">
        <v>35</v>
      </c>
      <c r="G152" t="s">
        <v>13</v>
      </c>
      <c r="H152">
        <v>29</v>
      </c>
      <c r="I152">
        <v>34</v>
      </c>
      <c r="J152">
        <v>0.28000000000000003</v>
      </c>
      <c r="K152">
        <v>7.3999999999987409E-3</v>
      </c>
      <c r="L152">
        <v>1.53986525187675E-3</v>
      </c>
      <c r="M152">
        <v>2.0118037544832164E-2</v>
      </c>
      <c r="N152">
        <v>1.4749611895496723E-2</v>
      </c>
      <c r="O152">
        <v>0.38972182673501732</v>
      </c>
      <c r="P152">
        <v>3.7299831558800997E-2</v>
      </c>
      <c r="Q152">
        <v>6.5391717411796946E-2</v>
      </c>
      <c r="R152">
        <v>1.951506562437804E-2</v>
      </c>
      <c r="S152">
        <v>1.3038412851805728E-2</v>
      </c>
      <c r="T152">
        <v>0.19266238255732962</v>
      </c>
      <c r="U152">
        <v>0.33375806894013776</v>
      </c>
      <c r="V152">
        <v>0.11615822583514532</v>
      </c>
      <c r="W152">
        <v>3.1579088520172389E-2</v>
      </c>
      <c r="X152">
        <v>7.3927376742541039E-3</v>
      </c>
      <c r="Y152">
        <v>3.6390710434402985E-3</v>
      </c>
      <c r="Z152">
        <v>7.2594891120133188E-3</v>
      </c>
      <c r="AA152">
        <v>1.999198488578462E-2</v>
      </c>
      <c r="AB152">
        <v>7.0751645594803961E-3</v>
      </c>
      <c r="AC152">
        <v>1.4355196814480876E-2</v>
      </c>
      <c r="AD152">
        <v>0.12574146939528003</v>
      </c>
      <c r="AE152">
        <v>3.1715694617889282E-3</v>
      </c>
      <c r="AF152">
        <v>4.2845634563807682E-3</v>
      </c>
      <c r="AG152">
        <v>9.4276371277074333E-2</v>
      </c>
      <c r="AH152">
        <v>1.80232504357594E-3</v>
      </c>
      <c r="AI152">
        <v>8.7190305090060396E-3</v>
      </c>
      <c r="AJ152">
        <v>3.167933375221467E-2</v>
      </c>
      <c r="AK152">
        <v>4.1861370966433213E-2</v>
      </c>
      <c r="AL152">
        <v>0.46915319894822921</v>
      </c>
      <c r="AM152">
        <f t="shared" si="4"/>
        <v>28.053175832791617</v>
      </c>
      <c r="AN152">
        <f t="shared" si="5"/>
        <v>0.74140536129508083</v>
      </c>
    </row>
    <row r="153" spans="1:40" x14ac:dyDescent="0.35">
      <c r="A153" t="s">
        <v>204</v>
      </c>
      <c r="B153" t="s">
        <v>73</v>
      </c>
      <c r="C153">
        <v>1</v>
      </c>
      <c r="D153" t="s">
        <v>49</v>
      </c>
      <c r="E153">
        <v>8</v>
      </c>
      <c r="F153">
        <v>35</v>
      </c>
      <c r="G153" t="s">
        <v>13</v>
      </c>
      <c r="H153">
        <v>34</v>
      </c>
      <c r="I153">
        <v>40</v>
      </c>
      <c r="J153">
        <v>0.4758</v>
      </c>
      <c r="K153">
        <v>9.3000000000014182E-3</v>
      </c>
      <c r="L153">
        <v>2.4765156062697804E-3</v>
      </c>
      <c r="M153">
        <v>5.3855849941252469E-2</v>
      </c>
      <c r="N153">
        <v>3.3719617858443754E-2</v>
      </c>
      <c r="O153">
        <v>0.7055559952432745</v>
      </c>
      <c r="P153">
        <v>8.3273009739835896E-2</v>
      </c>
      <c r="Q153">
        <v>0.18817271791025725</v>
      </c>
      <c r="R153">
        <v>3.6926135414856599E-2</v>
      </c>
      <c r="S153">
        <v>3.2744890299366468E-2</v>
      </c>
      <c r="T153">
        <v>0.31465216304556232</v>
      </c>
      <c r="U153">
        <v>0.73985561432803904</v>
      </c>
      <c r="V153">
        <v>0.27288517558987752</v>
      </c>
      <c r="W153">
        <v>7.1356944691601573E-2</v>
      </c>
      <c r="X153">
        <v>1.9654930129832274E-2</v>
      </c>
      <c r="Y153">
        <v>1.1631666317597315E-2</v>
      </c>
      <c r="Z153">
        <v>1.2000046112338245E-2</v>
      </c>
      <c r="AA153">
        <v>4.570442685031826E-2</v>
      </c>
      <c r="AB153">
        <v>1.6982902926776251E-2</v>
      </c>
      <c r="AC153">
        <v>3.4264651544381519E-2</v>
      </c>
      <c r="AD153">
        <v>0.22111916983953525</v>
      </c>
      <c r="AE153">
        <v>4.024392404834016E-3</v>
      </c>
      <c r="AF153">
        <v>8.1439696388188217E-3</v>
      </c>
      <c r="AG153">
        <v>0.1902317930243177</v>
      </c>
      <c r="AH153">
        <v>4.5734358593148726E-3</v>
      </c>
      <c r="AI153">
        <v>1.8057532689760899E-2</v>
      </c>
      <c r="AJ153">
        <v>4.882040619171555E-2</v>
      </c>
      <c r="AK153">
        <v>9.3984658252095302E-2</v>
      </c>
      <c r="AL153">
        <v>0.62258639525434456</v>
      </c>
      <c r="AM153">
        <f t="shared" si="4"/>
        <v>41.798440932301354</v>
      </c>
      <c r="AN153">
        <f t="shared" si="5"/>
        <v>0.81699348606654454</v>
      </c>
    </row>
    <row r="154" spans="1:40" x14ac:dyDescent="0.35">
      <c r="A154" t="s">
        <v>205</v>
      </c>
      <c r="B154" t="s">
        <v>73</v>
      </c>
      <c r="C154">
        <v>1</v>
      </c>
      <c r="D154" t="s">
        <v>65</v>
      </c>
      <c r="E154">
        <v>8</v>
      </c>
      <c r="F154">
        <v>36</v>
      </c>
      <c r="G154" t="s">
        <v>7</v>
      </c>
      <c r="H154">
        <v>30</v>
      </c>
      <c r="I154">
        <v>35</v>
      </c>
      <c r="J154">
        <v>0.3327</v>
      </c>
      <c r="K154">
        <v>5.8000000000006935E-3</v>
      </c>
      <c r="L154">
        <v>1.0649153827919265E-3</v>
      </c>
      <c r="M154">
        <v>2.5225452494770536E-2</v>
      </c>
      <c r="N154">
        <v>9.5443648362871208E-3</v>
      </c>
      <c r="O154">
        <v>0.4396708098267928</v>
      </c>
      <c r="P154">
        <v>5.0161294004071141E-2</v>
      </c>
      <c r="Q154">
        <v>9.1611776299893893E-2</v>
      </c>
      <c r="R154">
        <v>2.1739726353500247E-2</v>
      </c>
      <c r="S154">
        <v>1.9814526705105296E-2</v>
      </c>
      <c r="T154">
        <v>0.20763323892224331</v>
      </c>
      <c r="U154">
        <v>0.40201133218712476</v>
      </c>
      <c r="V154">
        <v>0.14032205426425995</v>
      </c>
      <c r="W154">
        <v>4.5252215913867938E-2</v>
      </c>
      <c r="X154">
        <v>6.2564450566743304E-3</v>
      </c>
      <c r="Y154">
        <v>5.4375149560892131E-3</v>
      </c>
      <c r="Z154">
        <v>8.8940761688181876E-3</v>
      </c>
      <c r="AA154">
        <v>2.6423901875835099E-2</v>
      </c>
      <c r="AB154">
        <v>1.239509463006077E-2</v>
      </c>
      <c r="AC154">
        <v>2.9146036238860321E-2</v>
      </c>
      <c r="AD154">
        <v>0.13567579517718797</v>
      </c>
      <c r="AE154">
        <v>1.3436047312524763E-3</v>
      </c>
      <c r="AF154">
        <v>4.2699848612285764E-3</v>
      </c>
      <c r="AG154">
        <v>7.5447763666794787E-2</v>
      </c>
      <c r="AH154">
        <v>1.6509012644887781E-3</v>
      </c>
      <c r="AI154">
        <v>1.0093914838898798E-2</v>
      </c>
      <c r="AJ154">
        <v>4.0406314981109935E-2</v>
      </c>
      <c r="AK154">
        <v>3.6040641571301421E-2</v>
      </c>
      <c r="AL154">
        <v>0.42300488864945718</v>
      </c>
      <c r="AM154">
        <f t="shared" si="4"/>
        <v>39.147216997560271</v>
      </c>
      <c r="AN154">
        <f t="shared" si="5"/>
        <v>0.6824582464258393</v>
      </c>
    </row>
    <row r="155" spans="1:40" x14ac:dyDescent="0.35">
      <c r="A155" t="s">
        <v>206</v>
      </c>
      <c r="B155" t="s">
        <v>73</v>
      </c>
      <c r="C155">
        <v>1</v>
      </c>
      <c r="D155" t="s">
        <v>65</v>
      </c>
      <c r="E155">
        <v>8</v>
      </c>
      <c r="F155">
        <v>36</v>
      </c>
      <c r="G155" t="s">
        <v>7</v>
      </c>
      <c r="H155">
        <v>25</v>
      </c>
      <c r="I155">
        <v>30</v>
      </c>
      <c r="J155">
        <v>0.2261</v>
      </c>
      <c r="K155">
        <v>6.1999999999997604E-3</v>
      </c>
      <c r="L155">
        <v>6.5216420192187516E-4</v>
      </c>
      <c r="M155">
        <v>2.0070322805802548E-2</v>
      </c>
      <c r="N155">
        <v>6.050236029987833E-3</v>
      </c>
      <c r="O155">
        <v>0.31697883798284754</v>
      </c>
      <c r="P155">
        <v>4.0972804077462392E-2</v>
      </c>
      <c r="Q155">
        <v>7.3427966465725275E-2</v>
      </c>
      <c r="R155">
        <v>1.4962105041283782E-2</v>
      </c>
      <c r="S155">
        <v>1.5939909841314368E-2</v>
      </c>
      <c r="T155">
        <v>0.1562456866142809</v>
      </c>
      <c r="U155">
        <v>0.3461650537247376</v>
      </c>
      <c r="V155">
        <v>0.11648599347496816</v>
      </c>
      <c r="W155">
        <v>3.5451845635290816E-2</v>
      </c>
      <c r="X155">
        <v>4.8967428590076106E-3</v>
      </c>
      <c r="Y155">
        <v>4.05452408096696E-3</v>
      </c>
      <c r="Z155">
        <v>4.6356509700359204E-3</v>
      </c>
      <c r="AA155">
        <v>2.1955133206908631E-2</v>
      </c>
      <c r="AB155">
        <v>1.3356314521373581E-2</v>
      </c>
      <c r="AC155">
        <v>2.701043015763446E-2</v>
      </c>
      <c r="AD155">
        <v>0.10670887808742885</v>
      </c>
      <c r="AE155">
        <v>1.1574915001813016E-3</v>
      </c>
      <c r="AF155">
        <v>3.207830745929569E-3</v>
      </c>
      <c r="AG155">
        <v>6.1139066941266015E-2</v>
      </c>
      <c r="AH155">
        <v>9.2006217980656734E-4</v>
      </c>
      <c r="AI155">
        <v>9.8356914064057638E-3</v>
      </c>
      <c r="AJ155">
        <v>3.4519897603417518E-2</v>
      </c>
      <c r="AK155">
        <v>3.2338347678551961E-2</v>
      </c>
      <c r="AL155">
        <v>0.30490569941406043</v>
      </c>
      <c r="AM155">
        <f t="shared" si="4"/>
        <v>28.613623987881713</v>
      </c>
      <c r="AN155">
        <f t="shared" si="5"/>
        <v>0.78462834464776554</v>
      </c>
    </row>
    <row r="156" spans="1:40" x14ac:dyDescent="0.35">
      <c r="A156" t="s">
        <v>207</v>
      </c>
      <c r="B156" t="s">
        <v>73</v>
      </c>
      <c r="C156">
        <v>1</v>
      </c>
      <c r="D156" t="s">
        <v>65</v>
      </c>
      <c r="E156">
        <v>8</v>
      </c>
      <c r="F156">
        <v>36</v>
      </c>
      <c r="G156" t="s">
        <v>7</v>
      </c>
      <c r="H156">
        <v>28</v>
      </c>
      <c r="I156">
        <v>32</v>
      </c>
      <c r="J156">
        <v>0.2949</v>
      </c>
      <c r="K156">
        <v>4.7000000000014808E-3</v>
      </c>
      <c r="L156">
        <v>1.9335796135149744E-3</v>
      </c>
      <c r="M156">
        <v>2.4165986953736666E-2</v>
      </c>
      <c r="N156">
        <v>6.3416712817385579E-3</v>
      </c>
      <c r="O156">
        <v>0.36958641996202779</v>
      </c>
      <c r="P156">
        <v>5.7359398414386906E-2</v>
      </c>
      <c r="Q156">
        <v>0.10203314038378108</v>
      </c>
      <c r="R156">
        <v>1.3152529939588042E-2</v>
      </c>
      <c r="S156">
        <v>1.8444288537193092E-2</v>
      </c>
      <c r="T156">
        <v>0.15531665861557079</v>
      </c>
      <c r="U156">
        <v>0.48884984220654493</v>
      </c>
      <c r="V156">
        <v>0.14093609132944385</v>
      </c>
      <c r="W156">
        <v>3.3114194179462986E-2</v>
      </c>
      <c r="X156">
        <v>3.4506605542203115E-3</v>
      </c>
      <c r="Y156">
        <v>5.5138617469058715E-3</v>
      </c>
      <c r="Z156">
        <v>5.3650953773609154E-3</v>
      </c>
      <c r="AA156">
        <v>3.9038438288165896E-2</v>
      </c>
      <c r="AB156">
        <v>1.238841846787932E-2</v>
      </c>
      <c r="AC156">
        <v>2.2815579172649314E-2</v>
      </c>
      <c r="AD156">
        <v>0.10129657441877728</v>
      </c>
      <c r="AE156">
        <v>7.6210709026844825E-4</v>
      </c>
      <c r="AF156">
        <v>3.0785088207767107E-3</v>
      </c>
      <c r="AG156">
        <v>5.3879585900689683E-2</v>
      </c>
      <c r="AH156">
        <v>2.0359209717594941E-3</v>
      </c>
      <c r="AI156">
        <v>9.0760160187413601E-3</v>
      </c>
      <c r="AJ156">
        <v>3.1874218972875366E-2</v>
      </c>
      <c r="AK156">
        <v>2.8430234777423024E-2</v>
      </c>
      <c r="AL156">
        <v>0.29592363346014161</v>
      </c>
      <c r="AM156">
        <f t="shared" si="4"/>
        <v>43.109843733084816</v>
      </c>
      <c r="AN156">
        <f t="shared" si="5"/>
        <v>0.68706770276555607</v>
      </c>
    </row>
    <row r="157" spans="1:40" x14ac:dyDescent="0.35">
      <c r="A157" t="s">
        <v>208</v>
      </c>
      <c r="B157" t="s">
        <v>73</v>
      </c>
      <c r="C157">
        <v>1</v>
      </c>
      <c r="D157" t="s">
        <v>53</v>
      </c>
      <c r="E157">
        <v>8</v>
      </c>
      <c r="F157">
        <v>37</v>
      </c>
      <c r="G157" t="s">
        <v>10</v>
      </c>
      <c r="H157">
        <v>26</v>
      </c>
      <c r="I157">
        <v>31</v>
      </c>
      <c r="J157">
        <v>0.14410000000000001</v>
      </c>
      <c r="K157">
        <v>2.4999999999995026E-3</v>
      </c>
      <c r="L157">
        <v>5.402569596244909E-4</v>
      </c>
      <c r="M157">
        <v>7.0437465869793237E-3</v>
      </c>
      <c r="N157">
        <v>4.454347294062703E-3</v>
      </c>
      <c r="O157">
        <v>0.22085869248843357</v>
      </c>
      <c r="P157">
        <v>1.7067756291371722E-2</v>
      </c>
      <c r="Q157">
        <v>2.3328500460236597E-2</v>
      </c>
      <c r="R157">
        <v>7.3724016783446823E-3</v>
      </c>
      <c r="S157">
        <v>5.3852915716898972E-3</v>
      </c>
      <c r="T157">
        <v>0.10101328373980259</v>
      </c>
      <c r="U157">
        <v>0.17722466925686131</v>
      </c>
      <c r="V157">
        <v>4.5813947070817942E-2</v>
      </c>
      <c r="W157">
        <v>9.0889665537436416E-3</v>
      </c>
      <c r="X157">
        <v>1.3570897890413181E-3</v>
      </c>
      <c r="Y157">
        <v>7.6981346066468212E-4</v>
      </c>
      <c r="Z157">
        <v>3.4685389146277396E-3</v>
      </c>
      <c r="AA157">
        <v>8.2911473960703801E-3</v>
      </c>
      <c r="AB157">
        <v>1.2424811808735503E-2</v>
      </c>
      <c r="AC157">
        <v>7.0142111670248994E-3</v>
      </c>
      <c r="AD157">
        <v>5.3530801171718739E-2</v>
      </c>
      <c r="AE157">
        <v>7.6227271101496385E-4</v>
      </c>
      <c r="AF157">
        <v>1.7780871943876883E-3</v>
      </c>
      <c r="AG157">
        <v>4.3574236559772078E-2</v>
      </c>
      <c r="AH157">
        <v>6.119774315855314E-4</v>
      </c>
      <c r="AI157">
        <v>2.992000799247553E-3</v>
      </c>
      <c r="AJ157">
        <v>8.5959544989466456E-3</v>
      </c>
      <c r="AK157">
        <v>1.5343248623753945E-2</v>
      </c>
      <c r="AL157">
        <v>0.27877917093608773</v>
      </c>
      <c r="AM157">
        <f t="shared" si="4"/>
        <v>42.33940889659435</v>
      </c>
      <c r="AN157">
        <f t="shared" si="5"/>
        <v>0.73454907870551567</v>
      </c>
    </row>
    <row r="158" spans="1:40" x14ac:dyDescent="0.35">
      <c r="A158" t="s">
        <v>209</v>
      </c>
      <c r="B158" t="s">
        <v>73</v>
      </c>
      <c r="C158">
        <v>1</v>
      </c>
      <c r="D158" t="s">
        <v>53</v>
      </c>
      <c r="E158">
        <v>8</v>
      </c>
      <c r="F158">
        <v>37</v>
      </c>
      <c r="G158" t="s">
        <v>10</v>
      </c>
      <c r="H158">
        <v>27</v>
      </c>
      <c r="I158">
        <v>32</v>
      </c>
      <c r="J158">
        <v>0.23219999999999999</v>
      </c>
      <c r="K158">
        <v>4.5000000000001705E-3</v>
      </c>
      <c r="L158">
        <v>7.42912387231683E-4</v>
      </c>
      <c r="M158">
        <v>1.9861502586614791E-2</v>
      </c>
      <c r="N158">
        <v>1.3354705999116326E-2</v>
      </c>
      <c r="O158">
        <v>0.36641176960147398</v>
      </c>
      <c r="P158">
        <v>3.9884473394156822E-2</v>
      </c>
      <c r="Q158">
        <v>8.0419843555909948E-2</v>
      </c>
      <c r="R158">
        <v>1.7573493968850856E-2</v>
      </c>
      <c r="S158">
        <v>1.472169146711229E-2</v>
      </c>
      <c r="T158">
        <v>0.15996211537077654</v>
      </c>
      <c r="U158">
        <v>0.32906692138136701</v>
      </c>
      <c r="V158">
        <v>0.11646412086743407</v>
      </c>
      <c r="W158">
        <v>3.2097031006885247E-2</v>
      </c>
      <c r="X158">
        <v>4.3663034275941807E-3</v>
      </c>
      <c r="Y158">
        <v>3.4136846422870553E-3</v>
      </c>
      <c r="Z158">
        <v>5.298004183087273E-3</v>
      </c>
      <c r="AA158">
        <v>2.0069156453957505E-2</v>
      </c>
      <c r="AB158">
        <v>7.1766848217661725E-3</v>
      </c>
      <c r="AC158">
        <v>1.6129897976502328E-2</v>
      </c>
      <c r="AD158">
        <v>9.4836426700095344E-2</v>
      </c>
      <c r="AE158">
        <v>8.1765562730754557E-4</v>
      </c>
      <c r="AF158">
        <v>3.3683659492857693E-3</v>
      </c>
      <c r="AG158">
        <v>8.5334602460920117E-2</v>
      </c>
      <c r="AH158">
        <v>1.5375307652682997E-3</v>
      </c>
      <c r="AI158">
        <v>5.76861909968271E-3</v>
      </c>
      <c r="AJ158">
        <v>1.4958895849119675E-2</v>
      </c>
      <c r="AK158">
        <v>3.461324102889389E-2</v>
      </c>
      <c r="AL158">
        <v>0.36899449792091105</v>
      </c>
      <c r="AM158">
        <f t="shared" si="4"/>
        <v>41.27209218874529</v>
      </c>
      <c r="AN158">
        <f t="shared" si="5"/>
        <v>0.79984674784393128</v>
      </c>
    </row>
    <row r="159" spans="1:40" x14ac:dyDescent="0.35">
      <c r="A159" t="s">
        <v>210</v>
      </c>
      <c r="B159" t="s">
        <v>73</v>
      </c>
      <c r="C159">
        <v>1</v>
      </c>
      <c r="D159" t="s">
        <v>53</v>
      </c>
      <c r="E159">
        <v>8</v>
      </c>
      <c r="F159">
        <v>37</v>
      </c>
      <c r="G159" t="s">
        <v>10</v>
      </c>
      <c r="H159">
        <v>33</v>
      </c>
      <c r="I159">
        <v>39</v>
      </c>
      <c r="J159">
        <v>0.44829999999999998</v>
      </c>
      <c r="K159">
        <v>7.4000000000005173E-3</v>
      </c>
      <c r="L159">
        <v>1.4000322204764215E-3</v>
      </c>
      <c r="M159">
        <v>4.6293741545223428E-2</v>
      </c>
      <c r="N159">
        <v>2.3396442229163494E-2</v>
      </c>
      <c r="O159">
        <v>0.57984348499468974</v>
      </c>
      <c r="P159">
        <v>7.2459043948013752E-2</v>
      </c>
      <c r="Q159">
        <v>0.15576633462810086</v>
      </c>
      <c r="R159">
        <v>2.8313712789165266E-2</v>
      </c>
      <c r="S159">
        <v>3.1067779997492904E-2</v>
      </c>
      <c r="T159">
        <v>0.26584547347845744</v>
      </c>
      <c r="U159">
        <v>0.7129546553920515</v>
      </c>
      <c r="V159">
        <v>0.26213563027486719</v>
      </c>
      <c r="W159">
        <v>6.1138254288205317E-2</v>
      </c>
      <c r="X159">
        <v>9.4441458763027935E-3</v>
      </c>
      <c r="Y159">
        <v>6.5772167763281332E-3</v>
      </c>
      <c r="Z159">
        <v>1.125145190874507E-2</v>
      </c>
      <c r="AA159">
        <v>6.4195782426441583E-2</v>
      </c>
      <c r="AB159">
        <v>2.3941570978154726E-2</v>
      </c>
      <c r="AC159">
        <v>3.9081794869532574E-2</v>
      </c>
      <c r="AD159">
        <v>0.17155821257405662</v>
      </c>
      <c r="AE159">
        <v>2.0510252642782344E-3</v>
      </c>
      <c r="AF159">
        <v>4.9552900763639354E-3</v>
      </c>
      <c r="AG159">
        <v>0.12799183568115466</v>
      </c>
      <c r="AH159">
        <v>3.036387190139208E-3</v>
      </c>
      <c r="AI159">
        <v>1.4473754078025732E-2</v>
      </c>
      <c r="AJ159">
        <v>3.8376792686629961E-2</v>
      </c>
      <c r="AK159">
        <v>7.1828565031745464E-2</v>
      </c>
      <c r="AL159">
        <v>0.49036480396457549</v>
      </c>
      <c r="AM159">
        <f t="shared" si="4"/>
        <v>44.861394799569595</v>
      </c>
      <c r="AN159">
        <f t="shared" si="5"/>
        <v>0.74051822778683518</v>
      </c>
    </row>
    <row r="160" spans="1:40" x14ac:dyDescent="0.35">
      <c r="A160" t="s">
        <v>211</v>
      </c>
      <c r="B160" t="s">
        <v>73</v>
      </c>
      <c r="C160">
        <v>1</v>
      </c>
      <c r="D160" t="s">
        <v>69</v>
      </c>
      <c r="E160">
        <v>8</v>
      </c>
      <c r="F160">
        <v>38</v>
      </c>
      <c r="G160" t="s">
        <v>8</v>
      </c>
      <c r="H160">
        <v>28</v>
      </c>
      <c r="I160">
        <v>32</v>
      </c>
      <c r="J160">
        <v>0.26229999999999998</v>
      </c>
      <c r="K160">
        <v>6.0000000000002274E-3</v>
      </c>
      <c r="L160">
        <v>1.0383235574974357E-3</v>
      </c>
      <c r="M160">
        <v>3.173015442496515E-2</v>
      </c>
      <c r="N160">
        <v>1.4302305190861042E-2</v>
      </c>
      <c r="O160">
        <v>0.35192792536195194</v>
      </c>
      <c r="P160">
        <v>7.1311458218121848E-2</v>
      </c>
      <c r="Q160">
        <v>0.11801940782673535</v>
      </c>
      <c r="R160">
        <v>1.3983417725315927E-2</v>
      </c>
      <c r="S160">
        <v>1.5240409382534331E-2</v>
      </c>
      <c r="T160">
        <v>0.15282352106188685</v>
      </c>
      <c r="U160">
        <v>0.45303316090265144</v>
      </c>
      <c r="V160">
        <v>0.15217965000077047</v>
      </c>
      <c r="W160">
        <v>2.6416074407187719E-2</v>
      </c>
      <c r="X160">
        <v>3.2572221381509964E-3</v>
      </c>
      <c r="Y160">
        <v>4.5545005301757067E-3</v>
      </c>
      <c r="Z160">
        <v>6.2012903770332058E-3</v>
      </c>
      <c r="AA160">
        <v>2.9996838317625788E-2</v>
      </c>
      <c r="AB160">
        <v>1.9728324658468639E-2</v>
      </c>
      <c r="AC160">
        <v>1.9597160898182552E-2</v>
      </c>
      <c r="AD160">
        <v>7.7941298947450027E-2</v>
      </c>
      <c r="AE160">
        <v>1.1565867936617871E-3</v>
      </c>
      <c r="AF160">
        <v>3.1337733971926142E-3</v>
      </c>
      <c r="AG160">
        <v>6.8452069694111925E-2</v>
      </c>
      <c r="AH160">
        <v>1.0633404562354674E-3</v>
      </c>
      <c r="AI160">
        <v>5.9308768416683902E-3</v>
      </c>
      <c r="AJ160">
        <v>1.3434420322642531E-2</v>
      </c>
      <c r="AK160">
        <v>3.0020362802788955E-2</v>
      </c>
      <c r="AL160">
        <v>0.29442732981937392</v>
      </c>
      <c r="AM160">
        <f t="shared" si="4"/>
        <v>33.015020067586114</v>
      </c>
      <c r="AN160">
        <f t="shared" si="5"/>
        <v>0.75520442396311183</v>
      </c>
    </row>
    <row r="161" spans="1:40" x14ac:dyDescent="0.35">
      <c r="A161" t="s">
        <v>212</v>
      </c>
      <c r="B161" t="s">
        <v>73</v>
      </c>
      <c r="C161">
        <v>1</v>
      </c>
      <c r="D161" t="s">
        <v>69</v>
      </c>
      <c r="E161">
        <v>8</v>
      </c>
      <c r="F161">
        <v>38</v>
      </c>
      <c r="G161" t="s">
        <v>8</v>
      </c>
      <c r="H161">
        <v>27</v>
      </c>
      <c r="I161">
        <v>32</v>
      </c>
      <c r="J161">
        <v>0.21360000000000001</v>
      </c>
      <c r="K161">
        <v>5.4999999999996163E-3</v>
      </c>
      <c r="L161">
        <v>9.0352407958444153E-4</v>
      </c>
      <c r="M161">
        <v>2.2930481162260419E-2</v>
      </c>
      <c r="N161">
        <v>1.3517251282017511E-2</v>
      </c>
      <c r="O161">
        <v>0.30446569974027671</v>
      </c>
      <c r="P161">
        <v>4.9864122460036617E-2</v>
      </c>
      <c r="Q161">
        <v>7.4329939951314414E-2</v>
      </c>
      <c r="R161">
        <v>1.4103986104377362E-2</v>
      </c>
      <c r="S161">
        <v>1.385081587143421E-2</v>
      </c>
      <c r="T161">
        <v>0.12681418681360948</v>
      </c>
      <c r="U161">
        <v>0.33319411742227489</v>
      </c>
      <c r="V161">
        <v>0.11545435709606666</v>
      </c>
      <c r="W161">
        <v>2.1080640838338018E-2</v>
      </c>
      <c r="X161">
        <v>3.1616897173784835E-3</v>
      </c>
      <c r="Y161">
        <v>2.3529496130491436E-3</v>
      </c>
      <c r="Z161">
        <v>5.5580258308027212E-3</v>
      </c>
      <c r="AA161">
        <v>2.1214952317890088E-2</v>
      </c>
      <c r="AB161">
        <v>1.1798792614160536E-2</v>
      </c>
      <c r="AC161">
        <v>1.4235644000942958E-2</v>
      </c>
      <c r="AD161">
        <v>6.9040361290206645E-2</v>
      </c>
      <c r="AE161">
        <v>7.209960763664351E-4</v>
      </c>
      <c r="AF161">
        <v>2.3622999354336659E-3</v>
      </c>
      <c r="AG161">
        <v>5.5334831180013061E-2</v>
      </c>
      <c r="AH161">
        <v>1.2224228097194186E-3</v>
      </c>
      <c r="AI161">
        <v>5.1210133595346978E-3</v>
      </c>
      <c r="AJ161">
        <v>1.2609910060976184E-2</v>
      </c>
      <c r="AK161">
        <v>2.5181112968231657E-2</v>
      </c>
      <c r="AL161">
        <v>0.27001054862019058</v>
      </c>
      <c r="AM161">
        <f t="shared" si="4"/>
        <v>28.916994058483603</v>
      </c>
      <c r="AN161">
        <f t="shared" si="5"/>
        <v>0.74458552116876731</v>
      </c>
    </row>
    <row r="162" spans="1:40" x14ac:dyDescent="0.35">
      <c r="A162" t="s">
        <v>213</v>
      </c>
      <c r="B162" t="s">
        <v>73</v>
      </c>
      <c r="C162">
        <v>1</v>
      </c>
      <c r="D162" t="s">
        <v>69</v>
      </c>
      <c r="E162">
        <v>8</v>
      </c>
      <c r="F162">
        <v>38</v>
      </c>
      <c r="G162" t="s">
        <v>8</v>
      </c>
      <c r="H162">
        <v>27</v>
      </c>
      <c r="I162">
        <v>31</v>
      </c>
      <c r="J162">
        <v>0.23499999999999999</v>
      </c>
      <c r="K162">
        <v>6.8000000000001393E-3</v>
      </c>
      <c r="L162">
        <v>1.6979621595380632E-3</v>
      </c>
      <c r="M162">
        <v>2.2931336664536971E-2</v>
      </c>
      <c r="N162">
        <v>1.1858972274723757E-2</v>
      </c>
      <c r="O162">
        <v>0.31806751420207474</v>
      </c>
      <c r="P162">
        <v>5.844363568898743E-2</v>
      </c>
      <c r="Q162">
        <v>8.6036815500217328E-2</v>
      </c>
      <c r="R162">
        <v>1.2389331215351573E-2</v>
      </c>
      <c r="S162">
        <v>1.395517139878294E-2</v>
      </c>
      <c r="T162">
        <v>0.14781566581147826</v>
      </c>
      <c r="U162">
        <v>0.36238395172019905</v>
      </c>
      <c r="V162">
        <v>0.1209269726375643</v>
      </c>
      <c r="W162">
        <v>2.1933071800503353E-2</v>
      </c>
      <c r="X162">
        <v>2.6692917652237826E-3</v>
      </c>
      <c r="Y162">
        <v>3.0065380582226663E-3</v>
      </c>
      <c r="Z162">
        <v>4.153419391561804E-3</v>
      </c>
      <c r="AA162">
        <v>2.3716047970090158E-2</v>
      </c>
      <c r="AB162">
        <v>1.2597820843089977E-2</v>
      </c>
      <c r="AC162">
        <v>1.6240070590215389E-2</v>
      </c>
      <c r="AD162">
        <v>8.0738264481524866E-2</v>
      </c>
      <c r="AE162">
        <v>1.1599147288555111E-3</v>
      </c>
      <c r="AF162">
        <v>2.505413260012271E-3</v>
      </c>
      <c r="AG162">
        <v>6.2675619443625138E-2</v>
      </c>
      <c r="AH162">
        <v>1.1704704382080662E-3</v>
      </c>
      <c r="AI162">
        <v>5.6962068764071297E-3</v>
      </c>
      <c r="AJ162">
        <v>1.264689563218519E-2</v>
      </c>
      <c r="AK162">
        <v>3.1260410765244127E-2</v>
      </c>
      <c r="AL162">
        <v>0.33714147665689176</v>
      </c>
      <c r="AM162">
        <f t="shared" si="4"/>
        <v>26.114974440812926</v>
      </c>
      <c r="AN162">
        <f t="shared" si="5"/>
        <v>0.75566734552141079</v>
      </c>
    </row>
    <row r="163" spans="1:40" x14ac:dyDescent="0.35">
      <c r="A163" t="s">
        <v>214</v>
      </c>
      <c r="B163" t="s">
        <v>73</v>
      </c>
      <c r="C163">
        <v>1</v>
      </c>
      <c r="D163" t="s">
        <v>45</v>
      </c>
      <c r="E163">
        <v>8</v>
      </c>
      <c r="F163">
        <v>39</v>
      </c>
      <c r="G163" t="s">
        <v>12</v>
      </c>
      <c r="H163">
        <v>33</v>
      </c>
      <c r="I163">
        <v>39</v>
      </c>
      <c r="J163">
        <v>0.50739999999999996</v>
      </c>
      <c r="K163">
        <v>8.6999999999992656E-3</v>
      </c>
      <c r="L163">
        <v>2.0482384227517888E-3</v>
      </c>
      <c r="M163">
        <v>3.8590112448836325E-2</v>
      </c>
      <c r="N163">
        <v>2.3978551578916943E-2</v>
      </c>
      <c r="O163">
        <v>0.84314803177265063</v>
      </c>
      <c r="P163">
        <v>4.1229274076773618E-2</v>
      </c>
      <c r="Q163">
        <v>0.14090053025805552</v>
      </c>
      <c r="R163">
        <v>5.0595889334214418E-2</v>
      </c>
      <c r="S163">
        <v>3.3399795037866407E-2</v>
      </c>
      <c r="T163">
        <v>0.38761521102559804</v>
      </c>
      <c r="U163">
        <v>0.59921786870324523</v>
      </c>
      <c r="V163">
        <v>0.24669339266427417</v>
      </c>
      <c r="W163">
        <v>8.6579128988994836E-2</v>
      </c>
      <c r="X163">
        <v>2.6222738169142085E-2</v>
      </c>
      <c r="Y163">
        <v>7.9996712295867974E-3</v>
      </c>
      <c r="Z163">
        <v>1.0719836530895198E-2</v>
      </c>
      <c r="AA163">
        <v>3.4863305206119237E-2</v>
      </c>
      <c r="AB163">
        <v>2.5652596207623276E-2</v>
      </c>
      <c r="AC163">
        <v>0</v>
      </c>
      <c r="AD163">
        <v>0.31708729312834327</v>
      </c>
      <c r="AE163">
        <v>1.1780731222255793E-2</v>
      </c>
      <c r="AF163">
        <v>9.3248650443290178E-3</v>
      </c>
      <c r="AG163">
        <v>0.25501349302497833</v>
      </c>
      <c r="AH163">
        <v>5.1972632647699869E-3</v>
      </c>
      <c r="AI163">
        <v>3.2076816387309068E-2</v>
      </c>
      <c r="AJ163">
        <v>6.3614503111687759E-2</v>
      </c>
      <c r="AK163">
        <v>0.10283105648297913</v>
      </c>
      <c r="AL163">
        <v>0.88396117411648878</v>
      </c>
      <c r="AM163">
        <f t="shared" si="4"/>
        <v>49.199326062517777</v>
      </c>
      <c r="AN163">
        <f t="shared" si="5"/>
        <v>0.84358324151333974</v>
      </c>
    </row>
    <row r="164" spans="1:40" x14ac:dyDescent="0.35">
      <c r="A164" t="s">
        <v>215</v>
      </c>
      <c r="B164" t="s">
        <v>73</v>
      </c>
      <c r="C164">
        <v>1</v>
      </c>
      <c r="D164" t="s">
        <v>45</v>
      </c>
      <c r="E164">
        <v>8</v>
      </c>
      <c r="F164">
        <v>39</v>
      </c>
      <c r="G164" t="s">
        <v>12</v>
      </c>
      <c r="H164">
        <v>34</v>
      </c>
      <c r="I164">
        <v>41</v>
      </c>
      <c r="J164">
        <v>0.45419999999999999</v>
      </c>
      <c r="K164">
        <v>5.8999999999986841E-3</v>
      </c>
      <c r="L164">
        <v>9.6782071906070192E-4</v>
      </c>
      <c r="M164">
        <v>2.4367464791299861E-2</v>
      </c>
      <c r="N164">
        <v>1.6024789873329195E-2</v>
      </c>
      <c r="O164">
        <v>0.62601962167389358</v>
      </c>
      <c r="P164">
        <v>2.8879816986632268E-2</v>
      </c>
      <c r="Q164">
        <v>8.3764217453394435E-2</v>
      </c>
      <c r="R164">
        <v>3.4347973651073865E-2</v>
      </c>
      <c r="S164">
        <v>1.9923383492269332E-2</v>
      </c>
      <c r="T164">
        <v>0.29390266807737064</v>
      </c>
      <c r="U164">
        <v>0.41947622322787015</v>
      </c>
      <c r="V164">
        <v>0.15019249096633008</v>
      </c>
      <c r="W164">
        <v>4.7746891046160291E-2</v>
      </c>
      <c r="X164">
        <v>1.2852106496995414E-2</v>
      </c>
      <c r="Y164">
        <v>3.5018666364141147E-3</v>
      </c>
      <c r="Z164">
        <v>8.8345782294776912E-3</v>
      </c>
      <c r="AA164">
        <v>2.2836763824014589E-2</v>
      </c>
      <c r="AB164">
        <v>2.5193570054583239E-2</v>
      </c>
      <c r="AC164">
        <v>1.4451257173825893E-2</v>
      </c>
      <c r="AD164">
        <v>0.21324515191352272</v>
      </c>
      <c r="AE164">
        <v>5.0431533477042888E-3</v>
      </c>
      <c r="AF164">
        <v>6.4241399467941194E-3</v>
      </c>
      <c r="AG164">
        <v>0.16684542792169788</v>
      </c>
      <c r="AH164">
        <v>3.1019329363911126E-3</v>
      </c>
      <c r="AI164">
        <v>2.0666745907424313E-2</v>
      </c>
      <c r="AJ164">
        <v>4.039730911897374E-2</v>
      </c>
      <c r="AK164">
        <v>5.8176113858736639E-2</v>
      </c>
      <c r="AL164">
        <v>0.73870101616089257</v>
      </c>
      <c r="AM164">
        <f t="shared" si="4"/>
        <v>52.303127042149512</v>
      </c>
      <c r="AN164">
        <f t="shared" si="5"/>
        <v>0.67941094132235413</v>
      </c>
    </row>
    <row r="165" spans="1:40" x14ac:dyDescent="0.35">
      <c r="A165" t="s">
        <v>216</v>
      </c>
      <c r="B165" t="s">
        <v>73</v>
      </c>
      <c r="C165">
        <v>1</v>
      </c>
      <c r="D165" t="s">
        <v>45</v>
      </c>
      <c r="E165">
        <v>8</v>
      </c>
      <c r="F165">
        <v>39</v>
      </c>
      <c r="G165" t="s">
        <v>12</v>
      </c>
      <c r="H165">
        <v>35</v>
      </c>
      <c r="I165">
        <v>41</v>
      </c>
      <c r="J165">
        <v>0.5605</v>
      </c>
      <c r="K165">
        <v>9.4999999999991758E-3</v>
      </c>
      <c r="L165">
        <v>2.3607395270695527E-3</v>
      </c>
      <c r="M165">
        <v>4.2990109016803189E-2</v>
      </c>
      <c r="N165">
        <v>2.6420050472913487E-2</v>
      </c>
      <c r="O165">
        <v>0.88202850289769796</v>
      </c>
      <c r="P165">
        <v>4.1981665426216494E-2</v>
      </c>
      <c r="Q165">
        <v>0.15740420296916061</v>
      </c>
      <c r="R165">
        <v>5.6210593707499722E-2</v>
      </c>
      <c r="S165">
        <v>3.9177876867947992E-2</v>
      </c>
      <c r="T165">
        <v>0.42972044778321739</v>
      </c>
      <c r="U165">
        <v>0.66385547252376442</v>
      </c>
      <c r="V165">
        <v>0.281499026210357</v>
      </c>
      <c r="W165">
        <v>9.909106428265245E-2</v>
      </c>
      <c r="X165">
        <v>2.904179851289037E-2</v>
      </c>
      <c r="Y165">
        <v>8.4525132739721454E-3</v>
      </c>
      <c r="Z165">
        <v>1.3705654705128417E-2</v>
      </c>
      <c r="AA165">
        <v>3.8900196940668624E-2</v>
      </c>
      <c r="AB165">
        <v>3.8927911839720226E-2</v>
      </c>
      <c r="AC165">
        <v>3.1064189738511428E-2</v>
      </c>
      <c r="AD165">
        <v>0.38275530370799593</v>
      </c>
      <c r="AE165">
        <v>1.1625816121703094E-2</v>
      </c>
      <c r="AF165">
        <v>1.1186165085790165E-2</v>
      </c>
      <c r="AG165">
        <v>0.3129587638376316</v>
      </c>
      <c r="AH165">
        <v>6.5936328735986312E-3</v>
      </c>
      <c r="AI165">
        <v>2.8774277175684836E-2</v>
      </c>
      <c r="AJ165">
        <v>7.3379248056384308E-2</v>
      </c>
      <c r="AK165">
        <v>0.12691894667750467</v>
      </c>
      <c r="AL165">
        <v>1.0347126072483044</v>
      </c>
      <c r="AM165">
        <f t="shared" si="4"/>
        <v>51.281439762960126</v>
      </c>
      <c r="AN165">
        <f t="shared" si="5"/>
        <v>0.86917694513484212</v>
      </c>
    </row>
    <row r="166" spans="1:40" x14ac:dyDescent="0.35">
      <c r="A166" t="s">
        <v>217</v>
      </c>
      <c r="B166" t="s">
        <v>73</v>
      </c>
      <c r="C166">
        <v>1</v>
      </c>
      <c r="D166" t="s">
        <v>57</v>
      </c>
      <c r="E166">
        <v>8</v>
      </c>
      <c r="F166">
        <v>40</v>
      </c>
      <c r="G166" t="s">
        <v>9</v>
      </c>
      <c r="H166">
        <v>30</v>
      </c>
      <c r="I166">
        <v>37</v>
      </c>
      <c r="J166">
        <v>0.4209</v>
      </c>
      <c r="K166">
        <v>6.8999999999999071E-3</v>
      </c>
      <c r="L166">
        <v>1.5801113812395243E-3</v>
      </c>
      <c r="M166">
        <v>4.5415408803060664E-2</v>
      </c>
      <c r="N166">
        <v>1.4336112478447231E-2</v>
      </c>
      <c r="O166">
        <v>0.61059107972256743</v>
      </c>
      <c r="P166">
        <v>6.488729359045381E-2</v>
      </c>
      <c r="Q166">
        <v>0.15443131119036113</v>
      </c>
      <c r="R166">
        <v>2.6565838474359508E-2</v>
      </c>
      <c r="S166">
        <v>2.7510811368442033E-2</v>
      </c>
      <c r="T166">
        <v>0.27895390141465853</v>
      </c>
      <c r="U166">
        <v>0.68640429858494545</v>
      </c>
      <c r="V166">
        <v>0.22496430063613673</v>
      </c>
      <c r="W166">
        <v>6.9623022352412259E-2</v>
      </c>
      <c r="X166">
        <v>1.148054306841358E-2</v>
      </c>
      <c r="Y166">
        <v>9.4539301268458092E-3</v>
      </c>
      <c r="Z166">
        <v>9.578667381752894E-3</v>
      </c>
      <c r="AA166">
        <v>5.8312486461739282E-2</v>
      </c>
      <c r="AB166">
        <v>3.077329565303609E-2</v>
      </c>
      <c r="AC166">
        <v>3.3632931517177084E-2</v>
      </c>
      <c r="AD166">
        <v>0.17452023139512016</v>
      </c>
      <c r="AE166">
        <v>2.9366780217770462E-3</v>
      </c>
      <c r="AF166">
        <v>4.3277727771597234E-3</v>
      </c>
      <c r="AG166">
        <v>0.12331395922444799</v>
      </c>
      <c r="AH166">
        <v>3.2867237806134125E-3</v>
      </c>
      <c r="AI166">
        <v>1.4407765359555484E-2</v>
      </c>
      <c r="AJ166">
        <v>4.1098757532917404E-2</v>
      </c>
      <c r="AK166">
        <v>6.4518091403232253E-2</v>
      </c>
      <c r="AL166">
        <v>0.4738073954632947</v>
      </c>
      <c r="AM166">
        <f t="shared" si="4"/>
        <v>47.256706074843649</v>
      </c>
      <c r="AN166">
        <f t="shared" si="5"/>
        <v>0.77470009958759034</v>
      </c>
    </row>
    <row r="167" spans="1:40" x14ac:dyDescent="0.35">
      <c r="A167" t="s">
        <v>218</v>
      </c>
      <c r="B167" t="s">
        <v>73</v>
      </c>
      <c r="C167">
        <v>1</v>
      </c>
      <c r="D167" t="s">
        <v>57</v>
      </c>
      <c r="E167">
        <v>8</v>
      </c>
      <c r="F167">
        <v>40</v>
      </c>
      <c r="G167" t="s">
        <v>9</v>
      </c>
      <c r="H167">
        <v>34</v>
      </c>
      <c r="I167">
        <v>39</v>
      </c>
      <c r="J167">
        <v>0.50049999999999994</v>
      </c>
      <c r="K167">
        <v>6.6000000000006045E-3</v>
      </c>
      <c r="L167">
        <v>8.4928613491335792E-4</v>
      </c>
      <c r="M167">
        <v>3.3811088886282398E-2</v>
      </c>
      <c r="N167">
        <v>1.4285315302964799E-2</v>
      </c>
      <c r="O167">
        <v>0.62654101143841945</v>
      </c>
      <c r="P167">
        <v>6.6109776548831281E-2</v>
      </c>
      <c r="Q167">
        <v>0.1472069001452499</v>
      </c>
      <c r="R167">
        <v>2.5540157292181957E-2</v>
      </c>
      <c r="S167">
        <v>3.1855459741855087E-2</v>
      </c>
      <c r="T167">
        <v>0.26434999834151801</v>
      </c>
      <c r="U167">
        <v>0.68685183000669014</v>
      </c>
      <c r="V167">
        <v>0.21521566436606132</v>
      </c>
      <c r="W167">
        <v>7.4758734539470448E-2</v>
      </c>
      <c r="X167">
        <v>1.0759501226257644E-2</v>
      </c>
      <c r="Y167">
        <v>8.874435396615617E-3</v>
      </c>
      <c r="Z167">
        <v>6.1711656920294521E-3</v>
      </c>
      <c r="AA167">
        <v>5.0147752718785084E-2</v>
      </c>
      <c r="AB167">
        <v>2.8819826208553546E-2</v>
      </c>
      <c r="AC167">
        <v>4.0423144274520276E-2</v>
      </c>
      <c r="AD167">
        <v>0.20177858702841298</v>
      </c>
      <c r="AE167">
        <v>2.5059719350798691E-3</v>
      </c>
      <c r="AF167">
        <v>4.5880398966495831E-3</v>
      </c>
      <c r="AG167">
        <v>0.13792108505799974</v>
      </c>
      <c r="AH167">
        <v>1.7466940047812212E-3</v>
      </c>
      <c r="AI167">
        <v>1.6200845241275318E-2</v>
      </c>
      <c r="AJ167">
        <v>6.0856552100311267E-2</v>
      </c>
      <c r="AK167">
        <v>6.9633319591411849E-2</v>
      </c>
      <c r="AL167">
        <v>0.61126217917639547</v>
      </c>
      <c r="AM167">
        <f t="shared" si="4"/>
        <v>52.107035186260632</v>
      </c>
      <c r="AN167">
        <f t="shared" si="5"/>
        <v>0.6871257387199835</v>
      </c>
    </row>
    <row r="168" spans="1:40" x14ac:dyDescent="0.35">
      <c r="A168" t="s">
        <v>219</v>
      </c>
      <c r="B168" t="s">
        <v>73</v>
      </c>
      <c r="C168">
        <v>1</v>
      </c>
      <c r="D168" t="s">
        <v>57</v>
      </c>
      <c r="E168">
        <v>8</v>
      </c>
      <c r="F168">
        <v>40</v>
      </c>
      <c r="G168" t="s">
        <v>9</v>
      </c>
      <c r="H168">
        <v>31</v>
      </c>
      <c r="I168">
        <v>36</v>
      </c>
      <c r="J168">
        <v>0.40720000000000001</v>
      </c>
      <c r="K168">
        <v>7.5000000000002842E-3</v>
      </c>
      <c r="L168">
        <v>1.3975768163397848E-3</v>
      </c>
      <c r="M168">
        <v>3.79929326369286E-2</v>
      </c>
      <c r="N168">
        <v>1.5242410088510955E-2</v>
      </c>
      <c r="O168">
        <v>0.64798985391554165</v>
      </c>
      <c r="P168">
        <v>6.989963401481622E-2</v>
      </c>
      <c r="Q168">
        <v>0.15271438388758757</v>
      </c>
      <c r="R168">
        <v>2.629268737680238E-2</v>
      </c>
      <c r="S168">
        <v>3.2010418346689259E-2</v>
      </c>
      <c r="T168">
        <v>0.27354881118107938</v>
      </c>
      <c r="U168">
        <v>0.7233594436686539</v>
      </c>
      <c r="V168">
        <v>0.22308762967422577</v>
      </c>
      <c r="W168">
        <v>6.5938442671659464E-2</v>
      </c>
      <c r="X168">
        <v>1.0065675792625494E-2</v>
      </c>
      <c r="Y168">
        <v>9.7835606570783329E-3</v>
      </c>
      <c r="Z168">
        <v>9.1234326556466315E-3</v>
      </c>
      <c r="AA168">
        <v>4.8398770204783531E-2</v>
      </c>
      <c r="AB168">
        <v>4.3151488448486292E-2</v>
      </c>
      <c r="AC168">
        <v>4.415309803291368E-2</v>
      </c>
      <c r="AD168">
        <v>0.19948757425890096</v>
      </c>
      <c r="AE168">
        <v>2.6537847894894163E-3</v>
      </c>
      <c r="AF168">
        <v>5.2965130761822091E-3</v>
      </c>
      <c r="AG168">
        <v>0.14056151926973293</v>
      </c>
      <c r="AH168">
        <v>2.4637573731807923E-3</v>
      </c>
      <c r="AI168">
        <v>1.5881296655515811E-2</v>
      </c>
      <c r="AJ168">
        <v>4.9477924720987242E-2</v>
      </c>
      <c r="AK168">
        <v>7.0055645253601903E-2</v>
      </c>
      <c r="AL168">
        <v>0.57984596266238919</v>
      </c>
      <c r="AM168">
        <f t="shared" si="4"/>
        <v>46.664989708402892</v>
      </c>
      <c r="AN168">
        <f t="shared" si="5"/>
        <v>0.85949760022847499</v>
      </c>
    </row>
    <row r="169" spans="1:40" x14ac:dyDescent="0.35">
      <c r="A169" t="s">
        <v>220</v>
      </c>
      <c r="B169" t="s">
        <v>73</v>
      </c>
      <c r="C169">
        <v>1</v>
      </c>
      <c r="D169" t="s">
        <v>57</v>
      </c>
      <c r="E169">
        <v>8</v>
      </c>
      <c r="F169">
        <v>41</v>
      </c>
      <c r="G169" t="s">
        <v>9</v>
      </c>
      <c r="H169">
        <v>33</v>
      </c>
      <c r="I169">
        <v>40</v>
      </c>
      <c r="J169">
        <v>0.58509999999999995</v>
      </c>
      <c r="K169">
        <v>1.0300000000000864E-2</v>
      </c>
      <c r="L169">
        <v>1.9139949463271876E-3</v>
      </c>
      <c r="M169">
        <v>6.1295846743550347E-2</v>
      </c>
      <c r="N169">
        <v>2.1873095625567367E-2</v>
      </c>
      <c r="O169">
        <v>0.7417642309914787</v>
      </c>
      <c r="P169">
        <v>8.4677586646845715E-2</v>
      </c>
      <c r="Q169">
        <v>0.2172813393731568</v>
      </c>
      <c r="R169">
        <v>3.7770166686338744E-2</v>
      </c>
      <c r="S169">
        <v>4.3741126194119913E-2</v>
      </c>
      <c r="T169">
        <v>0.29809559030880484</v>
      </c>
      <c r="U169">
        <v>0.82366123526898638</v>
      </c>
      <c r="V169">
        <v>0.27044418997628666</v>
      </c>
      <c r="W169">
        <v>8.4281720784531458E-2</v>
      </c>
      <c r="X169">
        <v>1.3247778378430315E-2</v>
      </c>
      <c r="Y169">
        <v>1.3026182134032102E-2</v>
      </c>
      <c r="Z169">
        <v>1.3054685255358269E-2</v>
      </c>
      <c r="AA169">
        <v>6.1600310242859245E-2</v>
      </c>
      <c r="AB169">
        <v>2.6121412196744548E-2</v>
      </c>
      <c r="AC169">
        <v>3.4392613775086123E-2</v>
      </c>
      <c r="AD169">
        <v>0.21113178790313206</v>
      </c>
      <c r="AE169">
        <v>2.3233635688083274E-3</v>
      </c>
      <c r="AF169">
        <v>5.5322598219618262E-3</v>
      </c>
      <c r="AG169">
        <v>0.13523414884978918</v>
      </c>
      <c r="AH169">
        <v>3.7365266515599037E-3</v>
      </c>
      <c r="AI169">
        <v>1.535834867452724E-2</v>
      </c>
      <c r="AJ169">
        <v>6.1522422815638612E-2</v>
      </c>
      <c r="AK169">
        <v>5.6702911485480477E-2</v>
      </c>
      <c r="AL169">
        <v>0.5411833586455973</v>
      </c>
      <c r="AM169">
        <f t="shared" si="4"/>
        <v>37.679303242181312</v>
      </c>
      <c r="AN169">
        <f t="shared" si="5"/>
        <v>0.66329998871047691</v>
      </c>
    </row>
    <row r="170" spans="1:40" x14ac:dyDescent="0.35">
      <c r="A170" t="s">
        <v>221</v>
      </c>
      <c r="B170" t="s">
        <v>73</v>
      </c>
      <c r="C170">
        <v>1</v>
      </c>
      <c r="D170" t="s">
        <v>57</v>
      </c>
      <c r="E170">
        <v>8</v>
      </c>
      <c r="F170">
        <v>41</v>
      </c>
      <c r="G170" t="s">
        <v>9</v>
      </c>
      <c r="H170">
        <v>34</v>
      </c>
      <c r="I170">
        <v>41</v>
      </c>
      <c r="J170">
        <v>0.58579999999999999</v>
      </c>
      <c r="K170">
        <v>9.800000000000253E-3</v>
      </c>
      <c r="L170">
        <v>1.5588810104572154E-3</v>
      </c>
      <c r="M170">
        <v>5.5846031334976856E-2</v>
      </c>
      <c r="N170">
        <v>2.4898004799990336E-2</v>
      </c>
      <c r="O170">
        <v>0.8470166781416828</v>
      </c>
      <c r="P170">
        <v>7.9164816034064639E-2</v>
      </c>
      <c r="Q170">
        <v>0.22293022405468516</v>
      </c>
      <c r="R170">
        <v>4.228166087052182E-2</v>
      </c>
      <c r="S170">
        <v>4.7294178950564189E-2</v>
      </c>
      <c r="T170">
        <v>0.34153342914176826</v>
      </c>
      <c r="U170">
        <v>0.8121358206652336</v>
      </c>
      <c r="V170">
        <v>0.29966903468873879</v>
      </c>
      <c r="W170">
        <v>9.9221557195421473E-2</v>
      </c>
      <c r="X170">
        <v>1.6964201713017008E-2</v>
      </c>
      <c r="Y170">
        <v>1.2997764012815027E-2</v>
      </c>
      <c r="Z170">
        <v>1.1713530737450436E-2</v>
      </c>
      <c r="AA170">
        <v>5.4172712309604368E-2</v>
      </c>
      <c r="AB170">
        <v>2.4278712752618458E-2</v>
      </c>
      <c r="AC170">
        <v>5.0704249758429534E-2</v>
      </c>
      <c r="AD170">
        <v>0.24837244830400951</v>
      </c>
      <c r="AE170">
        <v>3.6646770123556472E-3</v>
      </c>
      <c r="AF170">
        <v>7.6031090802749068E-3</v>
      </c>
      <c r="AG170">
        <v>0.18415793146199114</v>
      </c>
      <c r="AH170">
        <v>3.5936302239584156E-3</v>
      </c>
      <c r="AI170">
        <v>1.6598028070920413E-2</v>
      </c>
      <c r="AJ170">
        <v>5.4734172726312418E-2</v>
      </c>
      <c r="AK170">
        <v>8.7057135778219191E-2</v>
      </c>
      <c r="AL170">
        <v>0.64350298649437132</v>
      </c>
      <c r="AM170">
        <f t="shared" si="4"/>
        <v>43.812914360452467</v>
      </c>
      <c r="AN170">
        <f t="shared" si="5"/>
        <v>0.73295759769963353</v>
      </c>
    </row>
    <row r="171" spans="1:40" x14ac:dyDescent="0.35">
      <c r="A171" t="s">
        <v>222</v>
      </c>
      <c r="B171" t="s">
        <v>73</v>
      </c>
      <c r="C171">
        <v>1</v>
      </c>
      <c r="D171" t="s">
        <v>57</v>
      </c>
      <c r="E171">
        <v>8</v>
      </c>
      <c r="F171">
        <v>41</v>
      </c>
      <c r="G171" t="s">
        <v>9</v>
      </c>
      <c r="H171">
        <v>34</v>
      </c>
      <c r="I171">
        <v>40</v>
      </c>
      <c r="J171">
        <v>0.58260000000000001</v>
      </c>
      <c r="K171">
        <v>1.2499999999999289E-2</v>
      </c>
      <c r="L171">
        <v>4.3771767687198187E-3</v>
      </c>
      <c r="M171">
        <v>0.11834495074997541</v>
      </c>
      <c r="N171">
        <v>3.2616526035553747E-2</v>
      </c>
      <c r="O171">
        <v>1.289874818644474</v>
      </c>
      <c r="P171">
        <v>0.13360958707898005</v>
      </c>
      <c r="Q171">
        <v>0.44438946800855761</v>
      </c>
      <c r="R171">
        <v>5.7754644190795235E-2</v>
      </c>
      <c r="S171">
        <v>6.8675469148597082E-2</v>
      </c>
      <c r="T171">
        <v>0.54069799420554265</v>
      </c>
      <c r="U171">
        <v>1.7109306418726158</v>
      </c>
      <c r="V171">
        <v>0.54320452840020239</v>
      </c>
      <c r="W171">
        <v>0.1316545069246689</v>
      </c>
      <c r="X171">
        <v>2.4931847321482598E-2</v>
      </c>
      <c r="Y171">
        <v>2.008686125153606E-2</v>
      </c>
      <c r="Z171">
        <v>2.534336490254193E-2</v>
      </c>
      <c r="AA171">
        <v>0.18484337726315536</v>
      </c>
      <c r="AB171">
        <v>6.0925248901185503E-2</v>
      </c>
      <c r="AC171">
        <v>7.1716840754941114E-2</v>
      </c>
      <c r="AD171">
        <v>0.28205181117673644</v>
      </c>
      <c r="AE171">
        <v>7.3903034098390151E-3</v>
      </c>
      <c r="AF171">
        <v>8.1973826442341829E-3</v>
      </c>
      <c r="AG171">
        <v>0.19482666758577508</v>
      </c>
      <c r="AH171">
        <v>9.2871758112540396E-3</v>
      </c>
      <c r="AI171">
        <v>2.2701155769661818E-2</v>
      </c>
      <c r="AJ171">
        <v>7.8820829412027366E-2</v>
      </c>
      <c r="AK171">
        <v>8.8899954406129231E-2</v>
      </c>
      <c r="AL171">
        <v>0.88884986226312424</v>
      </c>
      <c r="AM171">
        <f t="shared" si="4"/>
        <v>56.36002395922165</v>
      </c>
      <c r="AN171">
        <f t="shared" si="5"/>
        <v>1.2092349802441309</v>
      </c>
    </row>
    <row r="172" spans="1:40" x14ac:dyDescent="0.35">
      <c r="A172" t="s">
        <v>223</v>
      </c>
      <c r="B172" t="s">
        <v>73</v>
      </c>
      <c r="C172">
        <v>1</v>
      </c>
      <c r="D172" t="s">
        <v>65</v>
      </c>
      <c r="E172">
        <v>8</v>
      </c>
      <c r="F172">
        <v>42</v>
      </c>
      <c r="G172" t="s">
        <v>7</v>
      </c>
      <c r="H172">
        <v>37</v>
      </c>
      <c r="I172">
        <v>44</v>
      </c>
      <c r="J172">
        <v>0.77239999999999998</v>
      </c>
      <c r="K172">
        <v>1.9999999999999577E-2</v>
      </c>
      <c r="L172">
        <v>4.8897739104355334E-3</v>
      </c>
      <c r="M172">
        <v>0.19312351390603605</v>
      </c>
      <c r="N172">
        <v>3.6627133104791668E-2</v>
      </c>
      <c r="O172">
        <v>1.4929604278367967</v>
      </c>
      <c r="P172">
        <v>0.21475185627058274</v>
      </c>
      <c r="Q172">
        <v>0.65093158488175507</v>
      </c>
      <c r="R172">
        <v>7.9693742162061709E-2</v>
      </c>
      <c r="S172">
        <v>0.10231913033143566</v>
      </c>
      <c r="T172">
        <v>0.69458100695483649</v>
      </c>
      <c r="U172">
        <v>2.449102250332126</v>
      </c>
      <c r="V172">
        <v>0.83434353341320888</v>
      </c>
      <c r="W172">
        <v>0.20904049622674678</v>
      </c>
      <c r="X172">
        <v>2.5721724697820868E-2</v>
      </c>
      <c r="Y172">
        <v>3.2394673212188814E-2</v>
      </c>
      <c r="Z172">
        <v>4.036774653960646E-2</v>
      </c>
      <c r="AA172">
        <v>0.39873173115077748</v>
      </c>
      <c r="AB172">
        <v>9.5113938358183686E-2</v>
      </c>
      <c r="AC172">
        <v>9.8648619565189402E-2</v>
      </c>
      <c r="AD172">
        <v>0.31595119346052775</v>
      </c>
      <c r="AE172">
        <v>3.5823410971875867E-3</v>
      </c>
      <c r="AF172">
        <v>8.9480146872007692E-3</v>
      </c>
      <c r="AG172">
        <v>0.20232593271124982</v>
      </c>
      <c r="AH172">
        <v>1.6232128551482747E-2</v>
      </c>
      <c r="AI172">
        <v>2.9365304130003156E-2</v>
      </c>
      <c r="AJ172">
        <v>9.6186026498380178E-2</v>
      </c>
      <c r="AK172">
        <v>0.10662155755927002</v>
      </c>
      <c r="AL172">
        <v>0.88784339542019586</v>
      </c>
      <c r="AM172">
        <f t="shared" si="4"/>
        <v>46.601993884851389</v>
      </c>
      <c r="AN172">
        <f t="shared" si="5"/>
        <v>1.206680318095557</v>
      </c>
    </row>
    <row r="173" spans="1:40" x14ac:dyDescent="0.35">
      <c r="A173" t="s">
        <v>224</v>
      </c>
      <c r="B173" t="s">
        <v>73</v>
      </c>
      <c r="C173">
        <v>1</v>
      </c>
      <c r="D173" t="s">
        <v>65</v>
      </c>
      <c r="E173">
        <v>8</v>
      </c>
      <c r="F173">
        <v>42</v>
      </c>
      <c r="G173" t="s">
        <v>7</v>
      </c>
      <c r="H173">
        <v>29</v>
      </c>
      <c r="I173">
        <v>34</v>
      </c>
      <c r="J173">
        <v>0.34370000000000001</v>
      </c>
      <c r="K173">
        <v>5.3000000000000824E-3</v>
      </c>
      <c r="L173">
        <v>1.2976995954961349E-3</v>
      </c>
      <c r="M173">
        <v>2.9844269234806656E-2</v>
      </c>
      <c r="N173">
        <v>7.7233192857921011E-3</v>
      </c>
      <c r="O173">
        <v>0.40293417931543307</v>
      </c>
      <c r="P173">
        <v>5.7777027023028352E-2</v>
      </c>
      <c r="Q173">
        <v>0.12350452978143095</v>
      </c>
      <c r="R173">
        <v>1.6141082804987723E-2</v>
      </c>
      <c r="S173">
        <v>2.3606171176316127E-2</v>
      </c>
      <c r="T173">
        <v>0.17318430748480501</v>
      </c>
      <c r="U173">
        <v>0.51656549364933613</v>
      </c>
      <c r="V173">
        <v>0.16576019748439827</v>
      </c>
      <c r="W173">
        <v>4.7039734160736008E-2</v>
      </c>
      <c r="X173">
        <v>5.3434068256370485E-3</v>
      </c>
      <c r="Y173">
        <v>6.9634824014611326E-3</v>
      </c>
      <c r="Z173">
        <v>9.2722057385490036E-3</v>
      </c>
      <c r="AA173">
        <v>5.0412398039711183E-2</v>
      </c>
      <c r="AB173">
        <v>2.6843903932303344E-2</v>
      </c>
      <c r="AC173">
        <v>4.2252884628595604E-2</v>
      </c>
      <c r="AD173">
        <v>0.11677636111650354</v>
      </c>
      <c r="AE173">
        <v>1.7353908228954318E-3</v>
      </c>
      <c r="AF173">
        <v>4.9787856957078935E-3</v>
      </c>
      <c r="AG173">
        <v>7.0065202474178703E-2</v>
      </c>
      <c r="AH173">
        <v>1.4121703234477839E-3</v>
      </c>
      <c r="AI173">
        <v>1.0226627505504689E-2</v>
      </c>
      <c r="AJ173">
        <v>2.5427779723886074E-2</v>
      </c>
      <c r="AK173">
        <v>3.9095074091117885E-2</v>
      </c>
      <c r="AL173">
        <v>0.27751904018738599</v>
      </c>
      <c r="AM173">
        <f t="shared" si="4"/>
        <v>42.522692915158807</v>
      </c>
      <c r="AN173">
        <f t="shared" si="5"/>
        <v>0.6557179879265207</v>
      </c>
    </row>
    <row r="174" spans="1:40" x14ac:dyDescent="0.35">
      <c r="A174" t="s">
        <v>225</v>
      </c>
      <c r="B174" t="s">
        <v>73</v>
      </c>
      <c r="C174">
        <v>1</v>
      </c>
      <c r="D174" t="s">
        <v>65</v>
      </c>
      <c r="E174">
        <v>8</v>
      </c>
      <c r="F174">
        <v>42</v>
      </c>
      <c r="G174" t="s">
        <v>7</v>
      </c>
      <c r="H174">
        <v>30</v>
      </c>
      <c r="I174">
        <v>37</v>
      </c>
      <c r="J174">
        <v>0.48980000000000001</v>
      </c>
      <c r="K174">
        <v>5.9999999999984519E-3</v>
      </c>
      <c r="L174">
        <v>1.3101082422826706E-3</v>
      </c>
      <c r="M174">
        <v>6.4067971216147435E-2</v>
      </c>
      <c r="N174">
        <v>1.4281655568929987E-2</v>
      </c>
      <c r="O174">
        <v>0.63576247106944583</v>
      </c>
      <c r="P174">
        <v>0.12120177697915821</v>
      </c>
      <c r="Q174">
        <v>0.21288828671295776</v>
      </c>
      <c r="R174">
        <v>3.027310192204518E-2</v>
      </c>
      <c r="S174">
        <v>3.9166026863129311E-2</v>
      </c>
      <c r="T174">
        <v>0.29195582545622056</v>
      </c>
      <c r="U174">
        <v>0.89649152858452941</v>
      </c>
      <c r="V174">
        <v>0.27180175731052836</v>
      </c>
      <c r="W174">
        <v>8.3664227169561262E-2</v>
      </c>
      <c r="X174">
        <v>1.0062383661831899E-2</v>
      </c>
      <c r="Y174">
        <v>1.5442704126678801E-2</v>
      </c>
      <c r="Z174">
        <v>1.4946532388734182E-2</v>
      </c>
      <c r="AA174">
        <v>9.8031852261036306E-2</v>
      </c>
      <c r="AB174">
        <v>3.5634966493283335E-2</v>
      </c>
      <c r="AC174">
        <v>5.0755380163645503E-2</v>
      </c>
      <c r="AD174">
        <v>0.18512180367050646</v>
      </c>
      <c r="AE174">
        <v>0</v>
      </c>
      <c r="AF174">
        <v>6.2492808090929943E-3</v>
      </c>
      <c r="AG174">
        <v>0.10304532234516885</v>
      </c>
      <c r="AH174">
        <v>2.791913911712943E-3</v>
      </c>
      <c r="AI174">
        <v>1.7627320632887532E-2</v>
      </c>
      <c r="AJ174">
        <v>4.9493140152973431E-2</v>
      </c>
      <c r="AK174">
        <v>5.728427798320853E-2</v>
      </c>
      <c r="AL174">
        <v>0.39772167290408811</v>
      </c>
      <c r="AM174">
        <f t="shared" si="4"/>
        <v>61.784554810012338</v>
      </c>
      <c r="AN174">
        <f t="shared" si="5"/>
        <v>0.75685448930171173</v>
      </c>
    </row>
    <row r="175" spans="1:40" x14ac:dyDescent="0.35">
      <c r="A175" t="s">
        <v>226</v>
      </c>
      <c r="B175" t="s">
        <v>73</v>
      </c>
      <c r="C175">
        <v>1</v>
      </c>
      <c r="D175" t="s">
        <v>45</v>
      </c>
      <c r="E175">
        <v>4</v>
      </c>
      <c r="F175">
        <v>22</v>
      </c>
      <c r="G175" t="s">
        <v>12</v>
      </c>
      <c r="H175">
        <v>30</v>
      </c>
      <c r="I175">
        <v>32</v>
      </c>
      <c r="J175">
        <v>0.24160000000000001</v>
      </c>
      <c r="K175">
        <v>5.3000000000000824E-3</v>
      </c>
      <c r="L175">
        <v>2.8631168452700928E-3</v>
      </c>
      <c r="M175">
        <v>1.4956226908741647E-2</v>
      </c>
      <c r="N175">
        <v>8.1757498290947125E-3</v>
      </c>
      <c r="O175">
        <v>0.34372919165695365</v>
      </c>
      <c r="P175">
        <v>9.355780442605148E-3</v>
      </c>
      <c r="Q175">
        <v>4.7721909958749927E-2</v>
      </c>
      <c r="R175">
        <v>1.7026655705822999E-2</v>
      </c>
      <c r="S175">
        <v>7.0725347730899758E-3</v>
      </c>
      <c r="T175">
        <v>0.1398514673796423</v>
      </c>
      <c r="U175">
        <v>0.20396424088883108</v>
      </c>
      <c r="V175">
        <v>8.5330051350679378E-2</v>
      </c>
      <c r="W175">
        <v>2.4938238371765148E-2</v>
      </c>
      <c r="X175">
        <v>7.6722278140178915E-3</v>
      </c>
      <c r="Y175">
        <v>1.9452012488707854E-3</v>
      </c>
      <c r="Z175">
        <v>4.7868638400712839E-3</v>
      </c>
      <c r="AA175">
        <v>9.9443265993534261E-3</v>
      </c>
      <c r="AB175">
        <v>1.1091849353980152E-3</v>
      </c>
      <c r="AC175">
        <v>5.3652425459778854E-3</v>
      </c>
      <c r="AD175">
        <v>0.10030572700713193</v>
      </c>
      <c r="AE175">
        <v>0</v>
      </c>
      <c r="AF175">
        <v>3.839098846705585E-3</v>
      </c>
      <c r="AG175">
        <v>9.5318452450240995E-2</v>
      </c>
      <c r="AH175">
        <v>0</v>
      </c>
      <c r="AI175">
        <v>7.6037141200434701E-3</v>
      </c>
      <c r="AJ175">
        <v>1.7282940762589131E-2</v>
      </c>
      <c r="AK175">
        <v>2.2574539249488993E-2</v>
      </c>
      <c r="AL175">
        <v>0.35911683563122515</v>
      </c>
      <c r="AM175">
        <f t="shared" si="4"/>
        <v>29.091500361553528</v>
      </c>
      <c r="AN175">
        <f t="shared" si="5"/>
        <v>0.63818274799766594</v>
      </c>
    </row>
    <row r="176" spans="1:40" x14ac:dyDescent="0.35">
      <c r="A176" t="s">
        <v>227</v>
      </c>
      <c r="B176" t="s">
        <v>73</v>
      </c>
      <c r="C176">
        <v>1</v>
      </c>
      <c r="D176" t="s">
        <v>45</v>
      </c>
      <c r="E176">
        <v>4</v>
      </c>
      <c r="F176">
        <v>22</v>
      </c>
      <c r="G176" t="s">
        <v>12</v>
      </c>
      <c r="H176">
        <v>31</v>
      </c>
      <c r="I176">
        <v>34</v>
      </c>
      <c r="J176">
        <v>0.30430000000000001</v>
      </c>
      <c r="K176">
        <v>5.4999999999996163E-3</v>
      </c>
      <c r="L176">
        <v>3.9650150631819273E-3</v>
      </c>
      <c r="M176">
        <v>2.0911313487004032E-2</v>
      </c>
      <c r="N176">
        <v>1.0885760423784396E-2</v>
      </c>
      <c r="O176">
        <v>0.39243742746554644</v>
      </c>
      <c r="P176">
        <v>1.7869897828906828E-2</v>
      </c>
      <c r="Q176">
        <v>7.144195610027744E-2</v>
      </c>
      <c r="R176">
        <v>2.2580458459160502E-2</v>
      </c>
      <c r="S176">
        <v>1.7622171280170004E-2</v>
      </c>
      <c r="T176">
        <v>0.16805935900313429</v>
      </c>
      <c r="U176">
        <v>0.30080925164490191</v>
      </c>
      <c r="V176">
        <v>0.12751895137671851</v>
      </c>
      <c r="W176">
        <v>4.0672557721532845E-2</v>
      </c>
      <c r="X176">
        <v>9.8283035580126483E-3</v>
      </c>
      <c r="Y176">
        <v>3.2671537773862579E-3</v>
      </c>
      <c r="Z176">
        <v>6.0396105763370015E-3</v>
      </c>
      <c r="AA176">
        <v>1.6750073337957111E-2</v>
      </c>
      <c r="AB176">
        <v>3.118139788625094E-2</v>
      </c>
      <c r="AC176">
        <v>1.0271169795930688E-2</v>
      </c>
      <c r="AD176">
        <v>0.13054642761448357</v>
      </c>
      <c r="AE176">
        <v>3.4500492163369884E-3</v>
      </c>
      <c r="AF176">
        <v>4.2720725654758181E-3</v>
      </c>
      <c r="AG176">
        <v>0.11832639758415903</v>
      </c>
      <c r="AH176">
        <v>2.6995644845806345E-3</v>
      </c>
      <c r="AI176">
        <v>6.9722224325375901E-3</v>
      </c>
      <c r="AJ176">
        <v>2.455095345441977E-2</v>
      </c>
      <c r="AK176">
        <v>3.4772743798972744E-2</v>
      </c>
      <c r="AL176">
        <v>0.40566744959879708</v>
      </c>
      <c r="AM176">
        <f t="shared" si="4"/>
        <v>36.424903809747221</v>
      </c>
      <c r="AN176">
        <f t="shared" si="5"/>
        <v>0.65835350296942396</v>
      </c>
    </row>
    <row r="177" spans="1:40" x14ac:dyDescent="0.35">
      <c r="A177" t="s">
        <v>228</v>
      </c>
      <c r="B177" t="s">
        <v>73</v>
      </c>
      <c r="C177">
        <v>1</v>
      </c>
      <c r="D177" t="s">
        <v>45</v>
      </c>
      <c r="E177">
        <v>4</v>
      </c>
      <c r="F177">
        <v>22</v>
      </c>
      <c r="G177" t="s">
        <v>12</v>
      </c>
      <c r="H177">
        <v>34</v>
      </c>
      <c r="I177">
        <v>36</v>
      </c>
      <c r="J177">
        <v>0.32319999999999999</v>
      </c>
      <c r="K177">
        <v>5.4999999999996154E-3</v>
      </c>
      <c r="L177">
        <v>4.1362061307750261E-3</v>
      </c>
      <c r="M177">
        <v>1.6602192332614937E-2</v>
      </c>
      <c r="N177">
        <v>8.5951304436544997E-3</v>
      </c>
      <c r="O177">
        <v>0.43641042814082931</v>
      </c>
      <c r="P177">
        <v>1.6501394439572242E-2</v>
      </c>
      <c r="Q177">
        <v>4.5147560621057202E-2</v>
      </c>
      <c r="R177">
        <v>1.8145544865309546E-2</v>
      </c>
      <c r="S177">
        <v>8.8286116075198331E-3</v>
      </c>
      <c r="T177">
        <v>0.17860759287805381</v>
      </c>
      <c r="U177">
        <v>0.26776771108840286</v>
      </c>
      <c r="V177">
        <v>9.1119646066916971E-2</v>
      </c>
      <c r="W177">
        <v>3.129577316496477E-2</v>
      </c>
      <c r="X177">
        <v>6.838217023679192E-3</v>
      </c>
      <c r="Y177">
        <v>1.896290679845058E-3</v>
      </c>
      <c r="Z177">
        <v>3.2947361356309977E-3</v>
      </c>
      <c r="AA177">
        <v>1.791867684521297E-2</v>
      </c>
      <c r="AB177">
        <v>2.0376098433006962E-2</v>
      </c>
      <c r="AC177">
        <v>8.4918263469830578E-3</v>
      </c>
      <c r="AD177">
        <v>0.12890896049585751</v>
      </c>
      <c r="AE177">
        <v>2.5861596090333123E-3</v>
      </c>
      <c r="AF177">
        <v>5.0213972524489614E-3</v>
      </c>
      <c r="AG177">
        <v>0.12168077818754507</v>
      </c>
      <c r="AH177">
        <v>8.9212764655608487E-4</v>
      </c>
      <c r="AI177">
        <v>1.0398497560567835E-2</v>
      </c>
      <c r="AJ177">
        <v>2.1397303650971426E-2</v>
      </c>
      <c r="AK177">
        <v>4.0102475702052651E-2</v>
      </c>
      <c r="AL177">
        <v>0.54008738323600669</v>
      </c>
      <c r="AM177">
        <f t="shared" si="4"/>
        <v>37.328158556094763</v>
      </c>
      <c r="AN177">
        <f t="shared" si="5"/>
        <v>0.63522547047805344</v>
      </c>
    </row>
    <row r="178" spans="1:40" x14ac:dyDescent="0.35">
      <c r="A178" t="s">
        <v>229</v>
      </c>
      <c r="B178" t="s">
        <v>73</v>
      </c>
      <c r="C178">
        <v>1</v>
      </c>
      <c r="D178" t="s">
        <v>49</v>
      </c>
      <c r="E178">
        <v>4</v>
      </c>
      <c r="F178">
        <v>23</v>
      </c>
      <c r="G178" t="s">
        <v>13</v>
      </c>
      <c r="H178">
        <v>30</v>
      </c>
      <c r="I178">
        <v>34</v>
      </c>
      <c r="J178">
        <v>0.2611</v>
      </c>
      <c r="K178">
        <v>2.7999999999988034E-3</v>
      </c>
      <c r="L178">
        <v>3.1143491726120468E-3</v>
      </c>
      <c r="M178">
        <v>1.5977309161512975E-2</v>
      </c>
      <c r="N178">
        <v>9.5335049804281362E-3</v>
      </c>
      <c r="O178">
        <v>0.33218609999653897</v>
      </c>
      <c r="P178">
        <v>2.1799169978971564E-2</v>
      </c>
      <c r="Q178">
        <v>4.5453153274555298E-2</v>
      </c>
      <c r="R178">
        <v>1.207806127868314E-2</v>
      </c>
      <c r="S178">
        <v>6.1213843452898624E-3</v>
      </c>
      <c r="T178">
        <v>0.13500383911355052</v>
      </c>
      <c r="U178">
        <v>0.23283732076960928</v>
      </c>
      <c r="V178">
        <v>8.1755667657501641E-2</v>
      </c>
      <c r="W178">
        <v>2.4016395349288656E-2</v>
      </c>
      <c r="X178">
        <v>5.156832575194544E-3</v>
      </c>
      <c r="Y178">
        <v>1.8874521695297062E-3</v>
      </c>
      <c r="Z178">
        <v>2.1592081169203615E-3</v>
      </c>
      <c r="AA178">
        <v>1.3971778409000596E-2</v>
      </c>
      <c r="AB178">
        <v>1.5360263616807654E-2</v>
      </c>
      <c r="AC178">
        <v>8.1055319371474439E-3</v>
      </c>
      <c r="AD178">
        <v>9.3009302570827332E-2</v>
      </c>
      <c r="AE178">
        <v>1.8579192505620297E-3</v>
      </c>
      <c r="AF178">
        <v>3.0541285643620026E-3</v>
      </c>
      <c r="AG178">
        <v>8.1274672638377718E-2</v>
      </c>
      <c r="AH178">
        <v>7.4602144295652002E-4</v>
      </c>
      <c r="AI178">
        <v>4.4206067700798875E-3</v>
      </c>
      <c r="AJ178">
        <v>1.6508410593716862E-2</v>
      </c>
      <c r="AK178">
        <v>3.1291740342727199E-2</v>
      </c>
      <c r="AL178">
        <v>0.44745914858983793</v>
      </c>
      <c r="AM178">
        <f t="shared" si="4"/>
        <v>58.790688309546177</v>
      </c>
      <c r="AN178">
        <f t="shared" si="5"/>
        <v>0.63046314541041348</v>
      </c>
    </row>
    <row r="179" spans="1:40" x14ac:dyDescent="0.35">
      <c r="A179" t="s">
        <v>230</v>
      </c>
      <c r="B179" t="s">
        <v>73</v>
      </c>
      <c r="C179">
        <v>1</v>
      </c>
      <c r="D179" t="s">
        <v>49</v>
      </c>
      <c r="E179">
        <v>4</v>
      </c>
      <c r="F179">
        <v>23</v>
      </c>
      <c r="G179" t="s">
        <v>13</v>
      </c>
      <c r="H179">
        <v>29</v>
      </c>
      <c r="I179">
        <v>34</v>
      </c>
      <c r="J179">
        <v>0.25390000000000001</v>
      </c>
      <c r="K179">
        <v>4.4000000000004036E-3</v>
      </c>
      <c r="L179">
        <v>2.6072617947820896E-3</v>
      </c>
      <c r="M179">
        <v>3.0719719844682122E-2</v>
      </c>
      <c r="N179">
        <v>1.8586836933895127E-2</v>
      </c>
      <c r="O179">
        <v>0.4237786425083897</v>
      </c>
      <c r="P179">
        <v>3.2777206701349926E-2</v>
      </c>
      <c r="Q179">
        <v>9.2842794190868549E-2</v>
      </c>
      <c r="R179">
        <v>2.1785318902372119E-2</v>
      </c>
      <c r="S179">
        <v>1.2801673351707369E-2</v>
      </c>
      <c r="T179">
        <v>0.17516564347805652</v>
      </c>
      <c r="U179">
        <v>0.34717990149628297</v>
      </c>
      <c r="V179">
        <v>0.14317969969809896</v>
      </c>
      <c r="W179">
        <v>4.134993386669554E-2</v>
      </c>
      <c r="X179">
        <v>1.1314456922122025E-2</v>
      </c>
      <c r="Y179">
        <v>4.6375470877667536E-3</v>
      </c>
      <c r="Z179">
        <v>6.2392595415615175E-3</v>
      </c>
      <c r="AA179">
        <v>2.4581351695847405E-2</v>
      </c>
      <c r="AB179">
        <v>1.3245475370904416E-2</v>
      </c>
      <c r="AC179">
        <v>1.056159032059599E-2</v>
      </c>
      <c r="AD179">
        <v>9.905607635460191E-2</v>
      </c>
      <c r="AE179">
        <v>2.6961500067044708E-3</v>
      </c>
      <c r="AF179">
        <v>4.9670763619354755E-3</v>
      </c>
      <c r="AG179">
        <v>0.10711109609180783</v>
      </c>
      <c r="AH179">
        <v>2.8209553696548206E-3</v>
      </c>
      <c r="AI179">
        <v>6.1853260704037641E-3</v>
      </c>
      <c r="AJ179">
        <v>1.8354980752532581E-2</v>
      </c>
      <c r="AK179">
        <v>4.0260816517721593E-2</v>
      </c>
      <c r="AL179">
        <v>0.41364316895599151</v>
      </c>
      <c r="AM179">
        <f t="shared" si="4"/>
        <v>47.919317276980436</v>
      </c>
      <c r="AN179">
        <f t="shared" si="5"/>
        <v>0.8304253486362082</v>
      </c>
    </row>
    <row r="180" spans="1:40" x14ac:dyDescent="0.35">
      <c r="A180" t="s">
        <v>231</v>
      </c>
      <c r="B180" t="s">
        <v>73</v>
      </c>
      <c r="C180">
        <v>1</v>
      </c>
      <c r="D180" t="s">
        <v>49</v>
      </c>
      <c r="E180">
        <v>4</v>
      </c>
      <c r="F180">
        <v>23</v>
      </c>
      <c r="G180" t="s">
        <v>13</v>
      </c>
      <c r="H180">
        <v>31</v>
      </c>
      <c r="I180">
        <v>34</v>
      </c>
      <c r="J180">
        <v>0.22839999999999999</v>
      </c>
      <c r="K180">
        <v>2.8000000000005798E-3</v>
      </c>
      <c r="L180">
        <v>1.6400330502529996E-3</v>
      </c>
      <c r="M180">
        <v>1.3566030278577985E-2</v>
      </c>
      <c r="N180">
        <v>8.0083219261285529E-3</v>
      </c>
      <c r="O180">
        <v>0.28740899355749994</v>
      </c>
      <c r="P180">
        <v>1.7190228124115827E-2</v>
      </c>
      <c r="Q180">
        <v>3.8678338834036256E-2</v>
      </c>
      <c r="R180">
        <v>1.0718158489916207E-2</v>
      </c>
      <c r="S180">
        <v>5.1108132077674218E-3</v>
      </c>
      <c r="T180">
        <v>0.12204245842994035</v>
      </c>
      <c r="U180">
        <v>0.20584620922959487</v>
      </c>
      <c r="V180">
        <v>6.8486418952659597E-2</v>
      </c>
      <c r="W180">
        <v>2.0430546021232732E-2</v>
      </c>
      <c r="X180">
        <v>4.6396133643660511E-3</v>
      </c>
      <c r="Y180">
        <v>1.334540587655704E-3</v>
      </c>
      <c r="Z180">
        <v>2.458131854279207E-3</v>
      </c>
      <c r="AA180">
        <v>1.3156533238748366E-2</v>
      </c>
      <c r="AB180">
        <v>4.4554460104241453E-2</v>
      </c>
      <c r="AC180">
        <v>5.9315774915192345E-3</v>
      </c>
      <c r="AD180">
        <v>6.9658324582706391E-2</v>
      </c>
      <c r="AE180">
        <v>1.6703706859085591E-3</v>
      </c>
      <c r="AF180">
        <v>2.6537699272692829E-3</v>
      </c>
      <c r="AG180">
        <v>7.0516883741193415E-2</v>
      </c>
      <c r="AH180">
        <v>7.6224581282935226E-4</v>
      </c>
      <c r="AI180">
        <v>3.975451101286949E-3</v>
      </c>
      <c r="AJ180">
        <v>1.0386306264078281E-2</v>
      </c>
      <c r="AK180">
        <v>2.3410694784674387E-2</v>
      </c>
      <c r="AL180">
        <v>0.37809782091860861</v>
      </c>
      <c r="AM180">
        <f t="shared" si="4"/>
        <v>51.154759805742543</v>
      </c>
      <c r="AN180">
        <f t="shared" si="5"/>
        <v>0.62711614472902277</v>
      </c>
    </row>
    <row r="181" spans="1:40" x14ac:dyDescent="0.35">
      <c r="A181" t="s">
        <v>232</v>
      </c>
      <c r="B181" t="s">
        <v>73</v>
      </c>
      <c r="C181">
        <v>1</v>
      </c>
      <c r="D181" t="s">
        <v>53</v>
      </c>
      <c r="E181">
        <v>4</v>
      </c>
      <c r="F181">
        <v>24</v>
      </c>
      <c r="G181" t="s">
        <v>10</v>
      </c>
      <c r="H181">
        <v>29</v>
      </c>
      <c r="I181">
        <v>34</v>
      </c>
      <c r="J181">
        <v>0.22900000000000001</v>
      </c>
      <c r="K181">
        <v>2.9000000000003463E-3</v>
      </c>
      <c r="L181">
        <v>1.2808353439690836E-3</v>
      </c>
      <c r="M181">
        <v>1.6779221406120749E-2</v>
      </c>
      <c r="N181">
        <v>8.3625669377586295E-3</v>
      </c>
      <c r="O181">
        <v>0.31049047189890616</v>
      </c>
      <c r="P181">
        <v>2.4817320444234948E-2</v>
      </c>
      <c r="Q181">
        <v>4.8044139824381833E-2</v>
      </c>
      <c r="R181">
        <v>1.1164074178472351E-2</v>
      </c>
      <c r="S181">
        <v>6.9765467561554405E-3</v>
      </c>
      <c r="T181">
        <v>0.12160296376601361</v>
      </c>
      <c r="U181">
        <v>0.2281916941823883</v>
      </c>
      <c r="V181">
        <v>7.8521449393062909E-2</v>
      </c>
      <c r="W181">
        <v>2.1578106339147949E-2</v>
      </c>
      <c r="X181">
        <v>3.3181285111019976E-3</v>
      </c>
      <c r="Y181">
        <v>1.9894725035576213E-3</v>
      </c>
      <c r="Z181">
        <v>2.026340470827696E-3</v>
      </c>
      <c r="AA181">
        <v>1.3533545668485485E-2</v>
      </c>
      <c r="AB181">
        <v>3.2155329092053174E-2</v>
      </c>
      <c r="AC181">
        <v>9.2273945876495071E-3</v>
      </c>
      <c r="AD181">
        <v>6.9433105929949418E-2</v>
      </c>
      <c r="AE181">
        <v>1.029438884737498E-3</v>
      </c>
      <c r="AF181">
        <v>2.7104028045012835E-3</v>
      </c>
      <c r="AG181">
        <v>7.1149322408846208E-2</v>
      </c>
      <c r="AH181">
        <v>6.6317659584470433E-4</v>
      </c>
      <c r="AI181">
        <v>4.3551861647128957E-3</v>
      </c>
      <c r="AJ181">
        <v>1.404650076437829E-2</v>
      </c>
      <c r="AK181">
        <v>2.605669364601932E-2</v>
      </c>
      <c r="AL181">
        <v>0.36579890735015669</v>
      </c>
      <c r="AM181">
        <f t="shared" si="4"/>
        <v>51.562149512181207</v>
      </c>
      <c r="AN181">
        <f t="shared" si="5"/>
        <v>0.65297045233774398</v>
      </c>
    </row>
    <row r="182" spans="1:40" x14ac:dyDescent="0.35">
      <c r="A182" t="s">
        <v>233</v>
      </c>
      <c r="B182" t="s">
        <v>73</v>
      </c>
      <c r="C182">
        <v>1</v>
      </c>
      <c r="D182" t="s">
        <v>53</v>
      </c>
      <c r="E182">
        <v>4</v>
      </c>
      <c r="F182">
        <v>24</v>
      </c>
      <c r="G182" t="s">
        <v>10</v>
      </c>
      <c r="H182">
        <v>29</v>
      </c>
      <c r="I182">
        <v>33</v>
      </c>
      <c r="J182">
        <v>0.2339</v>
      </c>
      <c r="K182">
        <v>3.9999999999995595E-3</v>
      </c>
      <c r="L182">
        <v>1.4789198765394317E-3</v>
      </c>
      <c r="M182">
        <v>2.2941184302950727E-2</v>
      </c>
      <c r="N182">
        <v>1.1996979126492889E-2</v>
      </c>
      <c r="O182">
        <v>0.35690947727815842</v>
      </c>
      <c r="P182">
        <v>2.6117493104807165E-2</v>
      </c>
      <c r="Q182">
        <v>6.6750820683873252E-2</v>
      </c>
      <c r="R182">
        <v>1.5253832096710933E-2</v>
      </c>
      <c r="S182">
        <v>9.3886842451355226E-3</v>
      </c>
      <c r="T182">
        <v>0.14139825890978983</v>
      </c>
      <c r="U182">
        <v>0.2638516697847943</v>
      </c>
      <c r="V182">
        <v>9.9732302766650141E-2</v>
      </c>
      <c r="W182">
        <v>2.8136255130661186E-2</v>
      </c>
      <c r="X182">
        <v>5.0595379782806382E-3</v>
      </c>
      <c r="Y182">
        <v>1.8532260065159487E-3</v>
      </c>
      <c r="Z182">
        <v>5.2485177700571442E-3</v>
      </c>
      <c r="AA182">
        <v>1.8240927510014878E-2</v>
      </c>
      <c r="AB182">
        <v>2.6105841297620745E-2</v>
      </c>
      <c r="AC182">
        <v>8.9787032155296993E-3</v>
      </c>
      <c r="AD182">
        <v>7.1770880807011453E-2</v>
      </c>
      <c r="AE182">
        <v>1.8302868031136582E-3</v>
      </c>
      <c r="AF182">
        <v>2.7300642087458166E-3</v>
      </c>
      <c r="AG182">
        <v>7.1212920891751019E-2</v>
      </c>
      <c r="AH182">
        <v>1.1635361973388189E-3</v>
      </c>
      <c r="AI182">
        <v>3.5529602434639035E-3</v>
      </c>
      <c r="AJ182">
        <v>9.3309764975947704E-3</v>
      </c>
      <c r="AK182">
        <v>2.5582023887139121E-2</v>
      </c>
      <c r="AL182">
        <v>0.38676632216592799</v>
      </c>
      <c r="AM182">
        <f t="shared" si="4"/>
        <v>42.084565069671385</v>
      </c>
      <c r="AN182">
        <f t="shared" si="5"/>
        <v>0.71970183958386924</v>
      </c>
    </row>
    <row r="183" spans="1:40" x14ac:dyDescent="0.35">
      <c r="A183" t="s">
        <v>234</v>
      </c>
      <c r="B183" t="s">
        <v>73</v>
      </c>
      <c r="C183">
        <v>1</v>
      </c>
      <c r="D183" t="s">
        <v>53</v>
      </c>
      <c r="E183">
        <v>4</v>
      </c>
      <c r="F183">
        <v>24</v>
      </c>
      <c r="G183" t="s">
        <v>10</v>
      </c>
      <c r="H183">
        <v>30</v>
      </c>
      <c r="I183">
        <v>35</v>
      </c>
      <c r="J183">
        <v>0.25090000000000001</v>
      </c>
      <c r="K183">
        <v>2.6000000000010459E-3</v>
      </c>
      <c r="L183">
        <v>1.1520446608357176E-3</v>
      </c>
      <c r="M183">
        <v>1.5143831810869058E-2</v>
      </c>
      <c r="N183">
        <v>8.2195660975191327E-3</v>
      </c>
      <c r="O183">
        <v>0.31205363567311378</v>
      </c>
      <c r="P183">
        <v>2.4231787108302046E-2</v>
      </c>
      <c r="Q183">
        <v>4.8281117154687025E-2</v>
      </c>
      <c r="R183">
        <v>1.039019350998757E-2</v>
      </c>
      <c r="S183">
        <v>7.9309028807702225E-3</v>
      </c>
      <c r="T183">
        <v>0.118962330395689</v>
      </c>
      <c r="U183">
        <v>0.22594561329392246</v>
      </c>
      <c r="V183">
        <v>8.0087982618392492E-2</v>
      </c>
      <c r="W183">
        <v>2.1620346772745887E-2</v>
      </c>
      <c r="X183">
        <v>3.015151526019041E-3</v>
      </c>
      <c r="Y183">
        <v>1.8573818526623034E-3</v>
      </c>
      <c r="Z183">
        <v>3.7842332763940189E-3</v>
      </c>
      <c r="AA183">
        <v>1.4947525174242842E-2</v>
      </c>
      <c r="AB183">
        <v>4.6475873343161486E-2</v>
      </c>
      <c r="AC183">
        <v>9.8693869039751733E-3</v>
      </c>
      <c r="AD183">
        <v>6.5893185741901963E-2</v>
      </c>
      <c r="AE183">
        <v>1.0656217497268393E-3</v>
      </c>
      <c r="AF183">
        <v>2.5947217340710821E-3</v>
      </c>
      <c r="AG183">
        <v>6.437564011084615E-2</v>
      </c>
      <c r="AH183">
        <v>6.8211111597251751E-4</v>
      </c>
      <c r="AI183">
        <v>3.0188290967045252E-3</v>
      </c>
      <c r="AJ183">
        <v>1.02178432469402E-2</v>
      </c>
      <c r="AK183">
        <v>2.2209683995610126E-2</v>
      </c>
      <c r="AL183">
        <v>0.38561780351091934</v>
      </c>
      <c r="AM183">
        <f t="shared" si="4"/>
        <v>58.063244013668267</v>
      </c>
      <c r="AN183">
        <f t="shared" si="5"/>
        <v>0.60169164781027584</v>
      </c>
    </row>
    <row r="184" spans="1:40" x14ac:dyDescent="0.35">
      <c r="A184" t="s">
        <v>235</v>
      </c>
      <c r="B184" t="s">
        <v>73</v>
      </c>
      <c r="C184">
        <v>1</v>
      </c>
      <c r="D184" t="s">
        <v>57</v>
      </c>
      <c r="E184">
        <v>4</v>
      </c>
      <c r="F184">
        <v>25</v>
      </c>
      <c r="G184" t="s">
        <v>9</v>
      </c>
      <c r="H184">
        <v>30</v>
      </c>
      <c r="I184">
        <v>33</v>
      </c>
      <c r="J184">
        <v>0.18770000000000001</v>
      </c>
      <c r="K184">
        <v>3.100000000001657E-3</v>
      </c>
      <c r="L184">
        <v>1.0328252310953939E-3</v>
      </c>
      <c r="M184">
        <v>1.0878139327128424E-2</v>
      </c>
      <c r="N184">
        <v>5.4886039817996788E-3</v>
      </c>
      <c r="O184">
        <v>0.24653087599958909</v>
      </c>
      <c r="P184">
        <v>1.6428730123208182E-2</v>
      </c>
      <c r="Q184">
        <v>3.6393636422809482E-2</v>
      </c>
      <c r="R184">
        <v>9.5657698184148029E-3</v>
      </c>
      <c r="S184">
        <v>6.3808490877013853E-3</v>
      </c>
      <c r="T184">
        <v>9.9953761790927478E-2</v>
      </c>
      <c r="U184">
        <v>0.16984084830775686</v>
      </c>
      <c r="V184">
        <v>6.1543229754944626E-2</v>
      </c>
      <c r="W184">
        <v>2.0349355727103738E-2</v>
      </c>
      <c r="X184">
        <v>3.2054435848815955E-3</v>
      </c>
      <c r="Y184">
        <v>1.9110874196828858E-3</v>
      </c>
      <c r="Z184">
        <v>1.8780455294148989E-3</v>
      </c>
      <c r="AA184">
        <v>1.0770924286756554E-2</v>
      </c>
      <c r="AB184">
        <v>2.0323262519743087E-2</v>
      </c>
      <c r="AC184">
        <v>6.9427608424227653E-3</v>
      </c>
      <c r="AD184">
        <v>6.6642507873767909E-2</v>
      </c>
      <c r="AE184">
        <v>1.4615903353611653E-3</v>
      </c>
      <c r="AF184">
        <v>2.1998047191965704E-3</v>
      </c>
      <c r="AG184">
        <v>5.389892760482394E-2</v>
      </c>
      <c r="AH184">
        <v>5.5016268211745755E-4</v>
      </c>
      <c r="AI184">
        <v>3.4767178842106555E-3</v>
      </c>
      <c r="AJ184">
        <v>1.3062297627630776E-2</v>
      </c>
      <c r="AK184">
        <v>2.1439177268339195E-2</v>
      </c>
      <c r="AL184">
        <v>0.30593620229811763</v>
      </c>
      <c r="AM184">
        <f t="shared" si="4"/>
        <v>38.647920582203412</v>
      </c>
      <c r="AN184">
        <f t="shared" si="5"/>
        <v>0.63829810231696649</v>
      </c>
    </row>
    <row r="185" spans="1:40" x14ac:dyDescent="0.35">
      <c r="A185" t="s">
        <v>236</v>
      </c>
      <c r="B185" t="s">
        <v>73</v>
      </c>
      <c r="C185">
        <v>1</v>
      </c>
      <c r="D185" t="s">
        <v>57</v>
      </c>
      <c r="E185">
        <v>4</v>
      </c>
      <c r="F185">
        <v>25</v>
      </c>
      <c r="G185" t="s">
        <v>9</v>
      </c>
      <c r="H185">
        <v>28</v>
      </c>
      <c r="I185">
        <v>32</v>
      </c>
      <c r="J185">
        <v>0.22539999999999999</v>
      </c>
      <c r="K185">
        <v>1.4000000000002897E-3</v>
      </c>
      <c r="L185">
        <v>1.1033046277913443E-3</v>
      </c>
      <c r="M185">
        <v>1.5384786039243261E-2</v>
      </c>
      <c r="N185">
        <v>6.9582409355463315E-3</v>
      </c>
      <c r="O185">
        <v>0.29144302258642951</v>
      </c>
      <c r="P185">
        <v>2.2589525897128915E-2</v>
      </c>
      <c r="Q185">
        <v>5.7803490824747436E-2</v>
      </c>
      <c r="R185">
        <v>1.1561294004742428E-2</v>
      </c>
      <c r="S185">
        <v>9.0799072702474771E-3</v>
      </c>
      <c r="T185">
        <v>0.11402752952636924</v>
      </c>
      <c r="U185">
        <v>0.24198237329126682</v>
      </c>
      <c r="V185">
        <v>8.9064797567551576E-2</v>
      </c>
      <c r="W185">
        <v>3.2059684398160447E-2</v>
      </c>
      <c r="X185">
        <v>4.7419433249304369E-3</v>
      </c>
      <c r="Y185">
        <v>3.5027753075528877E-3</v>
      </c>
      <c r="Z185">
        <v>2.3992561774360851E-3</v>
      </c>
      <c r="AA185">
        <v>1.6672431582174414E-2</v>
      </c>
      <c r="AB185">
        <v>1.42358400833127E-2</v>
      </c>
      <c r="AC185">
        <v>1.1229530408033372E-2</v>
      </c>
      <c r="AD185">
        <v>7.4228207971404933E-2</v>
      </c>
      <c r="AE185">
        <v>1.4295626648136313E-3</v>
      </c>
      <c r="AF185">
        <v>2.892909445886967E-3</v>
      </c>
      <c r="AG185">
        <v>6.7034014477854315E-2</v>
      </c>
      <c r="AH185">
        <v>4.7671950153552385E-4</v>
      </c>
      <c r="AI185">
        <v>5.314116361294966E-3</v>
      </c>
      <c r="AJ185">
        <v>1.561868890835983E-2</v>
      </c>
      <c r="AK185">
        <v>2.9048631838129314E-2</v>
      </c>
      <c r="AL185">
        <v>0.31622924296498656</v>
      </c>
      <c r="AM185">
        <f t="shared" si="4"/>
        <v>104.1508448561878</v>
      </c>
      <c r="AN185">
        <f t="shared" si="5"/>
        <v>0.64689965749198353</v>
      </c>
    </row>
    <row r="186" spans="1:40" x14ac:dyDescent="0.35">
      <c r="A186" t="s">
        <v>237</v>
      </c>
      <c r="B186" t="s">
        <v>73</v>
      </c>
      <c r="C186">
        <v>1</v>
      </c>
      <c r="D186" t="s">
        <v>57</v>
      </c>
      <c r="E186">
        <v>4</v>
      </c>
      <c r="F186">
        <v>25</v>
      </c>
      <c r="G186" t="s">
        <v>9</v>
      </c>
      <c r="H186">
        <v>31</v>
      </c>
      <c r="I186">
        <v>36</v>
      </c>
      <c r="J186">
        <v>0.24099999999999999</v>
      </c>
      <c r="K186">
        <v>2.0000000000006679E-3</v>
      </c>
      <c r="L186">
        <v>9.5007051335392297E-4</v>
      </c>
      <c r="M186">
        <v>1.2627159787944204E-2</v>
      </c>
      <c r="N186">
        <v>6.0899448940473812E-3</v>
      </c>
      <c r="O186">
        <v>0.2853372265144995</v>
      </c>
      <c r="P186">
        <v>1.7529240563305511E-2</v>
      </c>
      <c r="Q186">
        <v>4.6037141624469084E-2</v>
      </c>
      <c r="R186">
        <v>1.1053046153973527E-2</v>
      </c>
      <c r="S186">
        <v>7.7030994163012657E-3</v>
      </c>
      <c r="T186">
        <v>0.12036184624961926</v>
      </c>
      <c r="U186">
        <v>0.22493557107635931</v>
      </c>
      <c r="V186">
        <v>8.2100691536744125E-2</v>
      </c>
      <c r="W186">
        <v>2.5651499751386617E-2</v>
      </c>
      <c r="X186">
        <v>3.7229197882970629E-3</v>
      </c>
      <c r="Y186">
        <v>2.4532580599512218E-3</v>
      </c>
      <c r="Z186">
        <v>2.5128000963356833E-3</v>
      </c>
      <c r="AA186">
        <v>1.6729715499998975E-2</v>
      </c>
      <c r="AB186">
        <v>1.3285611325878981E-2</v>
      </c>
      <c r="AC186">
        <v>1.2124339561797324E-2</v>
      </c>
      <c r="AD186">
        <v>7.5164551898496246E-2</v>
      </c>
      <c r="AE186">
        <v>1.3227281617002431E-3</v>
      </c>
      <c r="AF186">
        <v>3.3163465386928494E-3</v>
      </c>
      <c r="AG186">
        <v>7.3667790673323005E-2</v>
      </c>
      <c r="AH186">
        <v>5.6283536594906654E-4</v>
      </c>
      <c r="AI186">
        <v>5.1980266757883633E-3</v>
      </c>
      <c r="AJ186">
        <v>1.6007375288029427E-2</v>
      </c>
      <c r="AK186">
        <v>3.1088364802554599E-2</v>
      </c>
      <c r="AL186">
        <v>0.38739492822787064</v>
      </c>
      <c r="AM186">
        <f t="shared" si="4"/>
        <v>74.246406502308574</v>
      </c>
      <c r="AN186">
        <f t="shared" si="5"/>
        <v>0.61615275105670853</v>
      </c>
    </row>
    <row r="187" spans="1:40" x14ac:dyDescent="0.35">
      <c r="A187" t="s">
        <v>238</v>
      </c>
      <c r="B187" t="s">
        <v>73</v>
      </c>
      <c r="C187">
        <v>1</v>
      </c>
      <c r="D187" t="s">
        <v>61</v>
      </c>
      <c r="E187">
        <v>4</v>
      </c>
      <c r="F187">
        <v>26</v>
      </c>
      <c r="G187" t="s">
        <v>11</v>
      </c>
      <c r="H187">
        <v>31</v>
      </c>
      <c r="I187">
        <v>36</v>
      </c>
      <c r="J187">
        <v>0.2203</v>
      </c>
      <c r="K187">
        <v>2.2000000000002018E-3</v>
      </c>
      <c r="L187">
        <v>1.4489696011339406E-3</v>
      </c>
      <c r="M187">
        <v>2.1342710419632326E-2</v>
      </c>
      <c r="N187">
        <v>1.4440032122275719E-2</v>
      </c>
      <c r="O187">
        <v>0.27617216212592915</v>
      </c>
      <c r="P187">
        <v>4.1756383811248785E-2</v>
      </c>
      <c r="Q187">
        <v>6.7195779074044643E-2</v>
      </c>
      <c r="R187">
        <v>9.6514223586172017E-3</v>
      </c>
      <c r="S187">
        <v>7.382664890873805E-3</v>
      </c>
      <c r="T187">
        <v>9.1829369190881888E-2</v>
      </c>
      <c r="U187">
        <v>0.26787885424002605</v>
      </c>
      <c r="V187">
        <v>0.10272119235005189</v>
      </c>
      <c r="W187">
        <v>2.1643200551430319E-2</v>
      </c>
      <c r="X187">
        <v>4.0955453897926868E-3</v>
      </c>
      <c r="Y187">
        <v>2.5334850416020532E-3</v>
      </c>
      <c r="Z187">
        <v>1.9790433092525691E-3</v>
      </c>
      <c r="AA187">
        <v>2.0365279179166005E-2</v>
      </c>
      <c r="AB187">
        <v>2.5436351294505166E-2</v>
      </c>
      <c r="AC187">
        <v>6.5953026116176297E-3</v>
      </c>
      <c r="AD187">
        <v>4.6673930862771433E-2</v>
      </c>
      <c r="AE187">
        <v>9.4717061451764781E-4</v>
      </c>
      <c r="AF187">
        <v>2.3544687780891367E-3</v>
      </c>
      <c r="AG187">
        <v>4.8854698113427401E-2</v>
      </c>
      <c r="AH187">
        <v>7.2398425497906195E-4</v>
      </c>
      <c r="AI187">
        <v>2.4605763037730596E-3</v>
      </c>
      <c r="AJ187">
        <v>4.8997553010321181E-3</v>
      </c>
      <c r="AK187">
        <v>1.8299588580013074E-2</v>
      </c>
      <c r="AL187">
        <v>0.30434937897553072</v>
      </c>
      <c r="AM187">
        <f t="shared" si="4"/>
        <v>64.274149970276639</v>
      </c>
      <c r="AN187">
        <f t="shared" si="5"/>
        <v>0.641866227574315</v>
      </c>
    </row>
    <row r="188" spans="1:40" x14ac:dyDescent="0.35">
      <c r="A188" t="s">
        <v>239</v>
      </c>
      <c r="B188" t="s">
        <v>73</v>
      </c>
      <c r="C188">
        <v>1</v>
      </c>
      <c r="D188" t="s">
        <v>61</v>
      </c>
      <c r="E188">
        <v>4</v>
      </c>
      <c r="F188">
        <v>26</v>
      </c>
      <c r="G188" t="s">
        <v>11</v>
      </c>
      <c r="H188">
        <v>29</v>
      </c>
      <c r="I188">
        <v>29</v>
      </c>
      <c r="J188">
        <v>0.17349999999999999</v>
      </c>
      <c r="K188">
        <v>2.1999999999984254E-3</v>
      </c>
      <c r="L188">
        <v>1.3080193541552731E-3</v>
      </c>
      <c r="M188">
        <v>1.503593296999199E-2</v>
      </c>
      <c r="N188">
        <v>9.2323501082669564E-3</v>
      </c>
      <c r="O188">
        <v>0.22226575633579529</v>
      </c>
      <c r="P188">
        <v>3.2936104602998645E-2</v>
      </c>
      <c r="Q188">
        <v>5.0752629732537045E-2</v>
      </c>
      <c r="R188">
        <v>7.7746220925892402E-3</v>
      </c>
      <c r="S188">
        <v>5.4451465982230654E-3</v>
      </c>
      <c r="T188">
        <v>8.4981842543957117E-2</v>
      </c>
      <c r="U188">
        <v>0.24340486959975549</v>
      </c>
      <c r="V188">
        <v>8.2263880988265481E-2</v>
      </c>
      <c r="W188">
        <v>1.8086869036203292E-2</v>
      </c>
      <c r="X188">
        <v>3.1929948265212687E-3</v>
      </c>
      <c r="Y188">
        <v>2.3213231832847291E-3</v>
      </c>
      <c r="Z188">
        <v>2.380835054179296E-3</v>
      </c>
      <c r="AA188">
        <v>1.7596479086359754E-2</v>
      </c>
      <c r="AB188">
        <v>1.5695928908055597E-2</v>
      </c>
      <c r="AC188">
        <v>6.8156922824867414E-3</v>
      </c>
      <c r="AD188">
        <v>3.8525793572582068E-2</v>
      </c>
      <c r="AE188">
        <v>5.6487932249239218E-4</v>
      </c>
      <c r="AF188">
        <v>2.4832413525663626E-3</v>
      </c>
      <c r="AG188">
        <v>4.6890699864057056E-2</v>
      </c>
      <c r="AH188">
        <v>5.6882276599225516E-4</v>
      </c>
      <c r="AI188">
        <v>2.8471946451955436E-3</v>
      </c>
      <c r="AJ188">
        <v>5.6122594959612483E-3</v>
      </c>
      <c r="AK188">
        <v>1.6304745395504396E-2</v>
      </c>
      <c r="AL188">
        <v>0.26068840421433409</v>
      </c>
      <c r="AM188">
        <f t="shared" si="4"/>
        <v>54.362605360598536</v>
      </c>
      <c r="AN188">
        <f t="shared" si="5"/>
        <v>0.6893241025546466</v>
      </c>
    </row>
    <row r="189" spans="1:40" x14ac:dyDescent="0.35">
      <c r="A189" t="s">
        <v>240</v>
      </c>
      <c r="B189" t="s">
        <v>73</v>
      </c>
      <c r="C189">
        <v>1</v>
      </c>
      <c r="D189" t="s">
        <v>61</v>
      </c>
      <c r="E189">
        <v>4</v>
      </c>
      <c r="F189">
        <v>26</v>
      </c>
      <c r="G189" t="s">
        <v>11</v>
      </c>
      <c r="H189">
        <v>28</v>
      </c>
      <c r="I189">
        <v>31</v>
      </c>
      <c r="J189">
        <v>0.13389999999999999</v>
      </c>
      <c r="K189">
        <v>1.200000000000756E-3</v>
      </c>
      <c r="L189">
        <v>9.0319231988095867E-4</v>
      </c>
      <c r="M189">
        <v>5.5173762036228114E-3</v>
      </c>
      <c r="N189">
        <v>2.5540663127762166E-3</v>
      </c>
      <c r="O189">
        <v>0.15567284168715415</v>
      </c>
      <c r="P189">
        <v>9.224010833957989E-3</v>
      </c>
      <c r="Q189">
        <v>1.4119015023432952E-2</v>
      </c>
      <c r="R189">
        <v>4.1812003312898909E-3</v>
      </c>
      <c r="S189">
        <v>1.5321634943201968E-3</v>
      </c>
      <c r="T189">
        <v>6.5941880738367042E-2</v>
      </c>
      <c r="U189">
        <v>0.11560277227783797</v>
      </c>
      <c r="V189">
        <v>2.8882834955337625E-2</v>
      </c>
      <c r="W189">
        <v>7.0444920310534596E-3</v>
      </c>
      <c r="X189">
        <v>9.7684574979983339E-4</v>
      </c>
      <c r="Y189">
        <v>6.5178662878000062E-4</v>
      </c>
      <c r="Z189">
        <v>2.5287642183256555E-3</v>
      </c>
      <c r="AA189">
        <v>7.8625966271773217E-3</v>
      </c>
      <c r="AB189">
        <v>1.1826927935557906E-2</v>
      </c>
      <c r="AC189">
        <v>3.1891903274871374E-3</v>
      </c>
      <c r="AD189">
        <v>3.695494695176621E-2</v>
      </c>
      <c r="AE189">
        <v>6.3762128148785527E-4</v>
      </c>
      <c r="AF189">
        <v>1.852621268470188E-3</v>
      </c>
      <c r="AG189">
        <v>4.0043385848137943E-2</v>
      </c>
      <c r="AH189">
        <v>2.6789827849586395E-5</v>
      </c>
      <c r="AI189">
        <v>3.4312764315099168E-3</v>
      </c>
      <c r="AJ189">
        <v>3.2501767701800278E-3</v>
      </c>
      <c r="AK189">
        <v>1.1992608302873615E-2</v>
      </c>
      <c r="AL189">
        <v>0.24999106917182787</v>
      </c>
      <c r="AM189">
        <f t="shared" si="4"/>
        <v>65.532704462480567</v>
      </c>
      <c r="AN189">
        <f t="shared" si="5"/>
        <v>0.58729832229295176</v>
      </c>
    </row>
    <row r="190" spans="1:40" x14ac:dyDescent="0.35">
      <c r="A190" t="s">
        <v>241</v>
      </c>
      <c r="B190" t="s">
        <v>73</v>
      </c>
      <c r="C190">
        <v>1</v>
      </c>
      <c r="D190" t="s">
        <v>53</v>
      </c>
      <c r="E190">
        <v>4</v>
      </c>
      <c r="F190">
        <v>27</v>
      </c>
      <c r="G190" t="s">
        <v>10</v>
      </c>
      <c r="H190">
        <v>27</v>
      </c>
      <c r="I190">
        <v>31</v>
      </c>
      <c r="J190">
        <v>0.20960000000000001</v>
      </c>
      <c r="K190">
        <v>3.5000000000007243E-3</v>
      </c>
      <c r="L190">
        <v>1.1038064254981035E-3</v>
      </c>
      <c r="M190">
        <v>1.5898475330944635E-2</v>
      </c>
      <c r="N190">
        <v>8.4083894277618698E-3</v>
      </c>
      <c r="O190">
        <v>0.28263276914081825</v>
      </c>
      <c r="P190">
        <v>1.9688841581338167E-2</v>
      </c>
      <c r="Q190">
        <v>5.8051697824685541E-2</v>
      </c>
      <c r="R190">
        <v>1.1054771149723398E-2</v>
      </c>
      <c r="S190">
        <v>8.5414569059862368E-3</v>
      </c>
      <c r="T190">
        <v>0.10942087762169617</v>
      </c>
      <c r="U190">
        <v>0.23646164040597875</v>
      </c>
      <c r="V190">
        <v>9.2884673852750246E-2</v>
      </c>
      <c r="W190">
        <v>2.4095144146440189E-2</v>
      </c>
      <c r="X190">
        <v>4.7267439245611137E-3</v>
      </c>
      <c r="Y190">
        <v>2.3393730416922777E-3</v>
      </c>
      <c r="Z190">
        <v>2.383844804581503E-3</v>
      </c>
      <c r="AA190">
        <v>1.3735706040208087E-2</v>
      </c>
      <c r="AB190">
        <v>9.7813051886721739E-3</v>
      </c>
      <c r="AC190">
        <v>7.7226631485840212E-3</v>
      </c>
      <c r="AD190">
        <v>6.6310936539585918E-2</v>
      </c>
      <c r="AE190">
        <v>1.4461118690313776E-3</v>
      </c>
      <c r="AF190">
        <v>2.1872719367944469E-3</v>
      </c>
      <c r="AG190">
        <v>6.0738497518852227E-2</v>
      </c>
      <c r="AH190">
        <v>9.9452198551789272E-4</v>
      </c>
      <c r="AI190">
        <v>3.7656837023822011E-3</v>
      </c>
      <c r="AJ190">
        <v>1.0099239914246733E-2</v>
      </c>
      <c r="AK190">
        <v>2.5153843155480259E-2</v>
      </c>
      <c r="AL190">
        <v>0.33194104013312747</v>
      </c>
      <c r="AM190">
        <f t="shared" si="4"/>
        <v>40.330552191904211</v>
      </c>
      <c r="AN190">
        <f t="shared" si="5"/>
        <v>0.67345864824281465</v>
      </c>
    </row>
    <row r="191" spans="1:40" x14ac:dyDescent="0.35">
      <c r="A191" t="s">
        <v>242</v>
      </c>
      <c r="B191" t="s">
        <v>73</v>
      </c>
      <c r="C191">
        <v>1</v>
      </c>
      <c r="D191" t="s">
        <v>53</v>
      </c>
      <c r="E191">
        <v>4</v>
      </c>
      <c r="F191">
        <v>27</v>
      </c>
      <c r="G191" t="s">
        <v>10</v>
      </c>
      <c r="H191">
        <v>27</v>
      </c>
      <c r="I191">
        <v>31</v>
      </c>
      <c r="J191">
        <v>0.25869999999999999</v>
      </c>
      <c r="K191">
        <v>3.4000000000009578E-3</v>
      </c>
      <c r="L191">
        <v>1.3845443590280069E-3</v>
      </c>
      <c r="M191">
        <v>3.2397745344275336E-2</v>
      </c>
      <c r="N191">
        <v>1.4024082526586504E-2</v>
      </c>
      <c r="O191">
        <v>0.37373314519467438</v>
      </c>
      <c r="P191">
        <v>3.9015366652628475E-2</v>
      </c>
      <c r="Q191">
        <v>0.11839218896059639</v>
      </c>
      <c r="R191">
        <v>1.4860974795017013E-2</v>
      </c>
      <c r="S191">
        <v>1.4974640342519815E-2</v>
      </c>
      <c r="T191">
        <v>0.13215046819901421</v>
      </c>
      <c r="U191">
        <v>0.37469005050155846</v>
      </c>
      <c r="V191">
        <v>0.15209377966091042</v>
      </c>
      <c r="W191">
        <v>3.3493554630851033E-2</v>
      </c>
      <c r="X191">
        <v>5.7468196320318533E-3</v>
      </c>
      <c r="Y191">
        <v>4.9177396601561198E-3</v>
      </c>
      <c r="Z191">
        <v>3.8999354812060388E-3</v>
      </c>
      <c r="AA191">
        <v>2.3250859352621025E-2</v>
      </c>
      <c r="AB191">
        <v>1.2351745958483479E-2</v>
      </c>
      <c r="AC191">
        <v>1.1604981326815304E-2</v>
      </c>
      <c r="AD191">
        <v>7.6361309511515957E-2</v>
      </c>
      <c r="AE191">
        <v>1.5944156447075283E-3</v>
      </c>
      <c r="AF191">
        <v>2.5125962057381767E-3</v>
      </c>
      <c r="AG191">
        <v>7.240589662266339E-2</v>
      </c>
      <c r="AH191">
        <v>2.2006262857738081E-3</v>
      </c>
      <c r="AI191">
        <v>5.9189427089272996E-3</v>
      </c>
      <c r="AJ191">
        <v>1.3587031677515581E-2</v>
      </c>
      <c r="AK191">
        <v>2.993284792332096E-2</v>
      </c>
      <c r="AL191">
        <v>0.31015270233623587</v>
      </c>
      <c r="AM191">
        <f t="shared" si="4"/>
        <v>55.224970338083615</v>
      </c>
      <c r="AN191">
        <f t="shared" si="5"/>
        <v>0.72580169752430301</v>
      </c>
    </row>
    <row r="192" spans="1:40" x14ac:dyDescent="0.35">
      <c r="A192" t="s">
        <v>243</v>
      </c>
      <c r="B192" t="s">
        <v>73</v>
      </c>
      <c r="C192">
        <v>1</v>
      </c>
      <c r="D192" t="s">
        <v>53</v>
      </c>
      <c r="E192">
        <v>4</v>
      </c>
      <c r="F192">
        <v>27</v>
      </c>
      <c r="G192" t="s">
        <v>10</v>
      </c>
      <c r="H192">
        <v>32</v>
      </c>
      <c r="I192">
        <v>36</v>
      </c>
      <c r="J192">
        <v>0.32469999999999999</v>
      </c>
      <c r="K192">
        <v>3.7000000000002586E-3</v>
      </c>
      <c r="L192">
        <v>1.3237376695847617E-3</v>
      </c>
      <c r="M192">
        <v>2.9134721047141331E-2</v>
      </c>
      <c r="N192">
        <v>1.6157843925945912E-2</v>
      </c>
      <c r="O192">
        <v>0.41419160797605964</v>
      </c>
      <c r="P192">
        <v>4.0816732900215015E-2</v>
      </c>
      <c r="Q192">
        <v>0.11060043152487944</v>
      </c>
      <c r="R192">
        <v>1.8528858874472955E-2</v>
      </c>
      <c r="S192">
        <v>1.7865536890762056E-2</v>
      </c>
      <c r="T192">
        <v>0.15951940823710398</v>
      </c>
      <c r="U192">
        <v>0.38124546312812879</v>
      </c>
      <c r="V192">
        <v>0.1592761368148759</v>
      </c>
      <c r="W192">
        <v>4.3344411595426416E-2</v>
      </c>
      <c r="X192">
        <v>8.4873806840664381E-3</v>
      </c>
      <c r="Y192">
        <v>5.0006713468596512E-3</v>
      </c>
      <c r="Z192">
        <v>4.7826608937004021E-3</v>
      </c>
      <c r="AA192">
        <v>2.515770497155834E-2</v>
      </c>
      <c r="AB192">
        <v>7.0285621025543412E-3</v>
      </c>
      <c r="AC192">
        <v>1.2511154803866942E-2</v>
      </c>
      <c r="AD192">
        <v>0.10195729233443855</v>
      </c>
      <c r="AE192">
        <v>1.7628649794930115E-3</v>
      </c>
      <c r="AF192">
        <v>3.6384847862176938E-3</v>
      </c>
      <c r="AG192">
        <v>9.4340466963131822E-2</v>
      </c>
      <c r="AH192">
        <v>2.4032224458686345E-3</v>
      </c>
      <c r="AI192">
        <v>5.7770626096993434E-3</v>
      </c>
      <c r="AJ192">
        <v>1.6156624233738891E-2</v>
      </c>
      <c r="AK192">
        <v>3.966968861027674E-2</v>
      </c>
      <c r="AL192">
        <v>0.41671280705642127</v>
      </c>
      <c r="AM192">
        <f t="shared" si="4"/>
        <v>57.767338902874023</v>
      </c>
      <c r="AN192">
        <f t="shared" si="5"/>
        <v>0.65826656587819155</v>
      </c>
    </row>
    <row r="193" spans="1:40" x14ac:dyDescent="0.35">
      <c r="A193" t="s">
        <v>244</v>
      </c>
      <c r="B193" t="s">
        <v>73</v>
      </c>
      <c r="C193">
        <v>1</v>
      </c>
      <c r="D193" t="s">
        <v>65</v>
      </c>
      <c r="E193">
        <v>4</v>
      </c>
      <c r="F193">
        <v>28</v>
      </c>
      <c r="G193" t="s">
        <v>7</v>
      </c>
      <c r="H193">
        <v>29</v>
      </c>
      <c r="I193">
        <v>33</v>
      </c>
      <c r="J193">
        <v>0.25640000000000002</v>
      </c>
      <c r="K193">
        <v>4.9000000000010147E-3</v>
      </c>
      <c r="L193">
        <v>8.5825937078688253E-4</v>
      </c>
      <c r="M193">
        <v>2.2122316568290317E-2</v>
      </c>
      <c r="N193">
        <v>6.5691373991096794E-3</v>
      </c>
      <c r="O193">
        <v>0.33119504922665138</v>
      </c>
      <c r="P193">
        <v>3.6945277316845576E-2</v>
      </c>
      <c r="Q193">
        <v>8.6162149427495491E-2</v>
      </c>
      <c r="R193">
        <v>1.2184517053718875E-2</v>
      </c>
      <c r="S193">
        <v>1.4447172497127972E-2</v>
      </c>
      <c r="T193">
        <v>0.13147579437063614</v>
      </c>
      <c r="U193">
        <v>0.35133752749476682</v>
      </c>
      <c r="V193">
        <v>0.12675524953377329</v>
      </c>
      <c r="W193">
        <v>3.5107342287070617E-2</v>
      </c>
      <c r="X193">
        <v>3.2458370111618745E-3</v>
      </c>
      <c r="Y193">
        <v>3.6907217773537869E-3</v>
      </c>
      <c r="Z193">
        <v>4.0121684429280536E-3</v>
      </c>
      <c r="AA193">
        <v>3.6408937801772984E-2</v>
      </c>
      <c r="AB193">
        <v>2.7345593665962818E-2</v>
      </c>
      <c r="AC193">
        <v>2.2531357181375538E-2</v>
      </c>
      <c r="AD193">
        <v>8.7360503457102071E-2</v>
      </c>
      <c r="AE193">
        <v>7.3715495790525605E-4</v>
      </c>
      <c r="AF193">
        <v>3.0569911280075046E-3</v>
      </c>
      <c r="AG193">
        <v>6.6813824020515222E-2</v>
      </c>
      <c r="AH193">
        <v>1.287916017927167E-3</v>
      </c>
      <c r="AI193">
        <v>5.3677076335929587E-3</v>
      </c>
      <c r="AJ193">
        <v>1.9037063083737843E-2</v>
      </c>
      <c r="AK193">
        <v>2.9484864780361095E-2</v>
      </c>
      <c r="AL193">
        <v>0.32475893202849476</v>
      </c>
      <c r="AM193">
        <f t="shared" si="4"/>
        <v>36.536721745593894</v>
      </c>
      <c r="AN193">
        <f t="shared" si="5"/>
        <v>0.69824468234573778</v>
      </c>
    </row>
    <row r="194" spans="1:40" x14ac:dyDescent="0.35">
      <c r="A194" t="s">
        <v>245</v>
      </c>
      <c r="B194" t="s">
        <v>73</v>
      </c>
      <c r="C194">
        <v>1</v>
      </c>
      <c r="D194" t="s">
        <v>65</v>
      </c>
      <c r="E194">
        <v>4</v>
      </c>
      <c r="F194">
        <v>28</v>
      </c>
      <c r="G194" t="s">
        <v>7</v>
      </c>
      <c r="H194">
        <v>30</v>
      </c>
      <c r="I194">
        <v>35</v>
      </c>
      <c r="J194">
        <v>0.26379999999999998</v>
      </c>
      <c r="K194">
        <v>5.8999999999986849E-3</v>
      </c>
      <c r="L194">
        <v>1.1566030342191724E-3</v>
      </c>
      <c r="M194">
        <v>2.1830116889004259E-2</v>
      </c>
      <c r="N194">
        <v>6.1913785398254768E-3</v>
      </c>
      <c r="O194">
        <v>0.33551767480022221</v>
      </c>
      <c r="P194">
        <v>3.0416579830878653E-2</v>
      </c>
      <c r="Q194">
        <v>8.0363660392696989E-2</v>
      </c>
      <c r="R194">
        <v>1.2688921517917036E-2</v>
      </c>
      <c r="S194">
        <v>1.2892781858743341E-2</v>
      </c>
      <c r="T194">
        <v>0.13507590338870784</v>
      </c>
      <c r="U194">
        <v>0.33874853284764889</v>
      </c>
      <c r="V194">
        <v>0.11225188846294318</v>
      </c>
      <c r="W194">
        <v>3.9265516175002284E-2</v>
      </c>
      <c r="X194">
        <v>5.9113773082033342E-3</v>
      </c>
      <c r="Y194">
        <v>5.236719470421175E-3</v>
      </c>
      <c r="Z194">
        <v>3.7840363424351264E-3</v>
      </c>
      <c r="AA194">
        <v>3.3273908149149441E-2</v>
      </c>
      <c r="AB194">
        <v>3.0507654432300191E-2</v>
      </c>
      <c r="AC194">
        <v>2.0214424947850324E-2</v>
      </c>
      <c r="AD194">
        <v>8.121129453595044E-2</v>
      </c>
      <c r="AE194">
        <v>1.5708323831789162E-3</v>
      </c>
      <c r="AF194">
        <v>4.8084912284022821E-3</v>
      </c>
      <c r="AG194">
        <v>7.7778363986293481E-2</v>
      </c>
      <c r="AH194">
        <v>7.0094958184149596E-4</v>
      </c>
      <c r="AI194">
        <v>5.5350664967869449E-3</v>
      </c>
      <c r="AJ194">
        <v>1.9427951243888703E-2</v>
      </c>
      <c r="AK194">
        <v>3.3220903993125821E-2</v>
      </c>
      <c r="AL194">
        <v>0.3477576501818016</v>
      </c>
      <c r="AM194">
        <f t="shared" si="4"/>
        <v>30.463375966437951</v>
      </c>
      <c r="AN194">
        <f t="shared" si="5"/>
        <v>0.68132645262298663</v>
      </c>
    </row>
    <row r="195" spans="1:40" x14ac:dyDescent="0.35">
      <c r="A195" t="s">
        <v>246</v>
      </c>
      <c r="B195" t="s">
        <v>73</v>
      </c>
      <c r="C195">
        <v>1</v>
      </c>
      <c r="D195" t="s">
        <v>65</v>
      </c>
      <c r="E195">
        <v>4</v>
      </c>
      <c r="F195">
        <v>28</v>
      </c>
      <c r="G195" t="s">
        <v>7</v>
      </c>
      <c r="H195">
        <v>32</v>
      </c>
      <c r="I195">
        <v>37</v>
      </c>
      <c r="J195">
        <v>0.31790000000000002</v>
      </c>
      <c r="K195">
        <v>6.0999999999999943E-3</v>
      </c>
      <c r="L195">
        <v>1.6385266551098249E-3</v>
      </c>
      <c r="M195">
        <v>2.6442230213323138E-2</v>
      </c>
      <c r="N195">
        <v>7.2014639421679487E-3</v>
      </c>
      <c r="O195">
        <v>0.38221001614217492</v>
      </c>
      <c r="P195">
        <v>3.67372386843932E-2</v>
      </c>
      <c r="Q195">
        <v>9.7813640395865209E-2</v>
      </c>
      <c r="R195">
        <v>1.5041074570918774E-2</v>
      </c>
      <c r="S195">
        <v>1.7403411591816981E-2</v>
      </c>
      <c r="T195">
        <v>0.16293223433275583</v>
      </c>
      <c r="U195">
        <v>0.40062718221287952</v>
      </c>
      <c r="V195">
        <v>0.13934825987150867</v>
      </c>
      <c r="W195">
        <v>4.3411477280587404E-2</v>
      </c>
      <c r="X195">
        <v>5.4461459561747361E-3</v>
      </c>
      <c r="Y195">
        <v>5.428261575237541E-3</v>
      </c>
      <c r="Z195">
        <v>7.0764880313493273E-3</v>
      </c>
      <c r="AA195">
        <v>4.1662685482968212E-2</v>
      </c>
      <c r="AB195">
        <v>9.9975836996335516E-3</v>
      </c>
      <c r="AC195">
        <v>2.1459443631703327E-2</v>
      </c>
      <c r="AD195">
        <v>8.3965533970316752E-2</v>
      </c>
      <c r="AE195">
        <v>1.1712062302072382E-3</v>
      </c>
      <c r="AF195">
        <v>3.0931388791677118E-3</v>
      </c>
      <c r="AG195">
        <v>7.2218907924698636E-2</v>
      </c>
      <c r="AH195">
        <v>1.6387772034751893E-3</v>
      </c>
      <c r="AI195">
        <v>6.3590248908168383E-3</v>
      </c>
      <c r="AJ195">
        <v>2.0464074630483661E-2</v>
      </c>
      <c r="AK195">
        <v>2.8739508175348417E-2</v>
      </c>
      <c r="AL195">
        <v>0.35831098307691939</v>
      </c>
      <c r="AM195">
        <f t="shared" ref="AM195:AM237" si="6">(SUM(L195:AL195)/1000)/K195*100</f>
        <v>32.751451135278749</v>
      </c>
      <c r="AN195">
        <f t="shared" ref="AN195:AN237" si="7">(SUM(L195:AL195)/1000)/J195*100</f>
        <v>0.62844873207046292</v>
      </c>
    </row>
    <row r="196" spans="1:40" x14ac:dyDescent="0.35">
      <c r="A196" t="s">
        <v>247</v>
      </c>
      <c r="B196" t="s">
        <v>73</v>
      </c>
      <c r="C196">
        <v>1</v>
      </c>
      <c r="D196" t="s">
        <v>69</v>
      </c>
      <c r="E196">
        <v>4</v>
      </c>
      <c r="F196">
        <v>29</v>
      </c>
      <c r="G196" t="s">
        <v>8</v>
      </c>
      <c r="H196">
        <v>30</v>
      </c>
      <c r="I196">
        <v>34</v>
      </c>
      <c r="J196">
        <v>0.24579999999999999</v>
      </c>
      <c r="K196">
        <v>3.0999999999998806E-3</v>
      </c>
      <c r="L196">
        <v>9.381948077362679E-4</v>
      </c>
      <c r="M196">
        <v>1.7498390307923349E-2</v>
      </c>
      <c r="N196">
        <v>8.5321610191783429E-3</v>
      </c>
      <c r="O196">
        <v>0.29878636123305907</v>
      </c>
      <c r="P196">
        <v>2.592610330056323E-2</v>
      </c>
      <c r="Q196">
        <v>4.9960968555873814E-2</v>
      </c>
      <c r="R196">
        <v>9.614556923817531E-3</v>
      </c>
      <c r="S196">
        <v>6.4593525010711896E-3</v>
      </c>
      <c r="T196">
        <v>0.12003067144295297</v>
      </c>
      <c r="U196">
        <v>0.25133212048395831</v>
      </c>
      <c r="V196">
        <v>8.3200705672866804E-2</v>
      </c>
      <c r="W196">
        <v>2.3709615118705965E-2</v>
      </c>
      <c r="X196">
        <v>3.0909688243498114E-3</v>
      </c>
      <c r="Y196">
        <v>2.5728256664295907E-3</v>
      </c>
      <c r="Z196">
        <v>3.9335303088451675E-3</v>
      </c>
      <c r="AA196">
        <v>2.1118638612528461E-2</v>
      </c>
      <c r="AB196">
        <v>4.1111962405911189E-2</v>
      </c>
      <c r="AC196">
        <v>1.301987544886316E-2</v>
      </c>
      <c r="AD196">
        <v>5.5437183677466285E-2</v>
      </c>
      <c r="AE196">
        <v>1.2121086089389474E-3</v>
      </c>
      <c r="AF196">
        <v>3.8030354548161884E-3</v>
      </c>
      <c r="AG196">
        <v>7.2737640443596846E-2</v>
      </c>
      <c r="AH196">
        <v>9.2591629849502911E-5</v>
      </c>
      <c r="AI196">
        <v>4.010168567233607E-3</v>
      </c>
      <c r="AJ196">
        <v>9.3541879695129213E-3</v>
      </c>
      <c r="AK196">
        <v>2.9582069776136026E-2</v>
      </c>
      <c r="AL196">
        <v>0.35200376673377531</v>
      </c>
      <c r="AM196">
        <f t="shared" si="6"/>
        <v>48.679669532129608</v>
      </c>
      <c r="AN196">
        <f t="shared" si="7"/>
        <v>0.61394212998208297</v>
      </c>
    </row>
    <row r="197" spans="1:40" x14ac:dyDescent="0.35">
      <c r="A197" t="s">
        <v>248</v>
      </c>
      <c r="B197" t="s">
        <v>73</v>
      </c>
      <c r="C197">
        <v>1</v>
      </c>
      <c r="D197" t="s">
        <v>69</v>
      </c>
      <c r="E197">
        <v>4</v>
      </c>
      <c r="F197">
        <v>29</v>
      </c>
      <c r="G197" t="s">
        <v>8</v>
      </c>
      <c r="H197">
        <v>30</v>
      </c>
      <c r="I197">
        <v>35</v>
      </c>
      <c r="J197">
        <v>0.2442</v>
      </c>
      <c r="K197">
        <v>4.1000000000011028E-3</v>
      </c>
      <c r="L197">
        <v>1.0881725496526104E-3</v>
      </c>
      <c r="M197">
        <v>2.6209036892467261E-2</v>
      </c>
      <c r="N197">
        <v>9.5606329607430436E-3</v>
      </c>
      <c r="O197">
        <v>0.34253904786208911</v>
      </c>
      <c r="P197">
        <v>3.0962728499979494E-2</v>
      </c>
      <c r="Q197">
        <v>9.7060236092751703E-2</v>
      </c>
      <c r="R197">
        <v>1.0766403690907717E-2</v>
      </c>
      <c r="S197">
        <v>9.1435444431428817E-3</v>
      </c>
      <c r="T197">
        <v>0.13091154274010949</v>
      </c>
      <c r="U197">
        <v>0.38227333500739469</v>
      </c>
      <c r="V197">
        <v>0.12375567657374428</v>
      </c>
      <c r="W197">
        <v>3.8573564676194654E-2</v>
      </c>
      <c r="X197">
        <v>1.2979987669454462E-2</v>
      </c>
      <c r="Y197">
        <v>4.4751243143033295E-3</v>
      </c>
      <c r="Z197">
        <v>2.3426184922567036E-3</v>
      </c>
      <c r="AA197">
        <v>2.7957565104458109E-2</v>
      </c>
      <c r="AB197">
        <v>1.9622776361578515E-2</v>
      </c>
      <c r="AC197">
        <v>1.2994484583251033E-2</v>
      </c>
      <c r="AD197">
        <v>7.7057762577257188E-2</v>
      </c>
      <c r="AE197">
        <v>3.4872974196528154E-3</v>
      </c>
      <c r="AF197">
        <v>1.1117422877861757E-2</v>
      </c>
      <c r="AG197">
        <v>9.441781140277572E-2</v>
      </c>
      <c r="AH197">
        <v>3.676835581852587E-4</v>
      </c>
      <c r="AI197">
        <v>5.4390765019349998E-3</v>
      </c>
      <c r="AJ197">
        <v>1.4083866116698849E-2</v>
      </c>
      <c r="AK197">
        <v>4.4815243041957886E-2</v>
      </c>
      <c r="AL197">
        <v>0.45991059292540803</v>
      </c>
      <c r="AM197">
        <f t="shared" si="6"/>
        <v>48.632030120382339</v>
      </c>
      <c r="AN197">
        <f t="shared" si="7"/>
        <v>0.8165082862146652</v>
      </c>
    </row>
    <row r="198" spans="1:40" x14ac:dyDescent="0.35">
      <c r="A198" t="s">
        <v>249</v>
      </c>
      <c r="B198" t="s">
        <v>73</v>
      </c>
      <c r="C198">
        <v>1</v>
      </c>
      <c r="D198" t="s">
        <v>69</v>
      </c>
      <c r="E198">
        <v>4</v>
      </c>
      <c r="F198">
        <v>29</v>
      </c>
      <c r="G198" t="s">
        <v>8</v>
      </c>
      <c r="H198">
        <v>28</v>
      </c>
      <c r="I198">
        <v>32</v>
      </c>
      <c r="J198">
        <v>0.22309999999999999</v>
      </c>
      <c r="K198">
        <v>3.8000000000000256E-3</v>
      </c>
      <c r="L198">
        <v>8.3218456915114291E-4</v>
      </c>
      <c r="M198">
        <v>1.4803113770020615E-2</v>
      </c>
      <c r="N198">
        <v>7.9712029931513651E-3</v>
      </c>
      <c r="O198">
        <v>0.25939627255709902</v>
      </c>
      <c r="P198">
        <v>2.9846390160794538E-2</v>
      </c>
      <c r="Q198">
        <v>5.4988125571451399E-2</v>
      </c>
      <c r="R198">
        <v>8.8933674364660344E-3</v>
      </c>
      <c r="S198">
        <v>6.7832456054906674E-3</v>
      </c>
      <c r="T198">
        <v>0.10650821895180443</v>
      </c>
      <c r="U198">
        <v>0.23194367148353012</v>
      </c>
      <c r="V198">
        <v>8.5191606565813663E-2</v>
      </c>
      <c r="W198">
        <v>1.8970342810900806E-2</v>
      </c>
      <c r="X198">
        <v>2.9419718270732812E-3</v>
      </c>
      <c r="Y198">
        <v>2.4628733534285004E-3</v>
      </c>
      <c r="Z198">
        <v>2.6421538170717266E-3</v>
      </c>
      <c r="AA198">
        <v>1.5413973195172912E-2</v>
      </c>
      <c r="AB198">
        <v>1.6279980058432168E-2</v>
      </c>
      <c r="AC198">
        <v>9.5261667430481724E-3</v>
      </c>
      <c r="AD198">
        <v>6.3958171068570824E-2</v>
      </c>
      <c r="AE198">
        <v>8.9448612709309983E-4</v>
      </c>
      <c r="AF198">
        <v>2.7009879815529598E-3</v>
      </c>
      <c r="AG198">
        <v>5.4538854792430751E-2</v>
      </c>
      <c r="AH198">
        <v>2.9879401368713011E-4</v>
      </c>
      <c r="AI198">
        <v>3.8571102362701675E-3</v>
      </c>
      <c r="AJ198">
        <v>9.1470245036995284E-3</v>
      </c>
      <c r="AK198">
        <v>2.6036262092059448E-2</v>
      </c>
      <c r="AL198">
        <v>0.33023878098612208</v>
      </c>
      <c r="AM198">
        <f t="shared" si="6"/>
        <v>35.9754035071415</v>
      </c>
      <c r="AN198">
        <f t="shared" si="7"/>
        <v>0.61275900191456123</v>
      </c>
    </row>
    <row r="199" spans="1:40" x14ac:dyDescent="0.35">
      <c r="A199" t="s">
        <v>250</v>
      </c>
      <c r="B199" t="s">
        <v>73</v>
      </c>
      <c r="C199">
        <v>1</v>
      </c>
      <c r="D199" t="s">
        <v>61</v>
      </c>
      <c r="E199">
        <v>4</v>
      </c>
      <c r="F199">
        <v>30</v>
      </c>
      <c r="G199" t="s">
        <v>11</v>
      </c>
      <c r="H199">
        <v>24</v>
      </c>
      <c r="I199">
        <v>28</v>
      </c>
      <c r="J199">
        <v>0.13669999999999999</v>
      </c>
      <c r="K199">
        <v>6.0000000000037801E-4</v>
      </c>
      <c r="L199">
        <v>7.4937292507327015E-4</v>
      </c>
      <c r="M199">
        <v>1.1956710299516529E-2</v>
      </c>
      <c r="N199">
        <v>7.8628297615103166E-3</v>
      </c>
      <c r="O199">
        <v>0.1964889765907796</v>
      </c>
      <c r="P199">
        <v>2.3020679232293229E-2</v>
      </c>
      <c r="Q199">
        <v>4.2935413761231923E-2</v>
      </c>
      <c r="R199">
        <v>6.3926876132945386E-3</v>
      </c>
      <c r="S199">
        <v>4.4764599114970102E-3</v>
      </c>
      <c r="T199">
        <v>7.0370174283638939E-2</v>
      </c>
      <c r="U199">
        <v>0.19775347535950494</v>
      </c>
      <c r="V199">
        <v>6.6196885099629205E-2</v>
      </c>
      <c r="W199">
        <v>1.2373103473794531E-2</v>
      </c>
      <c r="X199">
        <v>2.0533103276795771E-3</v>
      </c>
      <c r="Y199">
        <v>1.6350508493335966E-3</v>
      </c>
      <c r="Z199">
        <v>1.3073200787295186E-3</v>
      </c>
      <c r="AA199">
        <v>1.1033058271650796E-2</v>
      </c>
      <c r="AB199">
        <v>3.9788760300394597E-2</v>
      </c>
      <c r="AC199">
        <v>5.5527211782547834E-3</v>
      </c>
      <c r="AD199">
        <v>3.3679012160072644E-2</v>
      </c>
      <c r="AE199">
        <v>5.8622684446409817E-4</v>
      </c>
      <c r="AF199">
        <v>1.4919156956755336E-3</v>
      </c>
      <c r="AG199">
        <v>3.482427483556598E-2</v>
      </c>
      <c r="AH199">
        <v>5.5159653564715294E-4</v>
      </c>
      <c r="AI199">
        <v>2.0399999507503094E-3</v>
      </c>
      <c r="AJ199">
        <v>4.3249393499779579E-3</v>
      </c>
      <c r="AK199">
        <v>1.2389148504601185E-2</v>
      </c>
      <c r="AL199">
        <v>0.20802600176300931</v>
      </c>
      <c r="AM199">
        <f t="shared" si="6"/>
        <v>166.64335082615682</v>
      </c>
      <c r="AN199">
        <f t="shared" si="7"/>
        <v>0.73142655812550905</v>
      </c>
    </row>
    <row r="200" spans="1:40" x14ac:dyDescent="0.35">
      <c r="A200" t="s">
        <v>251</v>
      </c>
      <c r="B200" t="s">
        <v>73</v>
      </c>
      <c r="C200">
        <v>1</v>
      </c>
      <c r="D200" t="s">
        <v>61</v>
      </c>
      <c r="E200">
        <v>4</v>
      </c>
      <c r="F200">
        <v>30</v>
      </c>
      <c r="G200" t="s">
        <v>11</v>
      </c>
      <c r="H200">
        <v>26</v>
      </c>
      <c r="I200">
        <v>31</v>
      </c>
      <c r="J200">
        <v>0.16339999999999999</v>
      </c>
      <c r="K200">
        <v>2.9000000000003463E-3</v>
      </c>
      <c r="L200">
        <v>6.076452057581787E-4</v>
      </c>
      <c r="M200">
        <v>1.0424055679285475E-2</v>
      </c>
      <c r="N200">
        <v>7.3960489629992555E-3</v>
      </c>
      <c r="O200">
        <v>0.20339197110038537</v>
      </c>
      <c r="P200">
        <v>2.1608407544867703E-2</v>
      </c>
      <c r="Q200">
        <v>3.3853210330569636E-2</v>
      </c>
      <c r="R200">
        <v>6.6895638441099303E-3</v>
      </c>
      <c r="S200">
        <v>7.8383441895917287E-4</v>
      </c>
      <c r="T200">
        <v>8.1100924281868464E-2</v>
      </c>
      <c r="U200">
        <v>0.1899889670404864</v>
      </c>
      <c r="V200">
        <v>6.3705184105540713E-2</v>
      </c>
      <c r="W200">
        <v>1.297153867459133E-2</v>
      </c>
      <c r="X200">
        <v>2.1729470705596334E-3</v>
      </c>
      <c r="Y200">
        <v>1.4200523716283988E-3</v>
      </c>
      <c r="Z200">
        <v>1.1513633518593594E-3</v>
      </c>
      <c r="AA200">
        <v>1.2505846106593395E-2</v>
      </c>
      <c r="AB200">
        <v>1.1938523978576546E-2</v>
      </c>
      <c r="AC200">
        <v>5.3856246537157086E-3</v>
      </c>
      <c r="AD200">
        <v>3.7613128341250836E-2</v>
      </c>
      <c r="AE200">
        <v>5.8932934235366124E-4</v>
      </c>
      <c r="AF200">
        <v>1.7312060162445269E-3</v>
      </c>
      <c r="AG200">
        <v>4.4136139934135683E-2</v>
      </c>
      <c r="AH200">
        <v>2.3923335431438967E-5</v>
      </c>
      <c r="AI200">
        <v>2.1349252166819473E-3</v>
      </c>
      <c r="AJ200">
        <v>4.8295174697527022E-3</v>
      </c>
      <c r="AK200">
        <v>1.7467613502877174E-2</v>
      </c>
      <c r="AL200">
        <v>0.26394822622016822</v>
      </c>
      <c r="AM200">
        <f t="shared" si="6"/>
        <v>35.847231658659545</v>
      </c>
      <c r="AN200">
        <f t="shared" si="7"/>
        <v>0.63621157778534332</v>
      </c>
    </row>
    <row r="201" spans="1:40" x14ac:dyDescent="0.35">
      <c r="A201" t="s">
        <v>252</v>
      </c>
      <c r="B201" t="s">
        <v>73</v>
      </c>
      <c r="C201">
        <v>1</v>
      </c>
      <c r="D201" t="s">
        <v>61</v>
      </c>
      <c r="E201">
        <v>4</v>
      </c>
      <c r="F201">
        <v>30</v>
      </c>
      <c r="G201" t="s">
        <v>11</v>
      </c>
      <c r="H201">
        <v>25</v>
      </c>
      <c r="I201">
        <v>30</v>
      </c>
      <c r="J201">
        <v>0.1244</v>
      </c>
      <c r="K201">
        <v>3.0999999999998811E-3</v>
      </c>
      <c r="L201">
        <v>6.5132431297703903E-4</v>
      </c>
      <c r="M201">
        <v>6.8799038734658948E-3</v>
      </c>
      <c r="N201">
        <v>4.0833156192180446E-3</v>
      </c>
      <c r="O201">
        <v>0.15766844050837675</v>
      </c>
      <c r="P201">
        <v>1.3108086742603635E-2</v>
      </c>
      <c r="Q201">
        <v>2.1687019672889028E-2</v>
      </c>
      <c r="R201">
        <v>4.5840365968142036E-3</v>
      </c>
      <c r="S201">
        <v>4.5250046352133541E-3</v>
      </c>
      <c r="T201">
        <v>6.2768129402291206E-2</v>
      </c>
      <c r="U201">
        <v>0.13727744364373945</v>
      </c>
      <c r="V201">
        <v>4.07853924092288E-2</v>
      </c>
      <c r="W201">
        <v>8.9718074673179934E-3</v>
      </c>
      <c r="X201">
        <v>1.3929870401292971E-3</v>
      </c>
      <c r="Y201">
        <v>7.0840498198592404E-4</v>
      </c>
      <c r="Z201">
        <v>1.4387673663253785E-3</v>
      </c>
      <c r="AA201">
        <v>8.2942800823917213E-3</v>
      </c>
      <c r="AB201">
        <v>2.4053026268972745E-2</v>
      </c>
      <c r="AC201">
        <v>3.0741221005972097E-3</v>
      </c>
      <c r="AD201">
        <v>3.2811038540816254E-2</v>
      </c>
      <c r="AE201">
        <v>8.3452066747644114E-4</v>
      </c>
      <c r="AF201">
        <v>1.7012269413324227E-3</v>
      </c>
      <c r="AG201">
        <v>3.5216810764502136E-2</v>
      </c>
      <c r="AH201">
        <v>1.3169080718184318E-4</v>
      </c>
      <c r="AI201">
        <v>1.777005710782986E-3</v>
      </c>
      <c r="AJ201">
        <v>4.3547918814220224E-3</v>
      </c>
      <c r="AK201">
        <v>1.2106644787411316E-2</v>
      </c>
      <c r="AL201">
        <v>0.22081313721675344</v>
      </c>
      <c r="AM201">
        <f t="shared" si="6"/>
        <v>26.183818065878967</v>
      </c>
      <c r="AN201">
        <f t="shared" si="7"/>
        <v>0.652490643120753</v>
      </c>
    </row>
    <row r="202" spans="1:40" x14ac:dyDescent="0.35">
      <c r="A202" t="s">
        <v>253</v>
      </c>
      <c r="B202" t="s">
        <v>73</v>
      </c>
      <c r="C202">
        <v>1</v>
      </c>
      <c r="D202" t="s">
        <v>61</v>
      </c>
      <c r="E202">
        <v>4</v>
      </c>
      <c r="F202">
        <v>31</v>
      </c>
      <c r="G202" t="s">
        <v>11</v>
      </c>
      <c r="H202">
        <v>27</v>
      </c>
      <c r="I202">
        <v>31</v>
      </c>
      <c r="J202">
        <v>0.1719</v>
      </c>
      <c r="K202">
        <v>3.1999999999996471E-3</v>
      </c>
      <c r="L202">
        <v>6.7147684430607379E-4</v>
      </c>
      <c r="M202">
        <v>1.346287160044622E-2</v>
      </c>
      <c r="N202">
        <v>8.8288308240337572E-3</v>
      </c>
      <c r="O202">
        <v>0.20985482789187718</v>
      </c>
      <c r="P202">
        <v>3.253992194789284E-2</v>
      </c>
      <c r="Q202">
        <v>5.6324083109208604E-2</v>
      </c>
      <c r="R202">
        <v>6.4044176706060559E-3</v>
      </c>
      <c r="S202">
        <v>5.2676294531484027E-3</v>
      </c>
      <c r="T202">
        <v>7.7536058672151936E-2</v>
      </c>
      <c r="U202">
        <v>0.24150913182161229</v>
      </c>
      <c r="V202">
        <v>8.9310343708397244E-2</v>
      </c>
      <c r="W202">
        <v>1.3828522487472277E-2</v>
      </c>
      <c r="X202">
        <v>3.1603542949373816E-3</v>
      </c>
      <c r="Y202">
        <v>2.2359889670877926E-3</v>
      </c>
      <c r="Z202">
        <v>1.4444756493348426E-3</v>
      </c>
      <c r="AA202">
        <v>1.5480624149568625E-2</v>
      </c>
      <c r="AB202">
        <v>1.9362729421971092E-2</v>
      </c>
      <c r="AC202">
        <v>6.6055857984189115E-3</v>
      </c>
      <c r="AD202">
        <v>4.2570792833532815E-2</v>
      </c>
      <c r="AE202">
        <v>9.2518151286527137E-4</v>
      </c>
      <c r="AF202">
        <v>1.8988186413984695E-3</v>
      </c>
      <c r="AG202">
        <v>3.9500204571285218E-2</v>
      </c>
      <c r="AH202">
        <v>3.9052305145134881E-4</v>
      </c>
      <c r="AI202">
        <v>2.2804782099602062E-3</v>
      </c>
      <c r="AJ202">
        <v>4.1849671893623699E-3</v>
      </c>
      <c r="AK202">
        <v>1.8021880631557283E-2</v>
      </c>
      <c r="AL202">
        <v>0.23869738876161917</v>
      </c>
      <c r="AM202">
        <f t="shared" si="6"/>
        <v>36.009315928613454</v>
      </c>
      <c r="AN202">
        <f t="shared" si="7"/>
        <v>0.67033048849069432</v>
      </c>
    </row>
    <row r="203" spans="1:40" x14ac:dyDescent="0.35">
      <c r="A203" t="s">
        <v>254</v>
      </c>
      <c r="B203" t="s">
        <v>73</v>
      </c>
      <c r="C203">
        <v>1</v>
      </c>
      <c r="D203" t="s">
        <v>61</v>
      </c>
      <c r="E203">
        <v>4</v>
      </c>
      <c r="F203">
        <v>31</v>
      </c>
      <c r="G203" t="s">
        <v>11</v>
      </c>
      <c r="H203">
        <v>28</v>
      </c>
      <c r="I203">
        <v>32</v>
      </c>
      <c r="J203">
        <v>0.19450000000000001</v>
      </c>
      <c r="K203">
        <v>3.2999999999994145E-3</v>
      </c>
      <c r="L203">
        <v>1.3656711094456487E-3</v>
      </c>
      <c r="M203">
        <v>1.1011130188460751E-2</v>
      </c>
      <c r="N203">
        <v>6.9748568294624577E-3</v>
      </c>
      <c r="O203">
        <v>0.23172219360185445</v>
      </c>
      <c r="P203">
        <v>1.821448554262307E-2</v>
      </c>
      <c r="Q203">
        <v>3.2240212830533868E-2</v>
      </c>
      <c r="R203">
        <v>6.8577473312235347E-3</v>
      </c>
      <c r="S203">
        <v>3.6859287854273349E-3</v>
      </c>
      <c r="T203">
        <v>9.5727965023967729E-2</v>
      </c>
      <c r="U203">
        <v>0.20035804814223199</v>
      </c>
      <c r="V203">
        <v>6.5470067278659269E-2</v>
      </c>
      <c r="W203">
        <v>1.6224081710303598E-2</v>
      </c>
      <c r="X203">
        <v>1.9725101965979326E-3</v>
      </c>
      <c r="Y203">
        <v>9.3487382078909817E-4</v>
      </c>
      <c r="Z203">
        <v>3.3177592217961717E-3</v>
      </c>
      <c r="AA203">
        <v>1.4344803762743281E-2</v>
      </c>
      <c r="AB203">
        <v>1.6552036357335521E-2</v>
      </c>
      <c r="AC203">
        <v>5.8252593800148869E-3</v>
      </c>
      <c r="AD203">
        <v>4.5276401469345126E-2</v>
      </c>
      <c r="AE203">
        <v>1.1899153345388148E-3</v>
      </c>
      <c r="AF203">
        <v>3.1423352342524612E-3</v>
      </c>
      <c r="AG203">
        <v>5.3028395830790505E-2</v>
      </c>
      <c r="AH203">
        <v>2.5374868712789168E-4</v>
      </c>
      <c r="AI203">
        <v>2.5996683995056212E-3</v>
      </c>
      <c r="AJ203">
        <v>5.991347557616925E-3</v>
      </c>
      <c r="AK203">
        <v>1.7893864540410528E-2</v>
      </c>
      <c r="AL203">
        <v>0.33072493422267857</v>
      </c>
      <c r="AM203">
        <f t="shared" si="6"/>
        <v>36.148492193634809</v>
      </c>
      <c r="AN203">
        <f t="shared" si="7"/>
        <v>0.61331631999472336</v>
      </c>
    </row>
    <row r="204" spans="1:40" x14ac:dyDescent="0.35">
      <c r="A204" t="s">
        <v>255</v>
      </c>
      <c r="B204" t="s">
        <v>73</v>
      </c>
      <c r="C204">
        <v>1</v>
      </c>
      <c r="D204" t="s">
        <v>61</v>
      </c>
      <c r="E204">
        <v>4</v>
      </c>
      <c r="F204">
        <v>31</v>
      </c>
      <c r="G204" t="s">
        <v>11</v>
      </c>
      <c r="H204">
        <v>29</v>
      </c>
      <c r="I204">
        <v>34</v>
      </c>
      <c r="J204">
        <v>0.20050000000000001</v>
      </c>
      <c r="K204">
        <v>5.3000000000000824E-3</v>
      </c>
      <c r="L204">
        <v>7.7821506414336994E-4</v>
      </c>
      <c r="M204">
        <v>1.380527386484459E-2</v>
      </c>
      <c r="N204">
        <v>8.8415454972539925E-3</v>
      </c>
      <c r="O204">
        <v>0.24452269402619856</v>
      </c>
      <c r="P204">
        <v>2.7571408109209713E-2</v>
      </c>
      <c r="Q204">
        <v>4.8119633045682661E-2</v>
      </c>
      <c r="R204">
        <v>7.5808422108708017E-3</v>
      </c>
      <c r="S204">
        <v>5.6510314754968007E-3</v>
      </c>
      <c r="T204">
        <v>9.7251826079289838E-2</v>
      </c>
      <c r="U204">
        <v>0.24063018769272326</v>
      </c>
      <c r="V204">
        <v>8.2831216728311702E-2</v>
      </c>
      <c r="W204">
        <v>1.6754107837820355E-2</v>
      </c>
      <c r="X204">
        <v>2.7458481301066064E-3</v>
      </c>
      <c r="Y204">
        <v>1.5759620309037314E-3</v>
      </c>
      <c r="Z204">
        <v>1.5725787755741505E-3</v>
      </c>
      <c r="AA204">
        <v>1.5771191610878824E-2</v>
      </c>
      <c r="AB204">
        <v>1.2672679389512583E-2</v>
      </c>
      <c r="AC204">
        <v>7.7649311038038736E-3</v>
      </c>
      <c r="AD204">
        <v>4.7488167866073072E-2</v>
      </c>
      <c r="AE204">
        <v>1.0237806442556854E-3</v>
      </c>
      <c r="AF204">
        <v>2.338217985873393E-3</v>
      </c>
      <c r="AG204">
        <v>5.3569460336579097E-2</v>
      </c>
      <c r="AH204">
        <v>1.5568660659482544E-4</v>
      </c>
      <c r="AI204">
        <v>2.1590949915193144E-3</v>
      </c>
      <c r="AJ204">
        <v>5.2425294559405589E-3</v>
      </c>
      <c r="AK204">
        <v>2.0511103896904408E-2</v>
      </c>
      <c r="AL204">
        <v>0.33450635892079178</v>
      </c>
      <c r="AM204">
        <f t="shared" si="6"/>
        <v>24.593124025983723</v>
      </c>
      <c r="AN204">
        <f t="shared" si="7"/>
        <v>0.65009255530032783</v>
      </c>
    </row>
    <row r="205" spans="1:40" x14ac:dyDescent="0.35">
      <c r="A205" t="s">
        <v>256</v>
      </c>
      <c r="B205" t="s">
        <v>73</v>
      </c>
      <c r="C205">
        <v>1</v>
      </c>
      <c r="D205" t="s">
        <v>69</v>
      </c>
      <c r="E205">
        <v>4</v>
      </c>
      <c r="F205">
        <v>32</v>
      </c>
      <c r="G205" t="s">
        <v>8</v>
      </c>
      <c r="H205">
        <v>28</v>
      </c>
      <c r="I205">
        <v>34</v>
      </c>
      <c r="J205">
        <v>0.1971</v>
      </c>
      <c r="K205">
        <v>1.2999999999987466E-3</v>
      </c>
      <c r="L205">
        <v>8.9875241188297884E-4</v>
      </c>
      <c r="M205">
        <v>1.2311563200900212E-2</v>
      </c>
      <c r="N205">
        <v>6.334000289814434E-3</v>
      </c>
      <c r="O205">
        <v>0.24782465440754498</v>
      </c>
      <c r="P205">
        <v>2.4944718504840563E-2</v>
      </c>
      <c r="Q205">
        <v>4.1320478346794101E-2</v>
      </c>
      <c r="R205">
        <v>7.0860865361133422E-3</v>
      </c>
      <c r="S205">
        <v>4.2454547937175865E-3</v>
      </c>
      <c r="T205">
        <v>9.535337927057283E-2</v>
      </c>
      <c r="U205">
        <v>0.20549597884734566</v>
      </c>
      <c r="V205">
        <v>6.5372342445917025E-2</v>
      </c>
      <c r="W205">
        <v>1.4220116987374439E-2</v>
      </c>
      <c r="X205">
        <v>1.5100343146762587E-3</v>
      </c>
      <c r="Y205">
        <v>1.2951732066405158E-3</v>
      </c>
      <c r="Z205">
        <v>1.3311281276607552E-3</v>
      </c>
      <c r="AA205">
        <v>1.3379789814479062E-2</v>
      </c>
      <c r="AB205">
        <v>2.8236409013218843E-2</v>
      </c>
      <c r="AC205">
        <v>7.4460337712716831E-3</v>
      </c>
      <c r="AD205">
        <v>4.8274698008867099E-2</v>
      </c>
      <c r="AE205">
        <v>5.7866797913050621E-4</v>
      </c>
      <c r="AF205">
        <v>1.483342519903434E-3</v>
      </c>
      <c r="AG205">
        <v>4.4796237305252846E-2</v>
      </c>
      <c r="AH205">
        <v>1.9733594861192264E-4</v>
      </c>
      <c r="AI205">
        <v>2.788454289080239E-3</v>
      </c>
      <c r="AJ205">
        <v>6.509276006777239E-3</v>
      </c>
      <c r="AK205">
        <v>1.5923929148783732E-2</v>
      </c>
      <c r="AL205">
        <v>0.28112403735126495</v>
      </c>
      <c r="AM205">
        <f t="shared" si="6"/>
        <v>90.79092868073657</v>
      </c>
      <c r="AN205">
        <f t="shared" si="7"/>
        <v>0.59882398419504701</v>
      </c>
    </row>
    <row r="206" spans="1:40" x14ac:dyDescent="0.35">
      <c r="A206" t="s">
        <v>257</v>
      </c>
      <c r="B206" t="s">
        <v>73</v>
      </c>
      <c r="C206">
        <v>1</v>
      </c>
      <c r="D206" t="s">
        <v>69</v>
      </c>
      <c r="E206">
        <v>4</v>
      </c>
      <c r="F206">
        <v>32</v>
      </c>
      <c r="G206" t="s">
        <v>8</v>
      </c>
      <c r="H206">
        <v>29</v>
      </c>
      <c r="I206">
        <v>33</v>
      </c>
      <c r="J206">
        <v>0.26590000000000003</v>
      </c>
      <c r="K206">
        <v>3.9999999999995595E-3</v>
      </c>
      <c r="L206">
        <v>9.1305436743884612E-4</v>
      </c>
      <c r="M206">
        <v>2.6530542266453194E-2</v>
      </c>
      <c r="N206">
        <v>1.1560584293877383E-2</v>
      </c>
      <c r="O206">
        <v>0.31125712415940215</v>
      </c>
      <c r="P206">
        <v>3.8735371026233721E-2</v>
      </c>
      <c r="Q206">
        <v>8.8705342030094447E-2</v>
      </c>
      <c r="R206">
        <v>1.1475863319610664E-2</v>
      </c>
      <c r="S206">
        <v>1.2462597777649308E-2</v>
      </c>
      <c r="T206">
        <v>0.11783811595556366</v>
      </c>
      <c r="U206">
        <v>0.35947812792505396</v>
      </c>
      <c r="V206">
        <v>0.13115969893446847</v>
      </c>
      <c r="W206">
        <v>3.2629851397812139E-2</v>
      </c>
      <c r="X206">
        <v>4.2238391877486041E-3</v>
      </c>
      <c r="Y206">
        <v>3.8160165473017978E-3</v>
      </c>
      <c r="Z206">
        <v>3.0835006616785625E-3</v>
      </c>
      <c r="AA206">
        <v>3.2654125759987086E-2</v>
      </c>
      <c r="AB206">
        <v>1.7696466352382992E-2</v>
      </c>
      <c r="AC206">
        <v>1.2583045804910795E-2</v>
      </c>
      <c r="AD206">
        <v>6.7130542691245271E-2</v>
      </c>
      <c r="AE206">
        <v>1.2430009362955018E-3</v>
      </c>
      <c r="AF206">
        <v>3.2184398487528788E-3</v>
      </c>
      <c r="AG206">
        <v>6.3067987218433472E-2</v>
      </c>
      <c r="AH206">
        <v>1.368991665236549E-3</v>
      </c>
      <c r="AI206">
        <v>4.4913246284411998E-3</v>
      </c>
      <c r="AJ206">
        <v>1.0947436832979654E-2</v>
      </c>
      <c r="AK206">
        <v>2.7360344809468095E-2</v>
      </c>
      <c r="AL206">
        <v>0.31304200765929768</v>
      </c>
      <c r="AM206">
        <f t="shared" si="6"/>
        <v>42.716833601450169</v>
      </c>
      <c r="AN206">
        <f t="shared" si="7"/>
        <v>0.64259997896119525</v>
      </c>
    </row>
    <row r="207" spans="1:40" x14ac:dyDescent="0.35">
      <c r="A207" t="s">
        <v>258</v>
      </c>
      <c r="B207" t="s">
        <v>73</v>
      </c>
      <c r="C207">
        <v>1</v>
      </c>
      <c r="D207" t="s">
        <v>69</v>
      </c>
      <c r="E207">
        <v>4</v>
      </c>
      <c r="F207">
        <v>32</v>
      </c>
      <c r="G207" t="s">
        <v>8</v>
      </c>
      <c r="H207">
        <v>26</v>
      </c>
      <c r="I207">
        <v>30</v>
      </c>
      <c r="J207">
        <v>0.18340000000000001</v>
      </c>
      <c r="K207">
        <v>2.1000000000004349E-3</v>
      </c>
      <c r="L207">
        <v>6.5553012488048527E-4</v>
      </c>
      <c r="M207">
        <v>1.2697335143601501E-2</v>
      </c>
      <c r="N207">
        <v>6.4660590055319548E-3</v>
      </c>
      <c r="O207">
        <v>0.21078474357285715</v>
      </c>
      <c r="P207">
        <v>2.4296469792320394E-2</v>
      </c>
      <c r="Q207">
        <v>4.2916844478798982E-2</v>
      </c>
      <c r="R207">
        <v>7.3776708883038222E-3</v>
      </c>
      <c r="S207">
        <v>4.9037493383559064E-3</v>
      </c>
      <c r="T207">
        <v>8.6890292579560921E-2</v>
      </c>
      <c r="U207">
        <v>0.19913278681487828</v>
      </c>
      <c r="V207">
        <v>7.1515334976891137E-2</v>
      </c>
      <c r="W207">
        <v>1.6538001864522877E-2</v>
      </c>
      <c r="X207">
        <v>2.0382360106119919E-3</v>
      </c>
      <c r="Y207">
        <v>2.0696193175806089E-3</v>
      </c>
      <c r="Z207">
        <v>1.8156470000753194E-3</v>
      </c>
      <c r="AA207">
        <v>1.455660235737497E-2</v>
      </c>
      <c r="AB207">
        <v>3.080166106950457E-2</v>
      </c>
      <c r="AC207">
        <v>8.3845950366840845E-3</v>
      </c>
      <c r="AD207">
        <v>4.1991198359989025E-2</v>
      </c>
      <c r="AE207">
        <v>7.238394010566897E-4</v>
      </c>
      <c r="AF207">
        <v>1.832221174537483E-3</v>
      </c>
      <c r="AG207">
        <v>5.0867508255651901E-2</v>
      </c>
      <c r="AH207">
        <v>6.9098163830799697E-4</v>
      </c>
      <c r="AI207">
        <v>2.6418803594651439E-3</v>
      </c>
      <c r="AJ207">
        <v>6.5103357287380204E-3</v>
      </c>
      <c r="AK207">
        <v>1.9510881402938579E-2</v>
      </c>
      <c r="AL207">
        <v>0.2581075309837958</v>
      </c>
      <c r="AM207">
        <f t="shared" si="6"/>
        <v>53.653216984599148</v>
      </c>
      <c r="AN207">
        <f t="shared" si="7"/>
        <v>0.61434981280088086</v>
      </c>
    </row>
    <row r="208" spans="1:40" x14ac:dyDescent="0.35">
      <c r="A208" t="s">
        <v>259</v>
      </c>
      <c r="B208" t="s">
        <v>73</v>
      </c>
      <c r="C208">
        <v>1</v>
      </c>
      <c r="D208" t="s">
        <v>45</v>
      </c>
      <c r="E208">
        <v>4</v>
      </c>
      <c r="F208">
        <v>33</v>
      </c>
      <c r="G208" t="s">
        <v>12</v>
      </c>
      <c r="H208">
        <v>34</v>
      </c>
      <c r="I208">
        <v>38</v>
      </c>
      <c r="J208">
        <v>0.49130000000000001</v>
      </c>
      <c r="K208">
        <v>8.49999999999973E-3</v>
      </c>
      <c r="L208">
        <v>2.1784906094961388E-3</v>
      </c>
      <c r="M208">
        <v>3.7088667289272029E-2</v>
      </c>
      <c r="N208">
        <v>1.8567139436251261E-2</v>
      </c>
      <c r="O208">
        <v>0.62760962621329941</v>
      </c>
      <c r="P208">
        <v>2.1673775852822787E-2</v>
      </c>
      <c r="Q208">
        <v>0.12011011857107957</v>
      </c>
      <c r="R208">
        <v>3.5895720901775167E-2</v>
      </c>
      <c r="S208">
        <v>2.639305817043E-2</v>
      </c>
      <c r="T208">
        <v>0.26430785630246034</v>
      </c>
      <c r="U208">
        <v>0.45811007208284271</v>
      </c>
      <c r="V208">
        <v>0.20960111988978736</v>
      </c>
      <c r="W208">
        <v>7.3352160376034495E-2</v>
      </c>
      <c r="X208">
        <v>2.0076468190423941E-2</v>
      </c>
      <c r="Y208">
        <v>6.0574332571055288E-3</v>
      </c>
      <c r="Z208">
        <v>8.9692989988215885E-3</v>
      </c>
      <c r="AA208">
        <v>4.3378055411770679E-2</v>
      </c>
      <c r="AB208">
        <v>3.8765334499261297E-2</v>
      </c>
      <c r="AC208">
        <v>1.3880798817643845E-2</v>
      </c>
      <c r="AD208">
        <v>0.19931918249107741</v>
      </c>
      <c r="AE208">
        <v>6.2926131839391875E-3</v>
      </c>
      <c r="AF208">
        <v>7.1833252421511628E-3</v>
      </c>
      <c r="AG208">
        <v>0.18611255589206646</v>
      </c>
      <c r="AH208">
        <v>5.5589117062163551E-3</v>
      </c>
      <c r="AI208">
        <v>1.2547735028632099E-2</v>
      </c>
      <c r="AJ208">
        <v>3.7035952892154632E-2</v>
      </c>
      <c r="AK208">
        <v>6.0548148143645203E-2</v>
      </c>
      <c r="AL208">
        <v>0.63575843502741791</v>
      </c>
      <c r="AM208">
        <f t="shared" si="6"/>
        <v>37.369082993858598</v>
      </c>
      <c r="AN208">
        <f t="shared" si="7"/>
        <v>0.64652392722936691</v>
      </c>
    </row>
    <row r="209" spans="1:40" x14ac:dyDescent="0.35">
      <c r="A209" t="s">
        <v>260</v>
      </c>
      <c r="B209" t="s">
        <v>73</v>
      </c>
      <c r="C209">
        <v>1</v>
      </c>
      <c r="D209" t="s">
        <v>45</v>
      </c>
      <c r="E209">
        <v>4</v>
      </c>
      <c r="F209">
        <v>39</v>
      </c>
      <c r="G209" t="s">
        <v>12</v>
      </c>
      <c r="H209">
        <v>35</v>
      </c>
      <c r="I209">
        <v>41</v>
      </c>
      <c r="J209">
        <v>0.58099999999999996</v>
      </c>
      <c r="K209">
        <v>8.9999999999985647E-3</v>
      </c>
      <c r="L209">
        <v>1.9383752265679779E-3</v>
      </c>
      <c r="M209">
        <v>5.0413445121102109E-2</v>
      </c>
      <c r="N209">
        <v>2.3246083732512531E-2</v>
      </c>
      <c r="O209">
        <v>0.85135359735899097</v>
      </c>
      <c r="P209">
        <v>2.9568603240950404E-2</v>
      </c>
      <c r="Q209">
        <v>0.13566803614136083</v>
      </c>
      <c r="R209">
        <v>4.5086196142243136E-2</v>
      </c>
      <c r="S209">
        <v>2.2746980820902936E-2</v>
      </c>
      <c r="T209">
        <v>0.34147623555800133</v>
      </c>
      <c r="U209">
        <v>0.57684323673799787</v>
      </c>
      <c r="V209">
        <v>0.2396080370228072</v>
      </c>
      <c r="W209">
        <v>0.10180065245054749</v>
      </c>
      <c r="X209">
        <v>2.4381081105553461E-2</v>
      </c>
      <c r="Y209">
        <v>8.0841763254921387E-3</v>
      </c>
      <c r="Z209">
        <v>7.9973362639350828E-3</v>
      </c>
      <c r="AA209">
        <v>6.6941705969490381E-2</v>
      </c>
      <c r="AB209">
        <v>6.4084961473627272E-2</v>
      </c>
      <c r="AC209">
        <v>1.6934738938459638E-2</v>
      </c>
      <c r="AD209">
        <v>0.26028524102172423</v>
      </c>
      <c r="AE209">
        <v>6.8952965738729088E-3</v>
      </c>
      <c r="AF209">
        <v>1.0656471985604703E-2</v>
      </c>
      <c r="AG209">
        <v>0.27226384822403366</v>
      </c>
      <c r="AH209">
        <v>4.8182759278156372E-3</v>
      </c>
      <c r="AI209">
        <v>2.188548072020605E-2</v>
      </c>
      <c r="AJ209">
        <v>4.4219391914441859E-2</v>
      </c>
      <c r="AK209">
        <v>8.3374818673737361E-2</v>
      </c>
      <c r="AL209">
        <v>0.93131736450626623</v>
      </c>
      <c r="AM209">
        <f t="shared" si="6"/>
        <v>47.154329657543585</v>
      </c>
      <c r="AN209">
        <f t="shared" si="7"/>
        <v>0.73044572619246917</v>
      </c>
    </row>
    <row r="210" spans="1:40" x14ac:dyDescent="0.35">
      <c r="A210" t="s">
        <v>261</v>
      </c>
      <c r="B210" t="s">
        <v>73</v>
      </c>
      <c r="C210">
        <v>1</v>
      </c>
      <c r="D210" t="s">
        <v>45</v>
      </c>
      <c r="E210">
        <v>4</v>
      </c>
      <c r="F210">
        <v>39</v>
      </c>
      <c r="G210" t="s">
        <v>12</v>
      </c>
      <c r="H210">
        <v>35</v>
      </c>
      <c r="I210">
        <v>40</v>
      </c>
      <c r="J210">
        <v>0.59989999999999999</v>
      </c>
      <c r="K210">
        <v>9.1999999999998749E-3</v>
      </c>
      <c r="L210">
        <v>2.9855152622200874E-3</v>
      </c>
      <c r="M210">
        <v>5.5825481580652959E-2</v>
      </c>
      <c r="N210">
        <v>2.9720855132943157E-2</v>
      </c>
      <c r="O210">
        <v>0.89789135422714705</v>
      </c>
      <c r="P210">
        <v>3.3022759056640934E-2</v>
      </c>
      <c r="Q210">
        <v>0.16111730503305199</v>
      </c>
      <c r="R210">
        <v>5.789090544890383E-2</v>
      </c>
      <c r="S210">
        <v>3.1169616896972837E-2</v>
      </c>
      <c r="T210">
        <v>0.38594980515344607</v>
      </c>
      <c r="U210">
        <v>0.59124067665199587</v>
      </c>
      <c r="V210">
        <v>0.27870996014113236</v>
      </c>
      <c r="W210">
        <v>0.11109123829676738</v>
      </c>
      <c r="X210">
        <v>3.1481601771946095E-2</v>
      </c>
      <c r="Y210">
        <v>9.5145307355499406E-3</v>
      </c>
      <c r="Z210">
        <v>1.4211235039325294E-2</v>
      </c>
      <c r="AA210">
        <v>5.8103115160976992E-2</v>
      </c>
      <c r="AB210">
        <v>5.913507713146067E-2</v>
      </c>
      <c r="AC210">
        <v>2.3483533518295033E-2</v>
      </c>
      <c r="AD210">
        <v>0.28320668214004985</v>
      </c>
      <c r="AE210">
        <v>8.866022175244943E-3</v>
      </c>
      <c r="AF210">
        <v>1.3746389575033402E-2</v>
      </c>
      <c r="AG210">
        <v>0.28953139551794527</v>
      </c>
      <c r="AH210">
        <v>7.6263862727934941E-3</v>
      </c>
      <c r="AI210">
        <v>2.2937967967312942E-2</v>
      </c>
      <c r="AJ210">
        <v>5.332969857621303E-2</v>
      </c>
      <c r="AK210">
        <v>8.4864817753635316E-2</v>
      </c>
      <c r="AL210">
        <v>0.93063503081370624</v>
      </c>
      <c r="AM210">
        <f t="shared" si="6"/>
        <v>49.209662576428528</v>
      </c>
      <c r="AN210">
        <f t="shared" si="7"/>
        <v>0.75467393849497633</v>
      </c>
    </row>
    <row r="211" spans="1:40" x14ac:dyDescent="0.35">
      <c r="A211" t="s">
        <v>262</v>
      </c>
      <c r="B211" t="s">
        <v>73</v>
      </c>
      <c r="C211">
        <v>1</v>
      </c>
      <c r="D211" t="s">
        <v>49</v>
      </c>
      <c r="E211">
        <v>4</v>
      </c>
      <c r="F211">
        <v>34</v>
      </c>
      <c r="G211" t="s">
        <v>13</v>
      </c>
      <c r="H211">
        <v>30</v>
      </c>
      <c r="I211">
        <v>36</v>
      </c>
      <c r="J211">
        <v>0.38879999999999998</v>
      </c>
      <c r="K211">
        <v>3.6000000000004921E-3</v>
      </c>
      <c r="L211">
        <v>8.3333455416014575E-4</v>
      </c>
      <c r="M211">
        <v>1.4601287142124837E-2</v>
      </c>
      <c r="N211">
        <v>1.1020702117790337E-2</v>
      </c>
      <c r="O211">
        <v>0.31694302229436838</v>
      </c>
      <c r="P211">
        <v>2.4697972473549115E-2</v>
      </c>
      <c r="Q211">
        <v>5.4054469646862377E-2</v>
      </c>
      <c r="R211">
        <v>1.4527940389515411E-2</v>
      </c>
      <c r="S211">
        <v>1.0671322636378296E-2</v>
      </c>
      <c r="T211">
        <v>0.12709608397172195</v>
      </c>
      <c r="U211">
        <v>0.26284725396970382</v>
      </c>
      <c r="V211">
        <v>0.10119728169840193</v>
      </c>
      <c r="W211">
        <v>3.1415433213110223E-2</v>
      </c>
      <c r="X211">
        <v>7.0942535932634731E-3</v>
      </c>
      <c r="Y211">
        <v>3.0720180830486514E-3</v>
      </c>
      <c r="Z211">
        <v>3.7716795437259154E-3</v>
      </c>
      <c r="AA211">
        <v>1.8176833220112418E-2</v>
      </c>
      <c r="AB211">
        <v>7.905657449591362E-2</v>
      </c>
      <c r="AC211">
        <v>1.2629978003260007E-2</v>
      </c>
      <c r="AD211">
        <v>0.10151442508462072</v>
      </c>
      <c r="AE211">
        <v>2.2693684558966025E-3</v>
      </c>
      <c r="AF211">
        <v>3.5581353902366638E-3</v>
      </c>
      <c r="AG211">
        <v>9.3220798849578457E-2</v>
      </c>
      <c r="AH211">
        <v>1.0629826537170656E-3</v>
      </c>
      <c r="AI211">
        <v>5.3603765979392363E-3</v>
      </c>
      <c r="AJ211">
        <v>1.9554599604202985E-2</v>
      </c>
      <c r="AK211">
        <v>3.6920914544005951E-2</v>
      </c>
      <c r="AL211">
        <v>0.40554655751790775</v>
      </c>
      <c r="AM211">
        <f t="shared" si="6"/>
        <v>48.964322215135425</v>
      </c>
      <c r="AN211">
        <f t="shared" si="7"/>
        <v>0.45337335384390848</v>
      </c>
    </row>
    <row r="212" spans="1:40" x14ac:dyDescent="0.35">
      <c r="A212" t="s">
        <v>263</v>
      </c>
      <c r="B212" t="s">
        <v>73</v>
      </c>
      <c r="C212">
        <v>1</v>
      </c>
      <c r="D212" t="s">
        <v>49</v>
      </c>
      <c r="E212">
        <v>4</v>
      </c>
      <c r="F212">
        <v>34</v>
      </c>
      <c r="G212" t="s">
        <v>13</v>
      </c>
      <c r="H212">
        <v>28</v>
      </c>
      <c r="I212">
        <v>33</v>
      </c>
      <c r="J212">
        <v>0.2722</v>
      </c>
      <c r="K212">
        <v>5.1000000000005485E-3</v>
      </c>
      <c r="L212">
        <v>1.550228833617421E-3</v>
      </c>
      <c r="M212">
        <v>2.5503086037564654E-2</v>
      </c>
      <c r="N212">
        <v>1.5021443461007845E-2</v>
      </c>
      <c r="O212">
        <v>0.37653836050153994</v>
      </c>
      <c r="P212">
        <v>3.5959323919291665E-2</v>
      </c>
      <c r="Q212">
        <v>9.7496094593220964E-2</v>
      </c>
      <c r="R212">
        <v>1.7811412361502597E-2</v>
      </c>
      <c r="S212">
        <v>1.5465781518479294E-2</v>
      </c>
      <c r="T212">
        <v>0.14829678698717888</v>
      </c>
      <c r="U212">
        <v>0.36184441158341984</v>
      </c>
      <c r="V212">
        <v>0.14214790155261864</v>
      </c>
      <c r="W212">
        <v>3.9953167966952086E-2</v>
      </c>
      <c r="X212">
        <v>1.0965660778372728E-2</v>
      </c>
      <c r="Y212">
        <v>4.4163394920682351E-3</v>
      </c>
      <c r="Z212">
        <v>4.860153182173089E-3</v>
      </c>
      <c r="AA212">
        <v>2.3860631833143412E-2</v>
      </c>
      <c r="AB212">
        <v>4.6155285730038263E-2</v>
      </c>
      <c r="AC212">
        <v>8.9036493949599185E-3</v>
      </c>
      <c r="AD212">
        <v>0.10292817887846439</v>
      </c>
      <c r="AE212">
        <v>2.2269158793898403E-3</v>
      </c>
      <c r="AF212">
        <v>3.9126394323717225E-3</v>
      </c>
      <c r="AG212">
        <v>9.6269969996241739E-2</v>
      </c>
      <c r="AH212">
        <v>2.4292493563616594E-3</v>
      </c>
      <c r="AI212">
        <v>6.6634977599719239E-3</v>
      </c>
      <c r="AJ212">
        <v>1.9332321826674107E-2</v>
      </c>
      <c r="AK212">
        <v>3.78584017047605E-2</v>
      </c>
      <c r="AL212">
        <v>0.40297558892105784</v>
      </c>
      <c r="AM212">
        <f t="shared" si="6"/>
        <v>40.222480068278877</v>
      </c>
      <c r="AN212">
        <f t="shared" si="7"/>
        <v>0.75361737086055958</v>
      </c>
    </row>
    <row r="213" spans="1:40" x14ac:dyDescent="0.35">
      <c r="A213" t="s">
        <v>264</v>
      </c>
      <c r="B213" t="s">
        <v>73</v>
      </c>
      <c r="C213">
        <v>1</v>
      </c>
      <c r="D213" t="s">
        <v>49</v>
      </c>
      <c r="E213">
        <v>4</v>
      </c>
      <c r="F213">
        <v>34</v>
      </c>
      <c r="G213" t="s">
        <v>13</v>
      </c>
      <c r="H213">
        <v>28</v>
      </c>
      <c r="I213">
        <v>32</v>
      </c>
      <c r="J213">
        <v>0.27110000000000001</v>
      </c>
      <c r="K213">
        <v>5.0999999999987722E-3</v>
      </c>
      <c r="L213">
        <v>1.1905392931470303E-3</v>
      </c>
      <c r="M213">
        <v>2.020290077185628E-2</v>
      </c>
      <c r="N213">
        <v>1.4662683227436198E-2</v>
      </c>
      <c r="O213">
        <v>0.39705016317758629</v>
      </c>
      <c r="P213">
        <v>2.9864500873276825E-2</v>
      </c>
      <c r="Q213">
        <v>6.8339847354451755E-2</v>
      </c>
      <c r="R213">
        <v>1.641395314969191E-2</v>
      </c>
      <c r="S213">
        <v>1.0412668318135102E-2</v>
      </c>
      <c r="T213">
        <v>0.14102247261651457</v>
      </c>
      <c r="U213">
        <v>0.27532069088147149</v>
      </c>
      <c r="V213">
        <v>0.1062019459963771</v>
      </c>
      <c r="W213">
        <v>3.2536488001918669E-2</v>
      </c>
      <c r="X213">
        <v>7.3872468304317842E-3</v>
      </c>
      <c r="Y213">
        <v>3.7527674418826331E-3</v>
      </c>
      <c r="Z213">
        <v>3.0874624154029261E-3</v>
      </c>
      <c r="AA213">
        <v>1.3773744901050109E-2</v>
      </c>
      <c r="AB213">
        <v>5.9327899067492113E-2</v>
      </c>
      <c r="AC213">
        <v>1.0492302013909849E-2</v>
      </c>
      <c r="AD213">
        <v>0.10053017433252023</v>
      </c>
      <c r="AE213">
        <v>2.0171880308006472E-3</v>
      </c>
      <c r="AF213">
        <v>3.4155457821639008E-3</v>
      </c>
      <c r="AG213">
        <v>9.3885031488568235E-2</v>
      </c>
      <c r="AH213">
        <v>4.1424441464840597E-4</v>
      </c>
      <c r="AI213">
        <v>5.2768855106169353E-3</v>
      </c>
      <c r="AJ213">
        <v>1.7444603398707285E-2</v>
      </c>
      <c r="AK213">
        <v>3.2404001403608641E-2</v>
      </c>
      <c r="AL213">
        <v>0.37779660049699887</v>
      </c>
      <c r="AM213">
        <f t="shared" si="6"/>
        <v>36.161265709629596</v>
      </c>
      <c r="AN213">
        <f t="shared" si="7"/>
        <v>0.68027464079331079</v>
      </c>
    </row>
    <row r="214" spans="1:40" x14ac:dyDescent="0.35">
      <c r="A214" t="s">
        <v>265</v>
      </c>
      <c r="B214" t="s">
        <v>73</v>
      </c>
      <c r="C214">
        <v>1</v>
      </c>
      <c r="D214" t="s">
        <v>49</v>
      </c>
      <c r="E214">
        <v>4</v>
      </c>
      <c r="F214">
        <v>35</v>
      </c>
      <c r="G214" t="s">
        <v>13</v>
      </c>
      <c r="H214">
        <v>29</v>
      </c>
      <c r="I214">
        <v>33</v>
      </c>
      <c r="J214">
        <v>0.25169999999999998</v>
      </c>
      <c r="K214">
        <v>3.6000000000004917E-3</v>
      </c>
      <c r="L214">
        <v>9.5229007330079399E-4</v>
      </c>
      <c r="M214">
        <v>1.3252128331257882E-2</v>
      </c>
      <c r="N214">
        <v>9.0791836241350295E-3</v>
      </c>
      <c r="O214">
        <v>0.34191498125732572</v>
      </c>
      <c r="P214">
        <v>2.0368704001458911E-2</v>
      </c>
      <c r="Q214">
        <v>4.366273894855479E-2</v>
      </c>
      <c r="R214">
        <v>1.2184546027565593E-2</v>
      </c>
      <c r="S214">
        <v>7.1922037260574332E-3</v>
      </c>
      <c r="T214">
        <v>0.13096350227981532</v>
      </c>
      <c r="U214">
        <v>0.24110295244168992</v>
      </c>
      <c r="V214">
        <v>8.5688580566462932E-2</v>
      </c>
      <c r="W214">
        <v>2.3608549267707734E-2</v>
      </c>
      <c r="X214">
        <v>4.8295718103392978E-3</v>
      </c>
      <c r="Y214">
        <v>1.8662094843074171E-3</v>
      </c>
      <c r="Z214">
        <v>1.8446650837045553E-3</v>
      </c>
      <c r="AA214">
        <v>1.5532081489150664E-2</v>
      </c>
      <c r="AB214">
        <v>3.4440802465307098E-2</v>
      </c>
      <c r="AC214">
        <v>5.8963801271989047E-3</v>
      </c>
      <c r="AD214">
        <v>8.5237537089077928E-2</v>
      </c>
      <c r="AE214">
        <v>1.9035941085818705E-3</v>
      </c>
      <c r="AF214">
        <v>2.7257059581612402E-3</v>
      </c>
      <c r="AG214">
        <v>7.6166156948625816E-2</v>
      </c>
      <c r="AH214">
        <v>6.0163162785864879E-4</v>
      </c>
      <c r="AI214">
        <v>4.9432418491499657E-3</v>
      </c>
      <c r="AJ214">
        <v>1.7275799605266717E-2</v>
      </c>
      <c r="AK214">
        <v>2.9571990582806785E-2</v>
      </c>
      <c r="AL214">
        <v>0.42750976098120319</v>
      </c>
      <c r="AM214">
        <f t="shared" si="6"/>
        <v>45.564319159884676</v>
      </c>
      <c r="AN214">
        <f t="shared" si="7"/>
        <v>0.65169467213193188</v>
      </c>
    </row>
    <row r="215" spans="1:40" x14ac:dyDescent="0.35">
      <c r="A215" t="s">
        <v>266</v>
      </c>
      <c r="B215" t="s">
        <v>73</v>
      </c>
      <c r="C215">
        <v>1</v>
      </c>
      <c r="D215" t="s">
        <v>49</v>
      </c>
      <c r="E215">
        <v>4</v>
      </c>
      <c r="F215">
        <v>35</v>
      </c>
      <c r="G215" t="s">
        <v>13</v>
      </c>
      <c r="H215">
        <v>27</v>
      </c>
      <c r="I215">
        <v>31</v>
      </c>
      <c r="J215">
        <v>0.30940000000000001</v>
      </c>
      <c r="K215">
        <v>4.2000000000008688E-3</v>
      </c>
      <c r="L215">
        <v>1.2727187189094252E-3</v>
      </c>
      <c r="M215">
        <v>2.5899871305719298E-2</v>
      </c>
      <c r="N215">
        <v>1.6869667680366653E-2</v>
      </c>
      <c r="O215">
        <v>0.4259219668542194</v>
      </c>
      <c r="P215">
        <v>3.5214922221747109E-2</v>
      </c>
      <c r="Q215">
        <v>9.196362654250137E-2</v>
      </c>
      <c r="R215">
        <v>1.8998024855853488E-2</v>
      </c>
      <c r="S215">
        <v>1.3636331409153057E-2</v>
      </c>
      <c r="T215">
        <v>0.16408504719047634</v>
      </c>
      <c r="U215">
        <v>0.37656255972328767</v>
      </c>
      <c r="V215">
        <v>0.15134237547124382</v>
      </c>
      <c r="W215">
        <v>3.797714308150154E-2</v>
      </c>
      <c r="X215">
        <v>1.0429918179352014E-2</v>
      </c>
      <c r="Y215">
        <v>3.83572041618913E-3</v>
      </c>
      <c r="Z215">
        <v>4.0700113776949466E-3</v>
      </c>
      <c r="AA215">
        <v>2.2240549749346927E-2</v>
      </c>
      <c r="AB215">
        <v>1.4031366540665532E-3</v>
      </c>
      <c r="AC215">
        <v>8.5905488465553344E-3</v>
      </c>
      <c r="AD215">
        <v>0.1107845529932205</v>
      </c>
      <c r="AE215">
        <v>2.7456775583246701E-3</v>
      </c>
      <c r="AF215">
        <v>4.3156841305844401E-3</v>
      </c>
      <c r="AG215">
        <v>0.10227070834540862</v>
      </c>
      <c r="AH215">
        <v>2.0695764621781213E-3</v>
      </c>
      <c r="AI215">
        <v>6.4230549465432362E-3</v>
      </c>
      <c r="AJ215">
        <v>1.958923518237761E-2</v>
      </c>
      <c r="AK215">
        <v>3.5865764059939187E-2</v>
      </c>
      <c r="AL215">
        <v>0.42194072210533895</v>
      </c>
      <c r="AM215">
        <f t="shared" si="6"/>
        <v>50.388550382420519</v>
      </c>
      <c r="AN215">
        <f t="shared" si="7"/>
        <v>0.68400747125471861</v>
      </c>
    </row>
    <row r="216" spans="1:40" x14ac:dyDescent="0.35">
      <c r="A216" t="s">
        <v>267</v>
      </c>
      <c r="B216" t="s">
        <v>73</v>
      </c>
      <c r="C216">
        <v>1</v>
      </c>
      <c r="D216" t="s">
        <v>49</v>
      </c>
      <c r="E216">
        <v>4</v>
      </c>
      <c r="F216">
        <v>35</v>
      </c>
      <c r="G216" t="s">
        <v>13</v>
      </c>
      <c r="H216">
        <v>30</v>
      </c>
      <c r="I216">
        <v>36</v>
      </c>
      <c r="J216">
        <v>0.28860000000000002</v>
      </c>
      <c r="K216">
        <v>3.6000000000004921E-3</v>
      </c>
      <c r="L216">
        <v>7.9629544265771206E-4</v>
      </c>
      <c r="M216">
        <v>1.3637788913644892E-2</v>
      </c>
      <c r="N216">
        <v>9.1627285210221926E-3</v>
      </c>
      <c r="O216">
        <v>0.32246239677715421</v>
      </c>
      <c r="P216">
        <v>1.9991628537618239E-2</v>
      </c>
      <c r="Q216">
        <v>4.5860184972139818E-2</v>
      </c>
      <c r="R216">
        <v>1.2432241283813952E-2</v>
      </c>
      <c r="S216">
        <v>7.0723152847349622E-3</v>
      </c>
      <c r="T216">
        <v>0.12856732850419664</v>
      </c>
      <c r="U216">
        <v>0.24113281682103305</v>
      </c>
      <c r="V216">
        <v>8.8843211696100766E-2</v>
      </c>
      <c r="W216">
        <v>2.4162196411542852E-2</v>
      </c>
      <c r="X216">
        <v>4.7193684768639908E-3</v>
      </c>
      <c r="Y216">
        <v>1.7391127876038622E-3</v>
      </c>
      <c r="Z216">
        <v>2.1565974264261111E-3</v>
      </c>
      <c r="AA216">
        <v>1.4928778965787688E-2</v>
      </c>
      <c r="AB216">
        <v>2.1377758977814739E-2</v>
      </c>
      <c r="AC216">
        <v>6.5011680507960955E-3</v>
      </c>
      <c r="AD216">
        <v>7.8540883679425258E-2</v>
      </c>
      <c r="AE216">
        <v>1.7718262095687775E-3</v>
      </c>
      <c r="AF216">
        <v>2.7393605807920873E-3</v>
      </c>
      <c r="AG216">
        <v>7.4616522173097083E-2</v>
      </c>
      <c r="AH216">
        <v>1.1361176702247074E-3</v>
      </c>
      <c r="AI216">
        <v>4.3910441417434739E-3</v>
      </c>
      <c r="AJ216">
        <v>1.50884806592466E-2</v>
      </c>
      <c r="AK216">
        <v>2.8879489563080746E-2</v>
      </c>
      <c r="AL216">
        <v>0.38810035342167382</v>
      </c>
      <c r="AM216">
        <f t="shared" si="6"/>
        <v>43.355777665266409</v>
      </c>
      <c r="AN216">
        <f t="shared" si="7"/>
        <v>0.54082051141711851</v>
      </c>
    </row>
    <row r="217" spans="1:40" x14ac:dyDescent="0.35">
      <c r="A217" t="s">
        <v>268</v>
      </c>
      <c r="B217" t="s">
        <v>73</v>
      </c>
      <c r="C217">
        <v>1</v>
      </c>
      <c r="D217" t="s">
        <v>65</v>
      </c>
      <c r="E217">
        <v>4</v>
      </c>
      <c r="F217">
        <v>36</v>
      </c>
      <c r="G217" t="s">
        <v>7</v>
      </c>
      <c r="H217">
        <v>26</v>
      </c>
      <c r="I217">
        <v>30</v>
      </c>
      <c r="J217">
        <v>0.21890000000000001</v>
      </c>
      <c r="K217">
        <v>2.2999999999999687E-3</v>
      </c>
      <c r="L217">
        <v>6.4824214761916824E-4</v>
      </c>
      <c r="M217">
        <v>1.3584259292119632E-2</v>
      </c>
      <c r="N217">
        <v>4.6625701934375893E-3</v>
      </c>
      <c r="O217">
        <v>0.28077509883516993</v>
      </c>
      <c r="P217">
        <v>2.6292124314216313E-2</v>
      </c>
      <c r="Q217">
        <v>5.0497119647865879E-2</v>
      </c>
      <c r="R217">
        <v>9.9126756877697276E-3</v>
      </c>
      <c r="S217">
        <v>8.9626681244509825E-3</v>
      </c>
      <c r="T217">
        <v>0.11469830426500652</v>
      </c>
      <c r="U217">
        <v>0.2196963094784774</v>
      </c>
      <c r="V217">
        <v>7.5195987564899675E-2</v>
      </c>
      <c r="W217">
        <v>2.3404287851617446E-2</v>
      </c>
      <c r="X217">
        <v>3.067722706448275E-3</v>
      </c>
      <c r="Y217">
        <v>2.5925962077559313E-3</v>
      </c>
      <c r="Z217">
        <v>4.5248816824431867E-3</v>
      </c>
      <c r="AA217">
        <v>1.4063761287780696E-2</v>
      </c>
      <c r="AB217">
        <v>3.2058978539527383E-2</v>
      </c>
      <c r="AC217">
        <v>1.1371645797906432E-2</v>
      </c>
      <c r="AD217">
        <v>6.4055185200878759E-2</v>
      </c>
      <c r="AE217">
        <v>1.316542182696492E-3</v>
      </c>
      <c r="AF217">
        <v>2.9664007534318032E-3</v>
      </c>
      <c r="AG217">
        <v>5.2845009628632297E-2</v>
      </c>
      <c r="AH217">
        <v>2.8114049091665448E-4</v>
      </c>
      <c r="AI217">
        <v>3.9257771274746741E-3</v>
      </c>
      <c r="AJ217">
        <v>1.2522062970933666E-2</v>
      </c>
      <c r="AK217">
        <v>2.1373583316486776E-2</v>
      </c>
      <c r="AL217">
        <v>0.32153038183165017</v>
      </c>
      <c r="AM217">
        <f t="shared" si="6"/>
        <v>59.861970309897039</v>
      </c>
      <c r="AN217">
        <f t="shared" si="7"/>
        <v>0.62897456241553817</v>
      </c>
    </row>
    <row r="218" spans="1:40" x14ac:dyDescent="0.35">
      <c r="A218" t="s">
        <v>269</v>
      </c>
      <c r="B218" t="s">
        <v>73</v>
      </c>
      <c r="C218">
        <v>1</v>
      </c>
      <c r="D218" t="s">
        <v>65</v>
      </c>
      <c r="E218">
        <v>4</v>
      </c>
      <c r="F218">
        <v>36</v>
      </c>
      <c r="G218" t="s">
        <v>7</v>
      </c>
      <c r="H218">
        <v>28</v>
      </c>
      <c r="I218">
        <v>35</v>
      </c>
      <c r="J218">
        <v>0.24340000000000001</v>
      </c>
      <c r="K218">
        <v>3.899999999999793E-3</v>
      </c>
      <c r="L218">
        <v>7.0308409179410582E-4</v>
      </c>
      <c r="M218">
        <v>1.8022413401109268E-2</v>
      </c>
      <c r="N218">
        <v>5.3059228212136034E-3</v>
      </c>
      <c r="O218">
        <v>0.29210979863067249</v>
      </c>
      <c r="P218">
        <v>2.8030784299598387E-2</v>
      </c>
      <c r="Q218">
        <v>7.2917092558516569E-2</v>
      </c>
      <c r="R218">
        <v>1.0700466597512132E-2</v>
      </c>
      <c r="S218">
        <v>1.2809545827339001E-2</v>
      </c>
      <c r="T218">
        <v>0.11116367530085275</v>
      </c>
      <c r="U218">
        <v>0.27228996104510211</v>
      </c>
      <c r="V218">
        <v>0.10345303573367286</v>
      </c>
      <c r="W218">
        <v>3.0920872197908018E-2</v>
      </c>
      <c r="X218">
        <v>3.4953363591910917E-3</v>
      </c>
      <c r="Y218">
        <v>3.2159110485279036E-3</v>
      </c>
      <c r="Z218">
        <v>3.2498496080905718E-3</v>
      </c>
      <c r="AA218">
        <v>2.0538441700618894E-2</v>
      </c>
      <c r="AB218">
        <v>3.9489049830468526E-2</v>
      </c>
      <c r="AC218">
        <v>1.6545999537355496E-2</v>
      </c>
      <c r="AD218">
        <v>7.6944251986342166E-2</v>
      </c>
      <c r="AE218">
        <v>1.1877955079572925E-3</v>
      </c>
      <c r="AF218">
        <v>2.1959372833156451E-3</v>
      </c>
      <c r="AG218">
        <v>5.2698839212216589E-2</v>
      </c>
      <c r="AH218">
        <v>9.6689204107791441E-4</v>
      </c>
      <c r="AI218">
        <v>4.8973730801429314E-3</v>
      </c>
      <c r="AJ218">
        <v>1.4628070754217791E-2</v>
      </c>
      <c r="AK218">
        <v>2.5588505852752182E-2</v>
      </c>
      <c r="AL218">
        <v>0.30169035765469987</v>
      </c>
      <c r="AM218">
        <f t="shared" si="6"/>
        <v>39.122032409290945</v>
      </c>
      <c r="AN218">
        <f t="shared" si="7"/>
        <v>0.62685261461062691</v>
      </c>
    </row>
    <row r="219" spans="1:40" x14ac:dyDescent="0.35">
      <c r="A219" t="s">
        <v>270</v>
      </c>
      <c r="B219" t="s">
        <v>73</v>
      </c>
      <c r="C219">
        <v>1</v>
      </c>
      <c r="D219" t="s">
        <v>65</v>
      </c>
      <c r="E219">
        <v>4</v>
      </c>
      <c r="F219">
        <v>36</v>
      </c>
      <c r="G219" t="s">
        <v>7</v>
      </c>
      <c r="H219">
        <v>25</v>
      </c>
      <c r="I219">
        <v>30</v>
      </c>
      <c r="J219">
        <v>0.17829999999999999</v>
      </c>
      <c r="K219">
        <v>4.6000000000017138E-3</v>
      </c>
      <c r="L219">
        <v>1.0384118840651025E-3</v>
      </c>
      <c r="M219">
        <v>1.4451590848171799E-2</v>
      </c>
      <c r="N219">
        <v>4.2225361632919449E-3</v>
      </c>
      <c r="O219">
        <v>0.23796446408662356</v>
      </c>
      <c r="P219">
        <v>1.8705625429744608E-2</v>
      </c>
      <c r="Q219">
        <v>5.4546358031805318E-2</v>
      </c>
      <c r="R219">
        <v>7.8465052618221058E-3</v>
      </c>
      <c r="S219">
        <v>7.0139499469738849E-3</v>
      </c>
      <c r="T219">
        <v>8.0391279632145096E-2</v>
      </c>
      <c r="U219">
        <v>0.19733911203595675</v>
      </c>
      <c r="V219">
        <v>6.7205743913003504E-2</v>
      </c>
      <c r="W219">
        <v>2.214173705521838E-2</v>
      </c>
      <c r="X219">
        <v>3.1947100785874203E-3</v>
      </c>
      <c r="Y219">
        <v>2.5967257183775955E-3</v>
      </c>
      <c r="Z219">
        <v>1.2719792919751224E-3</v>
      </c>
      <c r="AA219">
        <v>1.0707875964214171E-2</v>
      </c>
      <c r="AB219">
        <v>2.0343510807874542E-3</v>
      </c>
      <c r="AC219">
        <v>9.0049542835906517E-3</v>
      </c>
      <c r="AD219">
        <v>4.062059329682581E-2</v>
      </c>
      <c r="AE219">
        <v>0</v>
      </c>
      <c r="AF219">
        <v>1.931471354891675E-3</v>
      </c>
      <c r="AG219">
        <v>3.8616251500464223E-2</v>
      </c>
      <c r="AH219">
        <v>0</v>
      </c>
      <c r="AI219">
        <v>2.9653187199664361E-3</v>
      </c>
      <c r="AJ219">
        <v>5.6478314973823617E-3</v>
      </c>
      <c r="AK219">
        <v>1.5071394256604954E-2</v>
      </c>
      <c r="AL219">
        <v>0.18194247152193366</v>
      </c>
      <c r="AM219">
        <f t="shared" si="6"/>
        <v>22.358113975087832</v>
      </c>
      <c r="AN219">
        <f t="shared" si="7"/>
        <v>0.57682178511184712</v>
      </c>
    </row>
    <row r="220" spans="1:40" x14ac:dyDescent="0.35">
      <c r="A220" t="s">
        <v>271</v>
      </c>
      <c r="B220" t="s">
        <v>73</v>
      </c>
      <c r="C220">
        <v>1</v>
      </c>
      <c r="D220" t="s">
        <v>53</v>
      </c>
      <c r="E220">
        <v>4</v>
      </c>
      <c r="F220">
        <v>37</v>
      </c>
      <c r="G220" t="s">
        <v>10</v>
      </c>
      <c r="H220">
        <v>29</v>
      </c>
      <c r="I220">
        <v>34</v>
      </c>
      <c r="J220">
        <v>0.22539999999999999</v>
      </c>
      <c r="K220">
        <v>3.3999999999991819E-3</v>
      </c>
      <c r="L220">
        <v>1.1106100442665632E-3</v>
      </c>
      <c r="M220">
        <v>1.2359601422860083E-2</v>
      </c>
      <c r="N220">
        <v>6.8106391086669472E-3</v>
      </c>
      <c r="O220">
        <v>0.29551415677856813</v>
      </c>
      <c r="P220">
        <v>1.8512582985934344E-2</v>
      </c>
      <c r="Q220">
        <v>3.7808309879052142E-2</v>
      </c>
      <c r="R220">
        <v>7.9978974118025004E-3</v>
      </c>
      <c r="S220">
        <v>3.0833039601032646E-3</v>
      </c>
      <c r="T220">
        <v>9.9613594706820921E-2</v>
      </c>
      <c r="U220">
        <v>0.18272214046121193</v>
      </c>
      <c r="V220">
        <v>6.0639952572018777E-2</v>
      </c>
      <c r="W220">
        <v>1.5094318392325223E-2</v>
      </c>
      <c r="X220">
        <v>2.2368284612482663E-3</v>
      </c>
      <c r="Y220">
        <v>1.2132722576607871E-3</v>
      </c>
      <c r="Z220">
        <v>1.0072974820092085E-3</v>
      </c>
      <c r="AA220">
        <v>7.5497760761118757E-3</v>
      </c>
      <c r="AB220">
        <v>6.5103018098744327E-3</v>
      </c>
      <c r="AC220">
        <v>6.4528852959580248E-3</v>
      </c>
      <c r="AD220">
        <v>5.7922887928838616E-2</v>
      </c>
      <c r="AE220">
        <v>0</v>
      </c>
      <c r="AF220">
        <v>2.2991380761348962E-3</v>
      </c>
      <c r="AG220">
        <v>4.8971362300731951E-2</v>
      </c>
      <c r="AH220">
        <v>0</v>
      </c>
      <c r="AI220">
        <v>1.8293074760130951E-3</v>
      </c>
      <c r="AJ220">
        <v>6.7643404634107271E-3</v>
      </c>
      <c r="AK220">
        <v>1.7252702393082516E-2</v>
      </c>
      <c r="AL220">
        <v>0.28714720187143561</v>
      </c>
      <c r="AM220">
        <f t="shared" si="6"/>
        <v>34.953659106365492</v>
      </c>
      <c r="AN220">
        <f t="shared" si="7"/>
        <v>0.52725129086785305</v>
      </c>
    </row>
    <row r="221" spans="1:40" x14ac:dyDescent="0.35">
      <c r="A221" t="s">
        <v>272</v>
      </c>
      <c r="B221" t="s">
        <v>73</v>
      </c>
      <c r="C221">
        <v>1</v>
      </c>
      <c r="D221" t="s">
        <v>53</v>
      </c>
      <c r="E221">
        <v>4</v>
      </c>
      <c r="F221">
        <v>37</v>
      </c>
      <c r="G221" t="s">
        <v>10</v>
      </c>
      <c r="H221">
        <v>29</v>
      </c>
      <c r="I221">
        <v>32</v>
      </c>
      <c r="J221">
        <v>0.2707</v>
      </c>
      <c r="K221">
        <v>6.0000000000002274E-3</v>
      </c>
      <c r="L221">
        <v>1.4947917202793818E-3</v>
      </c>
      <c r="M221">
        <v>2.5603090514409586E-2</v>
      </c>
      <c r="N221">
        <v>1.1657032827632979E-2</v>
      </c>
      <c r="O221">
        <v>0.34080835601466547</v>
      </c>
      <c r="P221">
        <v>3.4631645680757855E-2</v>
      </c>
      <c r="Q221">
        <v>8.9649758250807607E-2</v>
      </c>
      <c r="R221">
        <v>1.2553282006412331E-2</v>
      </c>
      <c r="S221">
        <v>1.3145614454694355E-2</v>
      </c>
      <c r="T221">
        <v>0.12379000245230865</v>
      </c>
      <c r="U221">
        <v>0.31309657554775794</v>
      </c>
      <c r="V221">
        <v>0.12004308797127469</v>
      </c>
      <c r="W221">
        <v>3.155438463704318E-2</v>
      </c>
      <c r="X221">
        <v>4.3216435917541882E-3</v>
      </c>
      <c r="Y221">
        <v>3.5949076751205715E-3</v>
      </c>
      <c r="Z221">
        <v>2.5788259799395096E-3</v>
      </c>
      <c r="AA221">
        <v>1.8943903893721182E-2</v>
      </c>
      <c r="AB221">
        <v>1.1247670458157862E-2</v>
      </c>
      <c r="AC221">
        <v>8.7554757630161576E-3</v>
      </c>
      <c r="AD221">
        <v>7.1470257734611756E-2</v>
      </c>
      <c r="AE221">
        <v>0</v>
      </c>
      <c r="AF221">
        <v>2.3952455487570431E-3</v>
      </c>
      <c r="AG221">
        <v>7.4384176856866921E-2</v>
      </c>
      <c r="AH221">
        <v>0</v>
      </c>
      <c r="AI221">
        <v>3.4138364703709644E-3</v>
      </c>
      <c r="AJ221">
        <v>1.1250673779370939E-2</v>
      </c>
      <c r="AK221">
        <v>2.6854041616586083E-2</v>
      </c>
      <c r="AL221">
        <v>0.30685508309087772</v>
      </c>
      <c r="AM221">
        <f t="shared" si="6"/>
        <v>27.734889408952192</v>
      </c>
      <c r="AN221">
        <f t="shared" si="7"/>
        <v>0.61473711286929977</v>
      </c>
    </row>
    <row r="222" spans="1:40" x14ac:dyDescent="0.35">
      <c r="A222" t="s">
        <v>273</v>
      </c>
      <c r="B222" t="s">
        <v>73</v>
      </c>
      <c r="C222">
        <v>1</v>
      </c>
      <c r="D222" t="s">
        <v>53</v>
      </c>
      <c r="E222">
        <v>4</v>
      </c>
      <c r="F222">
        <v>37</v>
      </c>
      <c r="G222" t="s">
        <v>10</v>
      </c>
      <c r="H222">
        <v>28</v>
      </c>
      <c r="I222">
        <v>31</v>
      </c>
      <c r="J222">
        <v>0.23380000000000001</v>
      </c>
      <c r="K222">
        <v>4.0999999999993264E-3</v>
      </c>
      <c r="L222">
        <v>8.5903979461856379E-4</v>
      </c>
      <c r="M222">
        <v>1.1767802644079792E-2</v>
      </c>
      <c r="N222">
        <v>6.251565899468018E-3</v>
      </c>
      <c r="O222">
        <v>0.25730193105985411</v>
      </c>
      <c r="P222">
        <v>1.9772552044559535E-2</v>
      </c>
      <c r="Q222">
        <v>4.0473949289743169E-2</v>
      </c>
      <c r="R222">
        <v>8.7683507274157226E-3</v>
      </c>
      <c r="S222">
        <v>5.0827581816984772E-3</v>
      </c>
      <c r="T222">
        <v>0.10638004159967961</v>
      </c>
      <c r="U222">
        <v>0.20207564473412543</v>
      </c>
      <c r="V222">
        <v>7.1093469694441691E-2</v>
      </c>
      <c r="W222">
        <v>1.9017186239447516E-2</v>
      </c>
      <c r="X222">
        <v>2.5508031482091493E-3</v>
      </c>
      <c r="Y222">
        <v>1.6587651150096082E-3</v>
      </c>
      <c r="Z222">
        <v>1.9134486274153687E-3</v>
      </c>
      <c r="AA222">
        <v>1.3159830437468578E-2</v>
      </c>
      <c r="AB222">
        <v>4.6407259063453018E-3</v>
      </c>
      <c r="AC222">
        <v>6.6020154287198193E-3</v>
      </c>
      <c r="AD222">
        <v>5.4939053785023208E-2</v>
      </c>
      <c r="AE222">
        <v>0</v>
      </c>
      <c r="AF222">
        <v>2.645848556895594E-3</v>
      </c>
      <c r="AG222">
        <v>6.0480867440026877E-2</v>
      </c>
      <c r="AH222">
        <v>0</v>
      </c>
      <c r="AI222">
        <v>2.6679440876073595E-3</v>
      </c>
      <c r="AJ222">
        <v>9.0317002548316889E-3</v>
      </c>
      <c r="AK222">
        <v>2.19242599334704E-2</v>
      </c>
      <c r="AL222">
        <v>0.30763321038437536</v>
      </c>
      <c r="AM222">
        <f t="shared" si="6"/>
        <v>30.212018658895939</v>
      </c>
      <c r="AN222">
        <f t="shared" si="7"/>
        <v>0.52980871044248512</v>
      </c>
    </row>
    <row r="223" spans="1:40" x14ac:dyDescent="0.35">
      <c r="A223" t="s">
        <v>274</v>
      </c>
      <c r="B223" t="s">
        <v>73</v>
      </c>
      <c r="C223">
        <v>1</v>
      </c>
      <c r="D223" t="s">
        <v>69</v>
      </c>
      <c r="E223">
        <v>4</v>
      </c>
      <c r="F223">
        <v>38</v>
      </c>
      <c r="G223" t="s">
        <v>8</v>
      </c>
      <c r="H223">
        <v>25</v>
      </c>
      <c r="I223">
        <v>30</v>
      </c>
      <c r="J223">
        <v>0.15010000000000001</v>
      </c>
      <c r="K223">
        <v>1.1000000000009891E-3</v>
      </c>
      <c r="L223">
        <v>5.4682885349014343E-4</v>
      </c>
      <c r="M223">
        <v>7.8413429660430783E-3</v>
      </c>
      <c r="N223">
        <v>4.3194983250871895E-3</v>
      </c>
      <c r="O223">
        <v>0.17645443014561082</v>
      </c>
      <c r="P223">
        <v>1.6667551639199432E-2</v>
      </c>
      <c r="Q223">
        <v>2.5306330845660349E-2</v>
      </c>
      <c r="R223">
        <v>5.5906672597034789E-3</v>
      </c>
      <c r="S223">
        <v>3.4033799029962552E-3</v>
      </c>
      <c r="T223">
        <v>7.365487039197316E-2</v>
      </c>
      <c r="U223">
        <v>0.14553103717915741</v>
      </c>
      <c r="V223">
        <v>4.8354410526576429E-2</v>
      </c>
      <c r="W223">
        <v>1.0771095389540943E-2</v>
      </c>
      <c r="X223">
        <v>1.2455666909338527E-3</v>
      </c>
      <c r="Y223">
        <v>9.1772469984525735E-4</v>
      </c>
      <c r="Z223">
        <v>1.1663961362917555E-3</v>
      </c>
      <c r="AA223">
        <v>8.4938003640849472E-3</v>
      </c>
      <c r="AB223">
        <v>6.2682849996875123E-3</v>
      </c>
      <c r="AC223">
        <v>5.1519570319999283E-3</v>
      </c>
      <c r="AD223">
        <v>3.5885486565029732E-2</v>
      </c>
      <c r="AE223">
        <v>0</v>
      </c>
      <c r="AF223">
        <v>1.5541123060305627E-3</v>
      </c>
      <c r="AG223">
        <v>3.986483277912075E-2</v>
      </c>
      <c r="AH223">
        <v>0</v>
      </c>
      <c r="AI223">
        <v>2.1555546031676778E-3</v>
      </c>
      <c r="AJ223">
        <v>4.4766750583573331E-3</v>
      </c>
      <c r="AK223">
        <v>1.4613157462987398E-2</v>
      </c>
      <c r="AL223">
        <v>0.22864489849341665</v>
      </c>
      <c r="AM223">
        <f t="shared" si="6"/>
        <v>78.989080965019156</v>
      </c>
      <c r="AN223">
        <f t="shared" si="7"/>
        <v>0.57886734884476476</v>
      </c>
    </row>
    <row r="224" spans="1:40" x14ac:dyDescent="0.35">
      <c r="A224" t="s">
        <v>275</v>
      </c>
      <c r="B224" t="s">
        <v>73</v>
      </c>
      <c r="C224">
        <v>1</v>
      </c>
      <c r="D224" t="s">
        <v>69</v>
      </c>
      <c r="E224">
        <v>4</v>
      </c>
      <c r="F224">
        <v>38</v>
      </c>
      <c r="G224" t="s">
        <v>8</v>
      </c>
      <c r="H224">
        <v>28</v>
      </c>
      <c r="I224">
        <v>34</v>
      </c>
      <c r="J224">
        <v>0.23960000000000001</v>
      </c>
      <c r="K224">
        <v>5.3999999999998494E-3</v>
      </c>
      <c r="L224">
        <v>7.2699160251223148E-4</v>
      </c>
      <c r="M224">
        <v>2.4609275190687702E-2</v>
      </c>
      <c r="N224">
        <v>9.9701688808528904E-3</v>
      </c>
      <c r="O224">
        <v>0.30539977601121132</v>
      </c>
      <c r="P224">
        <v>3.862412001798371E-2</v>
      </c>
      <c r="Q224">
        <v>9.6158836480303489E-2</v>
      </c>
      <c r="R224">
        <v>1.0022205265069455E-2</v>
      </c>
      <c r="S224">
        <v>1.1352419632517118E-2</v>
      </c>
      <c r="T224">
        <v>0.10983491358840997</v>
      </c>
      <c r="U224">
        <v>0.38463756420997347</v>
      </c>
      <c r="V224">
        <v>0.12133393875752287</v>
      </c>
      <c r="W224">
        <v>3.2285873596652637E-2</v>
      </c>
      <c r="X224">
        <v>1.0784526034877921E-2</v>
      </c>
      <c r="Y224">
        <v>4.2393716483043273E-3</v>
      </c>
      <c r="Z224">
        <v>3.0485358661780332E-3</v>
      </c>
      <c r="AA224">
        <v>2.7136046190220399E-2</v>
      </c>
      <c r="AB224">
        <v>1.5174040806589253E-2</v>
      </c>
      <c r="AC224">
        <v>8.862390499964342E-3</v>
      </c>
      <c r="AD224">
        <v>6.715450079600567E-2</v>
      </c>
      <c r="AE224">
        <v>0</v>
      </c>
      <c r="AF224">
        <v>8.4679437329110291E-3</v>
      </c>
      <c r="AG224">
        <v>7.6061887532176145E-2</v>
      </c>
      <c r="AH224">
        <v>0</v>
      </c>
      <c r="AI224">
        <v>5.6871436448021548E-3</v>
      </c>
      <c r="AJ224">
        <v>1.4050500900304169E-2</v>
      </c>
      <c r="AK224">
        <v>3.4531599085559105E-2</v>
      </c>
      <c r="AL224">
        <v>0.3227685800412583</v>
      </c>
      <c r="AM224">
        <f t="shared" si="6"/>
        <v>32.27635462986845</v>
      </c>
      <c r="AN224">
        <f t="shared" si="7"/>
        <v>0.72743036311053744</v>
      </c>
    </row>
    <row r="225" spans="1:40" x14ac:dyDescent="0.35">
      <c r="A225" t="s">
        <v>276</v>
      </c>
      <c r="B225" t="s">
        <v>73</v>
      </c>
      <c r="C225">
        <v>1</v>
      </c>
      <c r="D225" t="s">
        <v>69</v>
      </c>
      <c r="E225">
        <v>4</v>
      </c>
      <c r="F225">
        <v>38</v>
      </c>
      <c r="G225" t="s">
        <v>8</v>
      </c>
      <c r="H225">
        <v>28</v>
      </c>
      <c r="I225">
        <v>32</v>
      </c>
      <c r="J225">
        <v>0.27510000000000001</v>
      </c>
      <c r="K225">
        <v>6.0999999999999943E-3</v>
      </c>
      <c r="L225">
        <v>7.4963397642899472E-4</v>
      </c>
      <c r="M225">
        <v>2.0478256046938058E-2</v>
      </c>
      <c r="N225">
        <v>1.1359203025223192E-2</v>
      </c>
      <c r="O225">
        <v>0.31506805562765333</v>
      </c>
      <c r="P225">
        <v>3.7653694632106084E-2</v>
      </c>
      <c r="Q225">
        <v>7.7385556722335561E-2</v>
      </c>
      <c r="R225">
        <v>1.1651125667124578E-2</v>
      </c>
      <c r="S225">
        <v>9.9755467948192504E-3</v>
      </c>
      <c r="T225">
        <v>0.12017668710841885</v>
      </c>
      <c r="U225">
        <v>0.30614760825413923</v>
      </c>
      <c r="V225">
        <v>0.11664718259816204</v>
      </c>
      <c r="W225">
        <v>2.6497069368047708E-2</v>
      </c>
      <c r="X225">
        <v>3.6562470005153231E-3</v>
      </c>
      <c r="Y225">
        <v>2.5703554054528777E-3</v>
      </c>
      <c r="Z225">
        <v>2.9588590336018811E-3</v>
      </c>
      <c r="AA225">
        <v>2.0163009688802282E-2</v>
      </c>
      <c r="AB225">
        <v>1.0928909228090658E-2</v>
      </c>
      <c r="AC225">
        <v>1.1571771922896381E-2</v>
      </c>
      <c r="AD225">
        <v>5.9483564460579591E-2</v>
      </c>
      <c r="AE225">
        <v>0</v>
      </c>
      <c r="AF225">
        <v>2.4695146323218432E-3</v>
      </c>
      <c r="AG225">
        <v>5.654085942399014E-2</v>
      </c>
      <c r="AH225">
        <v>0</v>
      </c>
      <c r="AI225">
        <v>2.9633290437340882E-3</v>
      </c>
      <c r="AJ225">
        <v>7.3150609375422114E-3</v>
      </c>
      <c r="AK225">
        <v>2.3224867049930695E-2</v>
      </c>
      <c r="AL225">
        <v>0.31024458276355604</v>
      </c>
      <c r="AM225">
        <f t="shared" si="6"/>
        <v>25.702959842826438</v>
      </c>
      <c r="AN225">
        <f t="shared" si="7"/>
        <v>0.56993113428295572</v>
      </c>
    </row>
    <row r="226" spans="1:40" x14ac:dyDescent="0.35">
      <c r="A226" t="s">
        <v>277</v>
      </c>
      <c r="B226" t="s">
        <v>73</v>
      </c>
      <c r="C226">
        <v>1</v>
      </c>
      <c r="D226" t="s">
        <v>45</v>
      </c>
      <c r="E226">
        <v>4</v>
      </c>
      <c r="F226">
        <v>39</v>
      </c>
      <c r="G226" t="s">
        <v>12</v>
      </c>
      <c r="H226">
        <v>32</v>
      </c>
      <c r="I226">
        <v>35</v>
      </c>
      <c r="J226">
        <v>0.3523</v>
      </c>
      <c r="K226">
        <v>5.3999999999998494E-3</v>
      </c>
      <c r="L226">
        <v>1.9369496437938846E-3</v>
      </c>
      <c r="M226">
        <v>2.7193031835965647E-2</v>
      </c>
      <c r="N226">
        <v>1.4012273964915715E-2</v>
      </c>
      <c r="O226">
        <v>0.50638015045023155</v>
      </c>
      <c r="P226">
        <v>1.8142612176087224E-2</v>
      </c>
      <c r="Q226">
        <v>9.2766987066356388E-2</v>
      </c>
      <c r="R226">
        <v>2.9280242500003002E-2</v>
      </c>
      <c r="S226">
        <v>1.9364687750773692E-2</v>
      </c>
      <c r="T226">
        <v>0.2215314926410622</v>
      </c>
      <c r="U226">
        <v>0.38464179540489168</v>
      </c>
      <c r="V226">
        <v>0.16838628978476475</v>
      </c>
      <c r="W226">
        <v>5.9766326028676181E-2</v>
      </c>
      <c r="X226">
        <v>1.5894143233333026E-2</v>
      </c>
      <c r="Y226">
        <v>4.5562519963238636E-3</v>
      </c>
      <c r="Z226">
        <v>6.8524732933616436E-3</v>
      </c>
      <c r="AA226">
        <v>3.3719977915581512E-2</v>
      </c>
      <c r="AB226">
        <v>1.2310960445882382E-2</v>
      </c>
      <c r="AC226">
        <v>1.0762458642023609E-2</v>
      </c>
      <c r="AD226">
        <v>0.1663484413398445</v>
      </c>
      <c r="AE226">
        <v>0</v>
      </c>
      <c r="AF226">
        <v>6.9970579720166817E-3</v>
      </c>
      <c r="AG226">
        <v>0.15270786843912784</v>
      </c>
      <c r="AH226">
        <v>0</v>
      </c>
      <c r="AI226">
        <v>9.8361173279944356E-3</v>
      </c>
      <c r="AJ226">
        <v>3.071346125591096E-2</v>
      </c>
      <c r="AK226">
        <v>4.6014808352125111E-2</v>
      </c>
      <c r="AL226">
        <v>0.55676665129454828</v>
      </c>
      <c r="AM226">
        <f t="shared" si="6"/>
        <v>48.090435384364234</v>
      </c>
      <c r="AN226">
        <f t="shared" si="7"/>
        <v>0.73712276774215046</v>
      </c>
    </row>
    <row r="227" spans="1:40" x14ac:dyDescent="0.35">
      <c r="A227" t="s">
        <v>278</v>
      </c>
      <c r="B227" t="s">
        <v>73</v>
      </c>
      <c r="C227">
        <v>1</v>
      </c>
      <c r="D227" t="s">
        <v>45</v>
      </c>
      <c r="E227">
        <v>4</v>
      </c>
      <c r="F227">
        <v>39</v>
      </c>
      <c r="G227" t="s">
        <v>12</v>
      </c>
      <c r="H227">
        <v>32</v>
      </c>
      <c r="I227">
        <v>36</v>
      </c>
      <c r="J227">
        <v>0.30909999999999999</v>
      </c>
      <c r="K227">
        <v>6.9999999999996732E-3</v>
      </c>
      <c r="L227">
        <v>2.1100669475237464E-3</v>
      </c>
      <c r="M227">
        <v>2.5103014271038511E-2</v>
      </c>
      <c r="N227">
        <v>1.2315190518723075E-2</v>
      </c>
      <c r="O227">
        <v>0.44371116635166546</v>
      </c>
      <c r="P227">
        <v>1.6568932972952616E-2</v>
      </c>
      <c r="Q227">
        <v>9.5590437275696272E-2</v>
      </c>
      <c r="R227">
        <v>2.5331196987910105E-2</v>
      </c>
      <c r="S227">
        <v>1.9441364728597473E-2</v>
      </c>
      <c r="T227">
        <v>0.20147984414450651</v>
      </c>
      <c r="U227">
        <v>0.38726535818896368</v>
      </c>
      <c r="V227">
        <v>0.16729556091463293</v>
      </c>
      <c r="W227">
        <v>5.354466661238648E-2</v>
      </c>
      <c r="X227">
        <v>1.3644099610198697E-2</v>
      </c>
      <c r="Y227">
        <v>3.7163631604780257E-3</v>
      </c>
      <c r="Z227">
        <v>6.3837837889098538E-3</v>
      </c>
      <c r="AA227">
        <v>3.1259341487373832E-2</v>
      </c>
      <c r="AB227">
        <v>3.1579961289464283E-2</v>
      </c>
      <c r="AC227">
        <v>9.1188767306382632E-3</v>
      </c>
      <c r="AD227">
        <v>0.14592652151276991</v>
      </c>
      <c r="AE227">
        <v>0</v>
      </c>
      <c r="AF227">
        <v>4.8877748053127211E-3</v>
      </c>
      <c r="AG227">
        <v>0.11845747984847971</v>
      </c>
      <c r="AH227">
        <v>0</v>
      </c>
      <c r="AI227">
        <v>1.2034183513733681E-2</v>
      </c>
      <c r="AJ227">
        <v>2.9568888401782144E-2</v>
      </c>
      <c r="AK227">
        <v>4.6868300861632531E-2</v>
      </c>
      <c r="AL227">
        <v>0.49318282457396945</v>
      </c>
      <c r="AM227">
        <f t="shared" si="6"/>
        <v>34.234074278563597</v>
      </c>
      <c r="AN227">
        <f t="shared" si="7"/>
        <v>0.77527829165297313</v>
      </c>
    </row>
    <row r="228" spans="1:40" x14ac:dyDescent="0.35">
      <c r="A228" t="s">
        <v>279</v>
      </c>
      <c r="B228" t="s">
        <v>73</v>
      </c>
      <c r="C228">
        <v>1</v>
      </c>
      <c r="D228" t="s">
        <v>45</v>
      </c>
      <c r="E228">
        <v>4</v>
      </c>
      <c r="F228">
        <v>39</v>
      </c>
      <c r="G228" t="s">
        <v>12</v>
      </c>
      <c r="H228">
        <v>30</v>
      </c>
      <c r="I228">
        <v>34</v>
      </c>
      <c r="J228">
        <v>0.27239999999999998</v>
      </c>
      <c r="K228">
        <v>6.7000000000003732E-3</v>
      </c>
      <c r="L228">
        <v>1.4900584816076176E-3</v>
      </c>
      <c r="M228">
        <v>2.1817851574417561E-2</v>
      </c>
      <c r="N228">
        <v>1.1298463056352572E-2</v>
      </c>
      <c r="O228">
        <v>0.40827787452393943</v>
      </c>
      <c r="P228">
        <v>1.7266238662605397E-2</v>
      </c>
      <c r="Q228">
        <v>7.7533056957174287E-2</v>
      </c>
      <c r="R228">
        <v>2.1892165639625073E-2</v>
      </c>
      <c r="S228">
        <v>1.5685147669259696E-2</v>
      </c>
      <c r="T228">
        <v>0.1605856348871264</v>
      </c>
      <c r="U228">
        <v>0.29609583079461799</v>
      </c>
      <c r="V228">
        <v>0.12602667929443848</v>
      </c>
      <c r="W228">
        <v>4.1070556027139403E-2</v>
      </c>
      <c r="X228">
        <v>1.2518466024859152E-2</v>
      </c>
      <c r="Y228">
        <v>3.0258106703742161E-3</v>
      </c>
      <c r="Z228">
        <v>3.8693887525541896E-3</v>
      </c>
      <c r="AA228">
        <v>1.1009889233637311E-2</v>
      </c>
      <c r="AB228">
        <v>1.841258667069566E-2</v>
      </c>
      <c r="AC228">
        <v>6.646323988790657E-3</v>
      </c>
      <c r="AD228">
        <v>0.12937957071744446</v>
      </c>
      <c r="AE228">
        <v>0</v>
      </c>
      <c r="AF228">
        <v>4.8880859077184849E-3</v>
      </c>
      <c r="AG228">
        <v>0.10124757129390764</v>
      </c>
      <c r="AH228">
        <v>0</v>
      </c>
      <c r="AI228">
        <v>8.0154620913978087E-3</v>
      </c>
      <c r="AJ228">
        <v>2.2763286697021826E-2</v>
      </c>
      <c r="AK228">
        <v>3.8767897388538093E-2</v>
      </c>
      <c r="AL228">
        <v>0.38121675560990076</v>
      </c>
      <c r="AM228">
        <f t="shared" si="6"/>
        <v>28.96717391962741</v>
      </c>
      <c r="AN228">
        <f t="shared" si="7"/>
        <v>0.7124818842199504</v>
      </c>
    </row>
    <row r="229" spans="1:40" x14ac:dyDescent="0.35">
      <c r="A229" t="s">
        <v>280</v>
      </c>
      <c r="B229" t="s">
        <v>73</v>
      </c>
      <c r="C229">
        <v>1</v>
      </c>
      <c r="D229" t="s">
        <v>57</v>
      </c>
      <c r="E229">
        <v>4</v>
      </c>
      <c r="F229">
        <v>40</v>
      </c>
      <c r="G229" t="s">
        <v>9</v>
      </c>
      <c r="H229">
        <v>29</v>
      </c>
      <c r="I229">
        <v>32</v>
      </c>
      <c r="J229">
        <v>0.1744</v>
      </c>
      <c r="K229">
        <v>3.4999999999989484E-3</v>
      </c>
      <c r="L229">
        <v>6.6268084530470906E-4</v>
      </c>
      <c r="M229">
        <v>8.3498301526259127E-3</v>
      </c>
      <c r="N229">
        <v>3.897493345509337E-3</v>
      </c>
      <c r="O229">
        <v>0.19562568839955</v>
      </c>
      <c r="P229">
        <v>1.1878732568990413E-2</v>
      </c>
      <c r="Q229">
        <v>3.0806301302447076E-2</v>
      </c>
      <c r="R229">
        <v>7.9845132656278586E-3</v>
      </c>
      <c r="S229">
        <v>5.6175352988646846E-3</v>
      </c>
      <c r="T229">
        <v>8.5768294271496751E-2</v>
      </c>
      <c r="U229">
        <v>0.14860722063140969</v>
      </c>
      <c r="V229">
        <v>5.5014627794932984E-2</v>
      </c>
      <c r="W229">
        <v>1.6281142072718094E-2</v>
      </c>
      <c r="X229">
        <v>2.6698894032241519E-3</v>
      </c>
      <c r="Y229">
        <v>1.427622166560236E-3</v>
      </c>
      <c r="Z229">
        <v>1.7052682980053765E-3</v>
      </c>
      <c r="AA229">
        <v>9.3981784480252992E-3</v>
      </c>
      <c r="AB229">
        <v>7.1190257421747723E-3</v>
      </c>
      <c r="AC229">
        <v>5.3230848701987599E-3</v>
      </c>
      <c r="AD229">
        <v>4.9697605420754333E-2</v>
      </c>
      <c r="AE229">
        <v>0</v>
      </c>
      <c r="AF229">
        <v>1.684034847138835E-3</v>
      </c>
      <c r="AG229">
        <v>4.3010223509292747E-2</v>
      </c>
      <c r="AH229">
        <v>0</v>
      </c>
      <c r="AI229">
        <v>2.5298560455169847E-3</v>
      </c>
      <c r="AJ229">
        <v>8.8723084200675543E-3</v>
      </c>
      <c r="AK229">
        <v>1.6675910624241015E-2</v>
      </c>
      <c r="AL229">
        <v>0.23887910334506679</v>
      </c>
      <c r="AM229">
        <f t="shared" si="6"/>
        <v>27.413890602572355</v>
      </c>
      <c r="AN229">
        <f t="shared" si="7"/>
        <v>0.5501640889276056</v>
      </c>
    </row>
    <row r="230" spans="1:40" x14ac:dyDescent="0.35">
      <c r="A230" t="s">
        <v>281</v>
      </c>
      <c r="B230" t="s">
        <v>73</v>
      </c>
      <c r="C230">
        <v>1</v>
      </c>
      <c r="D230" t="s">
        <v>57</v>
      </c>
      <c r="E230">
        <v>4</v>
      </c>
      <c r="F230">
        <v>40</v>
      </c>
      <c r="G230" t="s">
        <v>9</v>
      </c>
      <c r="H230">
        <v>29</v>
      </c>
      <c r="I230">
        <v>32</v>
      </c>
      <c r="J230">
        <v>0.28689999999999999</v>
      </c>
      <c r="K230">
        <v>6.1999999999997621E-3</v>
      </c>
      <c r="L230">
        <v>1.2921529312504832E-3</v>
      </c>
      <c r="M230">
        <v>2.2212349751043324E-2</v>
      </c>
      <c r="N230">
        <v>9.4140444750216486E-3</v>
      </c>
      <c r="O230">
        <v>0.34154210309980165</v>
      </c>
      <c r="P230">
        <v>2.7649419746671747E-2</v>
      </c>
      <c r="Q230">
        <v>8.1957653365690067E-2</v>
      </c>
      <c r="R230">
        <v>1.2906372039491769E-2</v>
      </c>
      <c r="S230">
        <v>1.3074222762215808E-2</v>
      </c>
      <c r="T230">
        <v>0.12224213915114587</v>
      </c>
      <c r="U230">
        <v>0.30248700994909622</v>
      </c>
      <c r="V230">
        <v>0.11438172434618914</v>
      </c>
      <c r="W230">
        <v>3.3415724084596012E-2</v>
      </c>
      <c r="X230">
        <v>5.6160176794432422E-3</v>
      </c>
      <c r="Y230">
        <v>3.7840821044063892E-3</v>
      </c>
      <c r="Z230">
        <v>3.0256856526413257E-3</v>
      </c>
      <c r="AA230">
        <v>1.7798753946613236E-2</v>
      </c>
      <c r="AB230">
        <v>2.1662517375937988E-2</v>
      </c>
      <c r="AC230">
        <v>1.1433397434308495E-2</v>
      </c>
      <c r="AD230">
        <v>7.3564235351785537E-2</v>
      </c>
      <c r="AE230">
        <v>0</v>
      </c>
      <c r="AF230">
        <v>3.6559158782983664E-3</v>
      </c>
      <c r="AG230">
        <v>6.7000915667704136E-2</v>
      </c>
      <c r="AH230">
        <v>0</v>
      </c>
      <c r="AI230">
        <v>4.4005697358649202E-3</v>
      </c>
      <c r="AJ230">
        <v>1.3938168951508194E-2</v>
      </c>
      <c r="AK230">
        <v>2.7486841917711044E-2</v>
      </c>
      <c r="AL230">
        <v>0.27464907047104625</v>
      </c>
      <c r="AM230">
        <f t="shared" si="6"/>
        <v>25.977275610799111</v>
      </c>
      <c r="AN230">
        <f t="shared" si="7"/>
        <v>0.56137716551742178</v>
      </c>
    </row>
    <row r="231" spans="1:40" x14ac:dyDescent="0.35">
      <c r="A231" t="s">
        <v>282</v>
      </c>
      <c r="B231" t="s">
        <v>73</v>
      </c>
      <c r="C231">
        <v>1</v>
      </c>
      <c r="D231" t="s">
        <v>57</v>
      </c>
      <c r="E231">
        <v>4</v>
      </c>
      <c r="F231">
        <v>40</v>
      </c>
      <c r="G231" t="s">
        <v>9</v>
      </c>
      <c r="H231">
        <v>28</v>
      </c>
      <c r="I231">
        <v>32</v>
      </c>
      <c r="J231">
        <v>0.26829999999999998</v>
      </c>
      <c r="K231">
        <v>4.6999999999997044E-3</v>
      </c>
      <c r="L231">
        <v>6.822446159738309E-4</v>
      </c>
      <c r="M231">
        <v>1.4567221638718843E-2</v>
      </c>
      <c r="N231">
        <v>7.3872110551100097E-3</v>
      </c>
      <c r="O231">
        <v>0.30638511626189757</v>
      </c>
      <c r="P231">
        <v>1.9490741004828265E-2</v>
      </c>
      <c r="Q231">
        <v>6.1144995584334484E-2</v>
      </c>
      <c r="R231">
        <v>1.1389043192974055E-2</v>
      </c>
      <c r="S231">
        <v>1.2356353279727717E-2</v>
      </c>
      <c r="T231">
        <v>0.10901392279732905</v>
      </c>
      <c r="U231">
        <v>0.24783021256565774</v>
      </c>
      <c r="V231">
        <v>9.3766566270197457E-2</v>
      </c>
      <c r="W231">
        <v>2.765558158667622E-2</v>
      </c>
      <c r="X231">
        <v>4.0030589903044551E-3</v>
      </c>
      <c r="Y231">
        <v>2.8775422682913595E-3</v>
      </c>
      <c r="Z231">
        <v>2.4938126362992214E-3</v>
      </c>
      <c r="AA231">
        <v>1.0022948733534272E-2</v>
      </c>
      <c r="AB231">
        <v>6.9138523995040876E-3</v>
      </c>
      <c r="AC231">
        <v>9.0721610240388269E-3</v>
      </c>
      <c r="AD231">
        <v>8.080032973665871E-2</v>
      </c>
      <c r="AE231">
        <v>0</v>
      </c>
      <c r="AF231">
        <v>2.4942942045468584E-3</v>
      </c>
      <c r="AG231">
        <v>6.2154523154130982E-2</v>
      </c>
      <c r="AH231">
        <v>0</v>
      </c>
      <c r="AI231">
        <v>4.1523566129826042E-3</v>
      </c>
      <c r="AJ231">
        <v>1.4174938437375819E-2</v>
      </c>
      <c r="AK231">
        <v>2.6143124777686738E-2</v>
      </c>
      <c r="AL231">
        <v>0.2932106587908091</v>
      </c>
      <c r="AM231">
        <f t="shared" si="6"/>
        <v>30.429421523822942</v>
      </c>
      <c r="AN231">
        <f t="shared" si="7"/>
        <v>0.53305360105090882</v>
      </c>
    </row>
    <row r="232" spans="1:40" x14ac:dyDescent="0.35">
      <c r="A232" t="s">
        <v>283</v>
      </c>
      <c r="B232" t="s">
        <v>73</v>
      </c>
      <c r="C232">
        <v>1</v>
      </c>
      <c r="D232" t="s">
        <v>57</v>
      </c>
      <c r="E232">
        <v>4</v>
      </c>
      <c r="F232">
        <v>41</v>
      </c>
      <c r="G232" t="s">
        <v>9</v>
      </c>
      <c r="H232">
        <v>25</v>
      </c>
      <c r="I232">
        <v>29</v>
      </c>
      <c r="J232">
        <v>0.1943</v>
      </c>
      <c r="K232">
        <v>4.4999999999983933E-3</v>
      </c>
      <c r="L232">
        <v>6.2463074479967944E-4</v>
      </c>
      <c r="M232">
        <v>1.0036683723817004E-2</v>
      </c>
      <c r="N232">
        <v>4.7951226980891912E-3</v>
      </c>
      <c r="O232">
        <v>0.21460093061658322</v>
      </c>
      <c r="P232">
        <v>1.5210125349563362E-2</v>
      </c>
      <c r="Q232">
        <v>3.6155132458793447E-2</v>
      </c>
      <c r="R232">
        <v>8.3367718537407359E-3</v>
      </c>
      <c r="S232">
        <v>6.4518242079293128E-3</v>
      </c>
      <c r="T232">
        <v>8.4408223226429366E-2</v>
      </c>
      <c r="U232">
        <v>0.16830049452593088</v>
      </c>
      <c r="V232">
        <v>6.0828729250577203E-2</v>
      </c>
      <c r="W232">
        <v>1.713679097325331E-2</v>
      </c>
      <c r="X232">
        <v>2.8114421773550958E-3</v>
      </c>
      <c r="Y232">
        <v>1.6450275452137236E-3</v>
      </c>
      <c r="Z232">
        <v>1.9052813554340214E-3</v>
      </c>
      <c r="AA232">
        <v>9.3867708436826108E-3</v>
      </c>
      <c r="AB232">
        <v>1.0090114939541863E-2</v>
      </c>
      <c r="AC232">
        <v>6.2420561219385688E-3</v>
      </c>
      <c r="AD232">
        <v>4.9581762707948729E-2</v>
      </c>
      <c r="AE232">
        <v>0</v>
      </c>
      <c r="AF232">
        <v>2.7789828610768181E-3</v>
      </c>
      <c r="AG232">
        <v>4.4910144468257737E-2</v>
      </c>
      <c r="AH232">
        <v>0</v>
      </c>
      <c r="AI232">
        <v>2.4954793046535677E-3</v>
      </c>
      <c r="AJ232">
        <v>9.1812442654451085E-3</v>
      </c>
      <c r="AK232">
        <v>1.6784274551095026E-2</v>
      </c>
      <c r="AL232">
        <v>0.24002702193897793</v>
      </c>
      <c r="AM232">
        <f t="shared" si="6"/>
        <v>22.771668060233186</v>
      </c>
      <c r="AN232">
        <f t="shared" si="7"/>
        <v>0.527393238656782</v>
      </c>
    </row>
    <row r="233" spans="1:40" x14ac:dyDescent="0.35">
      <c r="A233" t="s">
        <v>284</v>
      </c>
      <c r="B233" t="s">
        <v>73</v>
      </c>
      <c r="C233">
        <v>1</v>
      </c>
      <c r="D233" t="s">
        <v>57</v>
      </c>
      <c r="E233">
        <v>4</v>
      </c>
      <c r="F233">
        <v>41</v>
      </c>
      <c r="G233" t="s">
        <v>9</v>
      </c>
      <c r="H233">
        <v>28</v>
      </c>
      <c r="I233">
        <v>31</v>
      </c>
      <c r="J233">
        <v>0.25180000000000002</v>
      </c>
      <c r="K233">
        <v>6.0999999999999943E-3</v>
      </c>
      <c r="L233">
        <v>9.0437404194029152E-4</v>
      </c>
      <c r="M233">
        <v>1.8478889054563359E-2</v>
      </c>
      <c r="N233">
        <v>7.6068456313418895E-3</v>
      </c>
      <c r="O233">
        <v>0.301005246811611</v>
      </c>
      <c r="P233">
        <v>2.2732457743922949E-2</v>
      </c>
      <c r="Q233">
        <v>7.5831118268356257E-2</v>
      </c>
      <c r="R233">
        <v>1.2672189529272862E-2</v>
      </c>
      <c r="S233">
        <v>1.3893242104579578E-2</v>
      </c>
      <c r="T233">
        <v>0.11749356772831941</v>
      </c>
      <c r="U233">
        <v>0.28251128607131731</v>
      </c>
      <c r="V233">
        <v>0.11276897696695903</v>
      </c>
      <c r="W233">
        <v>3.5458464308216156E-2</v>
      </c>
      <c r="X233">
        <v>5.8378270213334214E-3</v>
      </c>
      <c r="Y233">
        <v>4.3914737025661441E-3</v>
      </c>
      <c r="Z233">
        <v>3.7344338600090675E-3</v>
      </c>
      <c r="AA233">
        <v>1.7983528123683562E-2</v>
      </c>
      <c r="AB233">
        <v>8.2325392835044531E-3</v>
      </c>
      <c r="AC233">
        <v>1.0410507218720867E-2</v>
      </c>
      <c r="AD233">
        <v>8.5425121013152625E-2</v>
      </c>
      <c r="AE233">
        <v>0</v>
      </c>
      <c r="AF233">
        <v>3.3902818487241966E-3</v>
      </c>
      <c r="AG233">
        <v>6.8139391891803638E-2</v>
      </c>
      <c r="AH233">
        <v>0</v>
      </c>
      <c r="AI233">
        <v>6.5963319307634338E-3</v>
      </c>
      <c r="AJ233">
        <v>1.7763667402218793E-2</v>
      </c>
      <c r="AK233">
        <v>3.1411853373577547E-2</v>
      </c>
      <c r="AL233">
        <v>0.3277704192865819</v>
      </c>
      <c r="AM233">
        <f t="shared" si="6"/>
        <v>26.105639905197403</v>
      </c>
      <c r="AN233">
        <f t="shared" si="7"/>
        <v>0.63242415973671162</v>
      </c>
    </row>
    <row r="234" spans="1:40" x14ac:dyDescent="0.35">
      <c r="A234" t="s">
        <v>285</v>
      </c>
      <c r="B234" t="s">
        <v>73</v>
      </c>
      <c r="C234">
        <v>1</v>
      </c>
      <c r="D234" t="s">
        <v>57</v>
      </c>
      <c r="E234">
        <v>4</v>
      </c>
      <c r="F234">
        <v>41</v>
      </c>
      <c r="G234" t="s">
        <v>9</v>
      </c>
      <c r="H234">
        <v>28</v>
      </c>
      <c r="I234">
        <v>32</v>
      </c>
      <c r="J234">
        <v>0.2293</v>
      </c>
      <c r="K234">
        <v>6.5000000000008384E-3</v>
      </c>
      <c r="L234">
        <v>8.0608767785453426E-4</v>
      </c>
      <c r="M234">
        <v>1.4661804307179799E-2</v>
      </c>
      <c r="N234">
        <v>5.4961780799656548E-3</v>
      </c>
      <c r="O234">
        <v>0.24714645203655011</v>
      </c>
      <c r="P234">
        <v>1.7221887316272753E-2</v>
      </c>
      <c r="Q234">
        <v>6.3582264104836805E-2</v>
      </c>
      <c r="R234">
        <v>9.9326471758208173E-3</v>
      </c>
      <c r="S234">
        <v>1.0622534454268244E-2</v>
      </c>
      <c r="T234">
        <v>0.10086917015610153</v>
      </c>
      <c r="U234">
        <v>0.25347111305310738</v>
      </c>
      <c r="V234">
        <v>9.4508958332613011E-2</v>
      </c>
      <c r="W234">
        <v>2.8891958331654873E-2</v>
      </c>
      <c r="X234">
        <v>5.9987383504350603E-3</v>
      </c>
      <c r="Y234">
        <v>3.5445912471613822E-3</v>
      </c>
      <c r="Z234">
        <v>2.6099057945274174E-3</v>
      </c>
      <c r="AA234">
        <v>1.5103444141679839E-2</v>
      </c>
      <c r="AB234">
        <v>1.1204902828696977E-2</v>
      </c>
      <c r="AC234">
        <v>8.0430722145865691E-3</v>
      </c>
      <c r="AD234">
        <v>7.6772105038929048E-2</v>
      </c>
      <c r="AE234">
        <v>0</v>
      </c>
      <c r="AF234">
        <v>3.8218325528666204E-3</v>
      </c>
      <c r="AG234">
        <v>6.1083809715118231E-2</v>
      </c>
      <c r="AH234">
        <v>0</v>
      </c>
      <c r="AI234">
        <v>5.6149029449223684E-3</v>
      </c>
      <c r="AJ234">
        <v>1.6668187872392513E-2</v>
      </c>
      <c r="AK234">
        <v>2.6853548213396986E-2</v>
      </c>
      <c r="AL234">
        <v>0.29737277703832787</v>
      </c>
      <c r="AM234">
        <f t="shared" si="6"/>
        <v>21.260044199678276</v>
      </c>
      <c r="AN234">
        <f t="shared" si="7"/>
        <v>0.60266152332283751</v>
      </c>
    </row>
    <row r="235" spans="1:40" x14ac:dyDescent="0.35">
      <c r="A235" t="s">
        <v>286</v>
      </c>
      <c r="B235" t="s">
        <v>73</v>
      </c>
      <c r="C235">
        <v>1</v>
      </c>
      <c r="D235" t="s">
        <v>65</v>
      </c>
      <c r="E235">
        <v>4</v>
      </c>
      <c r="F235">
        <v>42</v>
      </c>
      <c r="G235" t="s">
        <v>7</v>
      </c>
      <c r="H235">
        <v>30</v>
      </c>
      <c r="I235">
        <v>34</v>
      </c>
      <c r="J235">
        <v>0.27129999999999999</v>
      </c>
      <c r="K235">
        <v>5.6999999999991493E-3</v>
      </c>
      <c r="L235">
        <v>5.4412888654353135E-4</v>
      </c>
      <c r="M235">
        <v>1.7047394596950465E-2</v>
      </c>
      <c r="N235">
        <v>5.0935591074738225E-3</v>
      </c>
      <c r="O235">
        <v>0.29217306852167668</v>
      </c>
      <c r="P235">
        <v>2.469720045225015E-2</v>
      </c>
      <c r="Q235">
        <v>6.531359010226731E-2</v>
      </c>
      <c r="R235">
        <v>1.0410325676091868E-2</v>
      </c>
      <c r="S235">
        <v>1.1169587418223466E-2</v>
      </c>
      <c r="T235">
        <v>0.11717978348057571</v>
      </c>
      <c r="U235">
        <v>0.29489400993292869</v>
      </c>
      <c r="V235">
        <v>0.10897090349465141</v>
      </c>
      <c r="W235">
        <v>3.2752309768945012E-2</v>
      </c>
      <c r="X235">
        <v>4.7014350718472351E-3</v>
      </c>
      <c r="Y235">
        <v>3.2368412841365206E-3</v>
      </c>
      <c r="Z235">
        <v>2.3631384624625321E-3</v>
      </c>
      <c r="AA235">
        <v>2.2429143279467739E-2</v>
      </c>
      <c r="AB235">
        <v>3.2849758860453234E-3</v>
      </c>
      <c r="AC235">
        <v>1.4088420877176268E-2</v>
      </c>
      <c r="AD235">
        <v>8.8124390930636759E-2</v>
      </c>
      <c r="AE235">
        <v>0</v>
      </c>
      <c r="AF235">
        <v>3.9270836095908149E-3</v>
      </c>
      <c r="AG235">
        <v>6.703272659972187E-2</v>
      </c>
      <c r="AH235">
        <v>0</v>
      </c>
      <c r="AI235">
        <v>6.0882365364463729E-3</v>
      </c>
      <c r="AJ235">
        <v>2.299976746714533E-2</v>
      </c>
      <c r="AK235">
        <v>2.9563322161076676E-2</v>
      </c>
      <c r="AL235">
        <v>0.36232586765639896</v>
      </c>
      <c r="AM235">
        <f t="shared" si="6"/>
        <v>28.252828267736334</v>
      </c>
      <c r="AN235">
        <f t="shared" si="7"/>
        <v>0.59359056810200173</v>
      </c>
    </row>
    <row r="236" spans="1:40" x14ac:dyDescent="0.35">
      <c r="A236" t="s">
        <v>287</v>
      </c>
      <c r="B236" t="s">
        <v>73</v>
      </c>
      <c r="C236">
        <v>1</v>
      </c>
      <c r="D236" t="s">
        <v>65</v>
      </c>
      <c r="E236">
        <v>4</v>
      </c>
      <c r="F236">
        <v>42</v>
      </c>
      <c r="G236" t="s">
        <v>7</v>
      </c>
      <c r="H236">
        <v>30</v>
      </c>
      <c r="I236">
        <v>35</v>
      </c>
      <c r="J236">
        <v>0.30199999999999999</v>
      </c>
      <c r="K236">
        <v>6.6000000000006045E-3</v>
      </c>
      <c r="L236">
        <v>6.6177314541796374E-4</v>
      </c>
      <c r="M236">
        <v>2.5786692504200105E-2</v>
      </c>
      <c r="N236">
        <v>6.8035512904956793E-3</v>
      </c>
      <c r="O236">
        <v>0.35726090652921599</v>
      </c>
      <c r="P236">
        <v>2.5569526486514643E-2</v>
      </c>
      <c r="Q236">
        <v>8.3481407611049968E-2</v>
      </c>
      <c r="R236">
        <v>1.5029947527830394E-2</v>
      </c>
      <c r="S236">
        <v>1.3922423308015425E-2</v>
      </c>
      <c r="T236">
        <v>0.14692990888132867</v>
      </c>
      <c r="U236">
        <v>0.34956992839991863</v>
      </c>
      <c r="V236">
        <v>0.12125200366216139</v>
      </c>
      <c r="W236">
        <v>5.6339332371788287E-2</v>
      </c>
      <c r="X236">
        <v>7.0639012947663286E-3</v>
      </c>
      <c r="Y236">
        <v>5.7002351601965796E-3</v>
      </c>
      <c r="Z236">
        <v>4.2964185404644958E-3</v>
      </c>
      <c r="AA236">
        <v>4.4701033497081974E-2</v>
      </c>
      <c r="AB236">
        <v>2.6570224472721657E-2</v>
      </c>
      <c r="AC236">
        <v>1.7379951032443781E-2</v>
      </c>
      <c r="AD236">
        <v>8.3543885483789215E-2</v>
      </c>
      <c r="AE236">
        <v>0</v>
      </c>
      <c r="AF236">
        <v>5.3319966861295068E-3</v>
      </c>
      <c r="AG236">
        <v>8.1192789101558846E-2</v>
      </c>
      <c r="AH236">
        <v>0</v>
      </c>
      <c r="AI236">
        <v>4.3897523317169554E-3</v>
      </c>
      <c r="AJ236">
        <v>1.6992817010793314E-2</v>
      </c>
      <c r="AK236">
        <v>3.2638442761747696E-2</v>
      </c>
      <c r="AL236">
        <v>0.39966966497300427</v>
      </c>
      <c r="AM236">
        <f t="shared" si="6"/>
        <v>29.273916879760232</v>
      </c>
      <c r="AN236">
        <f t="shared" si="7"/>
        <v>0.63976109737230202</v>
      </c>
    </row>
    <row r="237" spans="1:40" x14ac:dyDescent="0.35">
      <c r="A237" t="s">
        <v>288</v>
      </c>
      <c r="B237" t="s">
        <v>73</v>
      </c>
      <c r="C237">
        <v>1</v>
      </c>
      <c r="D237" t="s">
        <v>65</v>
      </c>
      <c r="E237">
        <v>4</v>
      </c>
      <c r="F237">
        <v>42</v>
      </c>
      <c r="G237" t="s">
        <v>7</v>
      </c>
      <c r="H237">
        <v>28</v>
      </c>
      <c r="I237">
        <v>32</v>
      </c>
      <c r="J237">
        <v>0.28100000000000003</v>
      </c>
      <c r="K237">
        <v>6.5000000000008384E-3</v>
      </c>
      <c r="L237">
        <v>6.0163693490046131E-4</v>
      </c>
      <c r="M237">
        <v>9.8233879004781775E-3</v>
      </c>
      <c r="N237">
        <v>3.3069081998297863E-3</v>
      </c>
      <c r="O237">
        <v>0.23513166534326363</v>
      </c>
      <c r="P237">
        <v>1.9095553668268025E-2</v>
      </c>
      <c r="Q237">
        <v>3.686387538082566E-2</v>
      </c>
      <c r="R237">
        <v>7.5786754412652101E-3</v>
      </c>
      <c r="S237">
        <v>6.728657681990869E-3</v>
      </c>
      <c r="T237">
        <v>9.9419191649958591E-2</v>
      </c>
      <c r="U237">
        <v>0.18999350561265907</v>
      </c>
      <c r="V237">
        <v>6.4552176646534537E-2</v>
      </c>
      <c r="W237">
        <v>1.914954949965365E-2</v>
      </c>
      <c r="X237">
        <v>2.3597460115670045E-3</v>
      </c>
      <c r="Y237">
        <v>1.9416388246210389E-3</v>
      </c>
      <c r="Z237">
        <v>2.6034562766385359E-3</v>
      </c>
      <c r="AA237">
        <v>1.2140209629468894E-2</v>
      </c>
      <c r="AB237">
        <v>1.471557846028577E-2</v>
      </c>
      <c r="AC237">
        <v>8.685606007172433E-3</v>
      </c>
      <c r="AD237">
        <v>6.2831784539328459E-2</v>
      </c>
      <c r="AE237">
        <v>0</v>
      </c>
      <c r="AF237">
        <v>2.7973926395737326E-3</v>
      </c>
      <c r="AG237">
        <v>4.3964014769248501E-2</v>
      </c>
      <c r="AH237">
        <v>0</v>
      </c>
      <c r="AI237">
        <v>4.0877007396674511E-3</v>
      </c>
      <c r="AJ237">
        <v>1.1933287028747925E-2</v>
      </c>
      <c r="AK237">
        <v>2.2938005982682034E-2</v>
      </c>
      <c r="AL237">
        <v>0.33098581827661555</v>
      </c>
      <c r="AM237">
        <f t="shared" si="6"/>
        <v>18.68044650992444</v>
      </c>
      <c r="AN237">
        <f t="shared" si="7"/>
        <v>0.43210997264955342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23D8A-F093-4AB1-BE45-AD4E8C484929}">
  <dimension ref="A1:AL237"/>
  <sheetViews>
    <sheetView workbookViewId="0">
      <pane ySplit="1" topLeftCell="A2" activePane="bottomLeft" state="frozen"/>
      <selection pane="bottomLeft" activeCell="G22" sqref="G2:G22"/>
    </sheetView>
  </sheetViews>
  <sheetFormatPr defaultRowHeight="14.5" x14ac:dyDescent="0.35"/>
  <cols>
    <col min="1" max="1" width="12.81640625" bestFit="1" customWidth="1"/>
    <col min="4" max="4" width="22.6328125" customWidth="1"/>
    <col min="6" max="6" width="9.08984375" bestFit="1" customWidth="1"/>
    <col min="7" max="7" width="9.81640625" bestFit="1" customWidth="1"/>
    <col min="8" max="8" width="19.54296875" bestFit="1" customWidth="1"/>
    <col min="9" max="9" width="16.08984375" bestFit="1" customWidth="1"/>
    <col min="10" max="10" width="9.81640625" bestFit="1" customWidth="1"/>
    <col min="11" max="11" width="19.7265625" bestFit="1" customWidth="1"/>
  </cols>
  <sheetData>
    <row r="1" spans="1:38" x14ac:dyDescent="0.35">
      <c r="A1" t="s">
        <v>14</v>
      </c>
      <c r="B1" t="s">
        <v>15</v>
      </c>
      <c r="C1" t="s">
        <v>16</v>
      </c>
      <c r="D1" t="s">
        <v>1</v>
      </c>
      <c r="E1" t="s">
        <v>2</v>
      </c>
      <c r="F1" t="s">
        <v>0</v>
      </c>
      <c r="G1" t="s">
        <v>312</v>
      </c>
      <c r="H1" t="s">
        <v>3</v>
      </c>
      <c r="I1" t="s">
        <v>4</v>
      </c>
      <c r="J1" t="s">
        <v>5</v>
      </c>
      <c r="K1" t="s">
        <v>309</v>
      </c>
      <c r="L1" t="s">
        <v>17</v>
      </c>
      <c r="M1" t="s">
        <v>18</v>
      </c>
      <c r="N1" t="s">
        <v>19</v>
      </c>
      <c r="O1" t="s">
        <v>20</v>
      </c>
      <c r="P1" t="s">
        <v>21</v>
      </c>
      <c r="Q1" t="s">
        <v>22</v>
      </c>
      <c r="R1" t="s">
        <v>23</v>
      </c>
      <c r="S1" t="s">
        <v>24</v>
      </c>
      <c r="T1" t="s">
        <v>25</v>
      </c>
      <c r="U1" t="s">
        <v>26</v>
      </c>
      <c r="V1" t="s">
        <v>27</v>
      </c>
      <c r="W1" t="s">
        <v>28</v>
      </c>
      <c r="X1" t="s">
        <v>29</v>
      </c>
      <c r="Y1" t="s">
        <v>30</v>
      </c>
      <c r="Z1" t="s">
        <v>31</v>
      </c>
      <c r="AA1" t="s">
        <v>32</v>
      </c>
      <c r="AB1" t="s">
        <v>33</v>
      </c>
      <c r="AC1" t="s">
        <v>34</v>
      </c>
      <c r="AD1" t="s">
        <v>35</v>
      </c>
      <c r="AE1" t="s">
        <v>36</v>
      </c>
      <c r="AF1" t="s">
        <v>37</v>
      </c>
      <c r="AG1" t="s">
        <v>38</v>
      </c>
      <c r="AH1" t="s">
        <v>39</v>
      </c>
      <c r="AI1" t="s">
        <v>40</v>
      </c>
      <c r="AJ1" t="s">
        <v>41</v>
      </c>
      <c r="AK1" t="s">
        <v>42</v>
      </c>
      <c r="AL1" t="s">
        <v>43</v>
      </c>
    </row>
    <row r="2" spans="1:38" x14ac:dyDescent="0.35">
      <c r="A2" t="s">
        <v>44</v>
      </c>
      <c r="B2" t="s">
        <v>1</v>
      </c>
      <c r="C2" t="s">
        <v>6</v>
      </c>
      <c r="D2" t="s">
        <v>45</v>
      </c>
      <c r="E2" t="s">
        <v>1</v>
      </c>
      <c r="F2" t="s">
        <v>6</v>
      </c>
      <c r="G2" t="s">
        <v>12</v>
      </c>
      <c r="H2" t="s">
        <v>6</v>
      </c>
      <c r="I2" t="s">
        <v>6</v>
      </c>
      <c r="J2">
        <v>0.79100000000000004</v>
      </c>
      <c r="K2">
        <v>5.461441213653603</v>
      </c>
      <c r="L2">
        <v>6.4237142089224583E-2</v>
      </c>
      <c r="M2">
        <v>1.7352818060004505</v>
      </c>
      <c r="N2">
        <v>0.80250632131956479</v>
      </c>
      <c r="O2">
        <v>17.213262787851281</v>
      </c>
      <c r="P2">
        <v>0.37435805743732803</v>
      </c>
      <c r="Q2">
        <v>6.2353794136253677</v>
      </c>
      <c r="R2">
        <v>1.6579648677119387</v>
      </c>
      <c r="S2">
        <v>0.99389701607686487</v>
      </c>
      <c r="T2">
        <v>8.9038713818421105</v>
      </c>
      <c r="U2">
        <v>12.021876596737828</v>
      </c>
      <c r="V2">
        <v>7.7458221138203562</v>
      </c>
      <c r="W2">
        <v>3.858786314132761</v>
      </c>
      <c r="X2">
        <v>2.6624373503923668</v>
      </c>
      <c r="Y2">
        <v>0.34854964805338995</v>
      </c>
      <c r="Z2">
        <v>0.5645939976709986</v>
      </c>
      <c r="AA2">
        <v>0.91225000133844225</v>
      </c>
      <c r="AB2">
        <v>0.6843150199082817</v>
      </c>
      <c r="AC2">
        <v>0.23549148857361291</v>
      </c>
      <c r="AD2">
        <v>7.5593783429118746</v>
      </c>
      <c r="AE2">
        <v>0.39416447584634567</v>
      </c>
      <c r="AF2">
        <v>0.31152261124225483</v>
      </c>
      <c r="AG2">
        <v>13.712972596318998</v>
      </c>
      <c r="AH2">
        <v>0.29673902079184605</v>
      </c>
      <c r="AI2">
        <v>0.48648360842146582</v>
      </c>
      <c r="AJ2">
        <v>1.3161944687177354</v>
      </c>
      <c r="AK2">
        <v>1.4550443386772962</v>
      </c>
      <c r="AL2">
        <v>7.4526192124900019</v>
      </c>
    </row>
    <row r="3" spans="1:38" x14ac:dyDescent="0.35">
      <c r="A3" t="s">
        <v>46</v>
      </c>
      <c r="B3" t="s">
        <v>1</v>
      </c>
      <c r="C3" t="s">
        <v>6</v>
      </c>
      <c r="D3" t="s">
        <v>45</v>
      </c>
      <c r="E3" t="s">
        <v>1</v>
      </c>
      <c r="F3" t="s">
        <v>6</v>
      </c>
      <c r="G3" t="s">
        <v>12</v>
      </c>
      <c r="H3" t="s">
        <v>6</v>
      </c>
      <c r="I3" t="s">
        <v>6</v>
      </c>
      <c r="J3">
        <v>0.76910000000000001</v>
      </c>
      <c r="K3">
        <v>5.4089195163177735</v>
      </c>
      <c r="L3">
        <v>7.5009615476202773E-2</v>
      </c>
      <c r="M3">
        <v>1.9300142356948535</v>
      </c>
      <c r="N3">
        <v>0.86878597996000873</v>
      </c>
      <c r="O3">
        <v>17.600070616573561</v>
      </c>
      <c r="P3">
        <v>0.40542191546012024</v>
      </c>
      <c r="Q3">
        <v>6.9378428248151485</v>
      </c>
      <c r="R3">
        <v>1.6346710246914957</v>
      </c>
      <c r="S3">
        <v>1.034682805947764</v>
      </c>
      <c r="T3">
        <v>8.4724526999047729</v>
      </c>
      <c r="U3">
        <v>11.676194600145797</v>
      </c>
      <c r="V3">
        <v>7.6037725542647605</v>
      </c>
      <c r="W3">
        <v>3.8464088791005815</v>
      </c>
      <c r="X3">
        <v>2.6692730784413454</v>
      </c>
      <c r="Y3">
        <v>0.33439179276749426</v>
      </c>
      <c r="Z3">
        <v>0.49184695527783617</v>
      </c>
      <c r="AA3">
        <v>0.88649885222068203</v>
      </c>
      <c r="AB3">
        <v>0.6414807780129238</v>
      </c>
      <c r="AC3">
        <v>0.24638535574062451</v>
      </c>
      <c r="AD3">
        <v>7.4701307255120648</v>
      </c>
      <c r="AE3">
        <v>0.36982671367496817</v>
      </c>
      <c r="AF3">
        <v>0.28773292810901607</v>
      </c>
      <c r="AG3">
        <v>13.66814393636365</v>
      </c>
      <c r="AH3">
        <v>0.30375856884054214</v>
      </c>
      <c r="AI3">
        <v>0.40169630269271334</v>
      </c>
      <c r="AJ3">
        <v>1.2597000289539453</v>
      </c>
      <c r="AK3">
        <v>1.4371493133160382</v>
      </c>
      <c r="AL3">
        <v>7.4466569180411026</v>
      </c>
    </row>
    <row r="4" spans="1:38" x14ac:dyDescent="0.35">
      <c r="A4" t="s">
        <v>47</v>
      </c>
      <c r="B4" t="s">
        <v>1</v>
      </c>
      <c r="C4" t="s">
        <v>6</v>
      </c>
      <c r="D4" t="s">
        <v>45</v>
      </c>
      <c r="E4" t="s">
        <v>1</v>
      </c>
      <c r="F4" t="s">
        <v>6</v>
      </c>
      <c r="G4" t="s">
        <v>12</v>
      </c>
      <c r="H4" t="s">
        <v>6</v>
      </c>
      <c r="I4" t="s">
        <v>6</v>
      </c>
      <c r="J4">
        <v>0.76600000000000001</v>
      </c>
      <c r="K4">
        <v>5.4960835509138377</v>
      </c>
      <c r="L4">
        <v>6.6269888342257818E-2</v>
      </c>
      <c r="M4">
        <v>1.8510789034667048</v>
      </c>
      <c r="N4">
        <v>0.83543370735336309</v>
      </c>
      <c r="O4">
        <v>17.343446620514776</v>
      </c>
      <c r="P4">
        <v>0.38326980871984678</v>
      </c>
      <c r="Q4">
        <v>6.8201156620692007</v>
      </c>
      <c r="R4">
        <v>1.6674430846176269</v>
      </c>
      <c r="S4">
        <v>0.98031416037150199</v>
      </c>
      <c r="T4">
        <v>8.5420021306295091</v>
      </c>
      <c r="U4">
        <v>11.685019680989361</v>
      </c>
      <c r="V4">
        <v>7.8091525980747631</v>
      </c>
      <c r="W4">
        <v>3.8663216321860676</v>
      </c>
      <c r="X4">
        <v>2.6848155684794608</v>
      </c>
      <c r="Y4">
        <v>0.35643388317816782</v>
      </c>
      <c r="Z4">
        <v>0.52368109028558352</v>
      </c>
      <c r="AA4">
        <v>0.91301537824464396</v>
      </c>
      <c r="AB4">
        <v>0.671170897129445</v>
      </c>
      <c r="AC4">
        <v>0.21893440951700463</v>
      </c>
      <c r="AD4">
        <v>7.5157825900030337</v>
      </c>
      <c r="AE4">
        <v>0.41552186193898455</v>
      </c>
      <c r="AF4">
        <v>0.32158732387899641</v>
      </c>
      <c r="AG4">
        <v>13.880765904133922</v>
      </c>
      <c r="AH4">
        <v>0.32955286448291482</v>
      </c>
      <c r="AI4">
        <v>0.37095112904650346</v>
      </c>
      <c r="AJ4">
        <v>1.2339944944668968</v>
      </c>
      <c r="AK4">
        <v>1.4139332246394027</v>
      </c>
      <c r="AL4">
        <v>7.2999915032400491</v>
      </c>
    </row>
    <row r="5" spans="1:38" x14ac:dyDescent="0.35">
      <c r="A5" t="s">
        <v>48</v>
      </c>
      <c r="B5" t="s">
        <v>1</v>
      </c>
      <c r="C5" t="s">
        <v>6</v>
      </c>
      <c r="D5" t="s">
        <v>49</v>
      </c>
      <c r="E5" t="s">
        <v>1</v>
      </c>
      <c r="F5" t="s">
        <v>6</v>
      </c>
      <c r="G5" t="s">
        <v>13</v>
      </c>
      <c r="H5" t="s">
        <v>6</v>
      </c>
      <c r="I5" t="s">
        <v>6</v>
      </c>
      <c r="J5">
        <v>0.7903</v>
      </c>
      <c r="K5">
        <v>3.9984815892698977</v>
      </c>
      <c r="L5">
        <v>0.12730673637740239</v>
      </c>
      <c r="M5">
        <v>2.6386823770374122</v>
      </c>
      <c r="N5">
        <v>1.5066536758948985</v>
      </c>
      <c r="O5">
        <v>20.773011135419893</v>
      </c>
      <c r="P5">
        <v>2.2061043570109908</v>
      </c>
      <c r="Q5">
        <v>8.9779510692001221</v>
      </c>
      <c r="R5">
        <v>1.5464755964949861</v>
      </c>
      <c r="S5">
        <v>1.0529705323492158</v>
      </c>
      <c r="T5">
        <v>7.2082762889042851</v>
      </c>
      <c r="U5">
        <v>17.992173895417082</v>
      </c>
      <c r="V5">
        <v>8.942270689191524</v>
      </c>
      <c r="W5">
        <v>3.3104476769589208</v>
      </c>
      <c r="X5">
        <v>2.4424355331556562</v>
      </c>
      <c r="Y5">
        <v>0.32242977379011767</v>
      </c>
      <c r="Z5">
        <v>0.38116054638367625</v>
      </c>
      <c r="AA5">
        <v>1.0073945705049365</v>
      </c>
      <c r="AB5">
        <v>0.4240753116908616</v>
      </c>
      <c r="AC5">
        <v>0.14123927444620393</v>
      </c>
      <c r="AD5">
        <v>4.3452680692963019</v>
      </c>
      <c r="AE5">
        <v>0.2477727049504492</v>
      </c>
      <c r="AF5">
        <v>0.19925316880147426</v>
      </c>
      <c r="AG5">
        <v>7.9596616608536133</v>
      </c>
      <c r="AH5">
        <v>0.38681951093843997</v>
      </c>
      <c r="AI5">
        <v>0.22622547482534694</v>
      </c>
      <c r="AJ5">
        <v>0.7310617788171645</v>
      </c>
      <c r="AK5">
        <v>0.84001871413493345</v>
      </c>
      <c r="AL5">
        <v>4.0628598771540707</v>
      </c>
    </row>
    <row r="6" spans="1:38" x14ac:dyDescent="0.35">
      <c r="A6" t="s">
        <v>50</v>
      </c>
      <c r="B6" t="s">
        <v>1</v>
      </c>
      <c r="C6" t="s">
        <v>6</v>
      </c>
      <c r="D6" t="s">
        <v>49</v>
      </c>
      <c r="E6" t="s">
        <v>1</v>
      </c>
      <c r="F6" t="s">
        <v>6</v>
      </c>
      <c r="G6" t="s">
        <v>13</v>
      </c>
      <c r="H6" t="s">
        <v>6</v>
      </c>
      <c r="I6" t="s">
        <v>6</v>
      </c>
      <c r="J6">
        <v>0.82079999999999997</v>
      </c>
      <c r="K6">
        <v>3.8620857699805069</v>
      </c>
      <c r="L6">
        <v>0.15241395815744771</v>
      </c>
      <c r="M6">
        <v>2.7755040667412092</v>
      </c>
      <c r="N6">
        <v>1.5291858948832879</v>
      </c>
      <c r="O6">
        <v>20.847115394120024</v>
      </c>
      <c r="P6">
        <v>2.1763275956351769</v>
      </c>
      <c r="Q6">
        <v>8.720293474072129</v>
      </c>
      <c r="R6">
        <v>1.5207715245934179</v>
      </c>
      <c r="S6">
        <v>0.89105598326880886</v>
      </c>
      <c r="T6">
        <v>7.0378682017541152</v>
      </c>
      <c r="U6">
        <v>18.167638470397065</v>
      </c>
      <c r="V6">
        <v>8.9646493270415775</v>
      </c>
      <c r="W6">
        <v>3.2478531342447043</v>
      </c>
      <c r="X6">
        <v>2.3916595711153184</v>
      </c>
      <c r="Y6">
        <v>0.28184316413224225</v>
      </c>
      <c r="Z6">
        <v>0.3391044619323339</v>
      </c>
      <c r="AA6">
        <v>1.2288746959423067</v>
      </c>
      <c r="AB6">
        <v>0.43956029684212916</v>
      </c>
      <c r="AC6">
        <v>0.16120640510928763</v>
      </c>
      <c r="AD6">
        <v>4.3223729822954056</v>
      </c>
      <c r="AE6">
        <v>0.23157628457859203</v>
      </c>
      <c r="AF6">
        <v>0.2184287408106266</v>
      </c>
      <c r="AG6">
        <v>7.8964398959481068</v>
      </c>
      <c r="AH6">
        <v>0.36730436318505916</v>
      </c>
      <c r="AI6">
        <v>0.2726293492975963</v>
      </c>
      <c r="AJ6">
        <v>0.82216233443002018</v>
      </c>
      <c r="AK6">
        <v>0.83737054030979041</v>
      </c>
      <c r="AL6">
        <v>4.1587898891622084</v>
      </c>
    </row>
    <row r="7" spans="1:38" x14ac:dyDescent="0.35">
      <c r="A7" t="s">
        <v>51</v>
      </c>
      <c r="B7" t="s">
        <v>1</v>
      </c>
      <c r="C7" t="s">
        <v>6</v>
      </c>
      <c r="D7" t="s">
        <v>49</v>
      </c>
      <c r="E7" t="s">
        <v>1</v>
      </c>
      <c r="F7" t="s">
        <v>6</v>
      </c>
      <c r="G7" t="s">
        <v>13</v>
      </c>
      <c r="H7" t="s">
        <v>6</v>
      </c>
      <c r="I7" t="s">
        <v>6</v>
      </c>
      <c r="J7">
        <v>0.74209999999999998</v>
      </c>
      <c r="K7">
        <v>3.8943538606656789</v>
      </c>
      <c r="L7">
        <v>0.14628279742613085</v>
      </c>
      <c r="M7">
        <v>2.6585847400549985</v>
      </c>
      <c r="N7">
        <v>1.4977197339006205</v>
      </c>
      <c r="O7">
        <v>20.40779324618272</v>
      </c>
      <c r="P7">
        <v>2.1416837847936168</v>
      </c>
      <c r="Q7">
        <v>8.4803168185256599</v>
      </c>
      <c r="R7">
        <v>1.5469354173765741</v>
      </c>
      <c r="S7">
        <v>0.90294792067473983</v>
      </c>
      <c r="T7">
        <v>7.130611941179037</v>
      </c>
      <c r="U7">
        <v>18.346960867802064</v>
      </c>
      <c r="V7">
        <v>9.009334860866856</v>
      </c>
      <c r="W7">
        <v>3.2633092991323851</v>
      </c>
      <c r="X7">
        <v>2.384120774988316</v>
      </c>
      <c r="Y7">
        <v>0.25732654416954465</v>
      </c>
      <c r="Z7">
        <v>0.41807687101144658</v>
      </c>
      <c r="AA7">
        <v>1.0780778551492727</v>
      </c>
      <c r="AB7">
        <v>0.42195422164794316</v>
      </c>
      <c r="AC7">
        <v>0.16096133912143926</v>
      </c>
      <c r="AD7">
        <v>4.4680575326152443</v>
      </c>
      <c r="AE7">
        <v>0.29163215858791991</v>
      </c>
      <c r="AF7">
        <v>0.22450534252319163</v>
      </c>
      <c r="AG7">
        <v>8.1313347461582364</v>
      </c>
      <c r="AH7">
        <v>0.40635103586660709</v>
      </c>
      <c r="AI7">
        <v>0.30875199512842982</v>
      </c>
      <c r="AJ7">
        <v>0.70765312523693091</v>
      </c>
      <c r="AK7">
        <v>0.98168041211401558</v>
      </c>
      <c r="AL7">
        <v>4.2270346177660567</v>
      </c>
    </row>
    <row r="8" spans="1:38" x14ac:dyDescent="0.35">
      <c r="A8" t="s">
        <v>52</v>
      </c>
      <c r="B8" t="s">
        <v>1</v>
      </c>
      <c r="C8" t="s">
        <v>6</v>
      </c>
      <c r="D8" t="s">
        <v>53</v>
      </c>
      <c r="E8" t="s">
        <v>1</v>
      </c>
      <c r="F8" t="s">
        <v>6</v>
      </c>
      <c r="G8" t="s">
        <v>10</v>
      </c>
      <c r="H8" t="s">
        <v>6</v>
      </c>
      <c r="I8" t="s">
        <v>6</v>
      </c>
      <c r="J8">
        <v>0.78549999999999998</v>
      </c>
      <c r="K8">
        <v>2.2024188415022277</v>
      </c>
      <c r="L8">
        <v>0.19710039631011966</v>
      </c>
      <c r="M8">
        <v>3.4365513943418633</v>
      </c>
      <c r="N8">
        <v>1.7551810348052492</v>
      </c>
      <c r="O8">
        <v>24.434603421707219</v>
      </c>
      <c r="P8">
        <v>2.2538002818746139</v>
      </c>
      <c r="Q8">
        <v>10.565337985872009</v>
      </c>
      <c r="R8">
        <v>1.9964353272634583</v>
      </c>
      <c r="S8">
        <v>1.1386738371770708</v>
      </c>
      <c r="T8">
        <v>8.5730582133728603</v>
      </c>
      <c r="U8">
        <v>17.247668359687143</v>
      </c>
      <c r="V8">
        <v>9.3953352320282359</v>
      </c>
      <c r="W8">
        <v>3.5856375553980047</v>
      </c>
      <c r="X8">
        <v>2.1113846425659504</v>
      </c>
      <c r="Y8">
        <v>0.28602566257886863</v>
      </c>
      <c r="Z8">
        <v>0.72399273994835722</v>
      </c>
      <c r="AA8">
        <v>1.1111827240698111</v>
      </c>
      <c r="AB8">
        <v>0.29772611829268886</v>
      </c>
      <c r="AC8">
        <v>6.4699553841251478E-3</v>
      </c>
      <c r="AD8">
        <v>2.4394007888342668</v>
      </c>
      <c r="AE8">
        <v>0.17543472195868146</v>
      </c>
      <c r="AF8">
        <v>0.1648610435670704</v>
      </c>
      <c r="AG8">
        <v>4.549462594823944</v>
      </c>
      <c r="AH8">
        <v>0.47704371490370312</v>
      </c>
      <c r="AI8">
        <v>0.13714457499536886</v>
      </c>
      <c r="AJ8">
        <v>0.23598322814491426</v>
      </c>
      <c r="AK8">
        <v>0.40862128878987253</v>
      </c>
      <c r="AL8">
        <v>2.2958831613044826</v>
      </c>
    </row>
    <row r="9" spans="1:38" x14ac:dyDescent="0.35">
      <c r="A9" t="s">
        <v>54</v>
      </c>
      <c r="B9" t="s">
        <v>1</v>
      </c>
      <c r="C9" t="s">
        <v>6</v>
      </c>
      <c r="D9" t="s">
        <v>53</v>
      </c>
      <c r="E9" t="s">
        <v>1</v>
      </c>
      <c r="F9" t="s">
        <v>6</v>
      </c>
      <c r="G9" t="s">
        <v>10</v>
      </c>
      <c r="H9" t="s">
        <v>6</v>
      </c>
      <c r="I9" t="s">
        <v>6</v>
      </c>
      <c r="J9">
        <v>0.79139999999999999</v>
      </c>
      <c r="K9">
        <v>2.274450341167551</v>
      </c>
      <c r="L9">
        <v>0.19151319039366974</v>
      </c>
      <c r="M9">
        <v>3.4635264851742122</v>
      </c>
      <c r="N9">
        <v>1.7563323044856693</v>
      </c>
      <c r="O9">
        <v>24.143227274179253</v>
      </c>
      <c r="P9">
        <v>2.1588117921799976</v>
      </c>
      <c r="Q9">
        <v>10.16565390960211</v>
      </c>
      <c r="R9">
        <v>1.9695874123121753</v>
      </c>
      <c r="S9">
        <v>1.0550418289036414</v>
      </c>
      <c r="T9">
        <v>8.6933640609117386</v>
      </c>
      <c r="U9">
        <v>17.078260991709517</v>
      </c>
      <c r="V9">
        <v>9.3069328427340476</v>
      </c>
      <c r="W9">
        <v>3.6430269854326127</v>
      </c>
      <c r="X9">
        <v>2.1218681799150536</v>
      </c>
      <c r="Y9">
        <v>0.2846146584267587</v>
      </c>
      <c r="Z9">
        <v>0.7188683265130108</v>
      </c>
      <c r="AA9">
        <v>1.2723326587165324</v>
      </c>
      <c r="AB9">
        <v>0.25476029807871114</v>
      </c>
      <c r="AC9">
        <v>0.1429312261635714</v>
      </c>
      <c r="AD9">
        <v>2.6476707039097738</v>
      </c>
      <c r="AE9">
        <v>0.20383069875317586</v>
      </c>
      <c r="AF9">
        <v>0.15387616123265496</v>
      </c>
      <c r="AG9">
        <v>4.6865944581408652</v>
      </c>
      <c r="AH9">
        <v>0.45043933753694898</v>
      </c>
      <c r="AI9">
        <v>0.18672879206705406</v>
      </c>
      <c r="AJ9">
        <v>0.38168589362578398</v>
      </c>
      <c r="AK9">
        <v>0.49991436568717945</v>
      </c>
      <c r="AL9">
        <v>2.3686051632142942</v>
      </c>
    </row>
    <row r="10" spans="1:38" x14ac:dyDescent="0.35">
      <c r="A10" t="s">
        <v>55</v>
      </c>
      <c r="B10" t="s">
        <v>1</v>
      </c>
      <c r="C10" t="s">
        <v>6</v>
      </c>
      <c r="D10" t="s">
        <v>53</v>
      </c>
      <c r="E10" t="s">
        <v>1</v>
      </c>
      <c r="F10" t="s">
        <v>6</v>
      </c>
      <c r="G10" t="s">
        <v>10</v>
      </c>
      <c r="H10" t="s">
        <v>6</v>
      </c>
      <c r="I10" t="s">
        <v>6</v>
      </c>
      <c r="J10">
        <v>0.85719999999999996</v>
      </c>
      <c r="K10">
        <v>2.2165188987400839</v>
      </c>
      <c r="L10">
        <v>0.17015314336622092</v>
      </c>
      <c r="M10">
        <v>3.2183168517251373</v>
      </c>
      <c r="N10">
        <v>1.6879194353216576</v>
      </c>
      <c r="O10">
        <v>23.868181876358278</v>
      </c>
      <c r="P10">
        <v>2.2242169822145885</v>
      </c>
      <c r="Q10">
        <v>10.077984062412941</v>
      </c>
      <c r="R10">
        <v>1.9941102952507932</v>
      </c>
      <c r="S10">
        <v>1.1504669885230319</v>
      </c>
      <c r="T10">
        <v>8.8471123096335376</v>
      </c>
      <c r="U10">
        <v>17.378894229536286</v>
      </c>
      <c r="V10">
        <v>9.4320564554308834</v>
      </c>
      <c r="W10">
        <v>3.7001695693651939</v>
      </c>
      <c r="X10">
        <v>2.1306115538306516</v>
      </c>
      <c r="Y10">
        <v>0.30979319840210573</v>
      </c>
      <c r="Z10">
        <v>0.73986052068171793</v>
      </c>
      <c r="AA10">
        <v>1.4444665352010879</v>
      </c>
      <c r="AB10">
        <v>0.25320310302303589</v>
      </c>
      <c r="AC10">
        <v>7.9958624840748393E-2</v>
      </c>
      <c r="AD10">
        <v>2.5527084847063009</v>
      </c>
      <c r="AE10">
        <v>0.15484043626043345</v>
      </c>
      <c r="AF10">
        <v>0.19418297167800988</v>
      </c>
      <c r="AG10">
        <v>4.708794282758193</v>
      </c>
      <c r="AH10">
        <v>0.37721087591073543</v>
      </c>
      <c r="AI10">
        <v>0.1575995395967795</v>
      </c>
      <c r="AJ10">
        <v>0.38392353385575617</v>
      </c>
      <c r="AK10">
        <v>0.4650671176408413</v>
      </c>
      <c r="AL10">
        <v>2.2981970224750317</v>
      </c>
    </row>
    <row r="11" spans="1:38" x14ac:dyDescent="0.35">
      <c r="A11" t="s">
        <v>56</v>
      </c>
      <c r="B11" t="s">
        <v>1</v>
      </c>
      <c r="C11" t="s">
        <v>6</v>
      </c>
      <c r="D11" t="s">
        <v>57</v>
      </c>
      <c r="E11" t="s">
        <v>1</v>
      </c>
      <c r="F11" t="s">
        <v>6</v>
      </c>
      <c r="G11" t="s">
        <v>9</v>
      </c>
      <c r="H11" t="s">
        <v>6</v>
      </c>
      <c r="I11" t="s">
        <v>6</v>
      </c>
      <c r="J11">
        <v>0.78549999999999998</v>
      </c>
      <c r="K11">
        <v>1.2094207511139403</v>
      </c>
      <c r="L11">
        <v>0.1573149753193481</v>
      </c>
      <c r="M11">
        <v>2.8992452844432148</v>
      </c>
      <c r="N11">
        <v>1.2088062100942654</v>
      </c>
      <c r="O11">
        <v>22.685817330148893</v>
      </c>
      <c r="P11">
        <v>0.82877481236696771</v>
      </c>
      <c r="Q11">
        <v>9.420914497339119</v>
      </c>
      <c r="R11">
        <v>2.0611521223347551</v>
      </c>
      <c r="S11">
        <v>1.0840071640416442</v>
      </c>
      <c r="T11">
        <v>10.266678587863465</v>
      </c>
      <c r="U11">
        <v>12.360885295125108</v>
      </c>
      <c r="V11">
        <v>8.6645122012977431</v>
      </c>
      <c r="W11">
        <v>4.1240381654441931</v>
      </c>
      <c r="X11">
        <v>1.9673631287762903</v>
      </c>
      <c r="Y11">
        <v>0.31458670091415764</v>
      </c>
      <c r="Z11">
        <v>1.147332624352394</v>
      </c>
      <c r="AA11">
        <v>1.0742838396067451</v>
      </c>
      <c r="AB11">
        <v>0.50851846574511717</v>
      </c>
      <c r="AC11">
        <v>0.20344277243630574</v>
      </c>
      <c r="AD11">
        <v>2.8225360002843471</v>
      </c>
      <c r="AE11">
        <v>0.18156627540606771</v>
      </c>
      <c r="AF11">
        <v>0.15385892914940213</v>
      </c>
      <c r="AG11">
        <v>4.5797251267688743</v>
      </c>
      <c r="AH11">
        <v>0.55020333661402143</v>
      </c>
      <c r="AI11">
        <v>7.7727618582094724</v>
      </c>
      <c r="AJ11">
        <v>0.32891022332270486</v>
      </c>
      <c r="AK11">
        <v>0.53648137855587441</v>
      </c>
      <c r="AL11">
        <v>2.0962826940394956</v>
      </c>
    </row>
    <row r="12" spans="1:38" x14ac:dyDescent="0.35">
      <c r="A12" t="s">
        <v>58</v>
      </c>
      <c r="B12" t="s">
        <v>1</v>
      </c>
      <c r="C12" t="s">
        <v>6</v>
      </c>
      <c r="D12" t="s">
        <v>57</v>
      </c>
      <c r="E12" t="s">
        <v>1</v>
      </c>
      <c r="F12" t="s">
        <v>6</v>
      </c>
      <c r="G12" t="s">
        <v>9</v>
      </c>
      <c r="H12" t="s">
        <v>6</v>
      </c>
      <c r="I12" t="s">
        <v>6</v>
      </c>
      <c r="J12">
        <v>0.74750000000000005</v>
      </c>
      <c r="K12">
        <v>1.2441471571906353</v>
      </c>
      <c r="L12">
        <v>0.15491602932844509</v>
      </c>
      <c r="M12">
        <v>3.0903843215754079</v>
      </c>
      <c r="N12">
        <v>1.2586000688196826</v>
      </c>
      <c r="O12">
        <v>24.673581386653737</v>
      </c>
      <c r="P12">
        <v>0.95589800802823421</v>
      </c>
      <c r="Q12">
        <v>10.0188461524796</v>
      </c>
      <c r="R12">
        <v>2.37799948453566</v>
      </c>
      <c r="S12">
        <v>1.120086109329276</v>
      </c>
      <c r="T12">
        <v>11.324517189478515</v>
      </c>
      <c r="U12">
        <v>13.27857390203499</v>
      </c>
      <c r="V12">
        <v>9.2524721653355968</v>
      </c>
      <c r="W12">
        <v>4.6505590437617199</v>
      </c>
      <c r="X12">
        <v>2.1824557912801255</v>
      </c>
      <c r="Y12">
        <v>0.35546814465908161</v>
      </c>
      <c r="Z12">
        <v>1.2971539863623331</v>
      </c>
      <c r="AA12">
        <v>1.09749696419928</v>
      </c>
      <c r="AB12">
        <v>0.4550455513596261</v>
      </c>
      <c r="AC12">
        <v>0.16985246951421998</v>
      </c>
      <c r="AD12">
        <v>3.0890006851904039</v>
      </c>
      <c r="AE12">
        <v>0.30262690029646033</v>
      </c>
      <c r="AF12">
        <v>0.27435630502260694</v>
      </c>
      <c r="AG12">
        <v>4.7100690738614484</v>
      </c>
      <c r="AH12">
        <v>0.54705566276934448</v>
      </c>
      <c r="AI12">
        <v>0.27289067537034312</v>
      </c>
      <c r="AJ12">
        <v>0.55705884137500528</v>
      </c>
      <c r="AK12">
        <v>0.48521224093885579</v>
      </c>
      <c r="AL12">
        <v>2.0478228464400026</v>
      </c>
    </row>
    <row r="13" spans="1:38" x14ac:dyDescent="0.35">
      <c r="A13" t="s">
        <v>59</v>
      </c>
      <c r="B13" t="s">
        <v>1</v>
      </c>
      <c r="C13" t="s">
        <v>6</v>
      </c>
      <c r="D13" t="s">
        <v>57</v>
      </c>
      <c r="E13" t="s">
        <v>1</v>
      </c>
      <c r="F13" t="s">
        <v>6</v>
      </c>
      <c r="G13" t="s">
        <v>9</v>
      </c>
      <c r="H13" t="s">
        <v>6</v>
      </c>
      <c r="I13" t="s">
        <v>6</v>
      </c>
      <c r="J13">
        <v>0.86890000000000001</v>
      </c>
      <c r="K13">
        <v>1.4270917251697548</v>
      </c>
      <c r="L13">
        <v>0.15064745333284291</v>
      </c>
      <c r="M13">
        <v>3.0969884622170731</v>
      </c>
      <c r="N13">
        <v>1.2322348992782675</v>
      </c>
      <c r="O13">
        <v>24.514650173653077</v>
      </c>
      <c r="P13">
        <v>0.89428912419982631</v>
      </c>
      <c r="Q13">
        <v>10.146469713426086</v>
      </c>
      <c r="R13">
        <v>2.3781037685753135</v>
      </c>
      <c r="S13">
        <v>1.1135425369701077</v>
      </c>
      <c r="T13">
        <v>11.238636119534259</v>
      </c>
      <c r="U13">
        <v>13.240448570582128</v>
      </c>
      <c r="V13">
        <v>9.2226229801993487</v>
      </c>
      <c r="W13">
        <v>4.6235922090563504</v>
      </c>
      <c r="X13">
        <v>2.1462649922682622</v>
      </c>
      <c r="Y13">
        <v>0.28173247376896809</v>
      </c>
      <c r="Z13">
        <v>1.3963320565844293</v>
      </c>
      <c r="AA13">
        <v>1.2533871517976212</v>
      </c>
      <c r="AB13">
        <v>0.41570240753101811</v>
      </c>
      <c r="AC13">
        <v>0.2345253164180304</v>
      </c>
      <c r="AD13">
        <v>2.9025061961873693</v>
      </c>
      <c r="AE13">
        <v>0.24923043945164886</v>
      </c>
      <c r="AF13">
        <v>0.27770549750557016</v>
      </c>
      <c r="AG13">
        <v>4.8847647160477301</v>
      </c>
      <c r="AH13">
        <v>0.5940625989917766</v>
      </c>
      <c r="AI13">
        <v>0.28767233460505676</v>
      </c>
      <c r="AJ13">
        <v>0.48125058555522193</v>
      </c>
      <c r="AK13">
        <v>0.7309117782736102</v>
      </c>
      <c r="AL13">
        <v>2.0117254439890111</v>
      </c>
    </row>
    <row r="14" spans="1:38" x14ac:dyDescent="0.35">
      <c r="A14" t="s">
        <v>60</v>
      </c>
      <c r="B14" t="s">
        <v>1</v>
      </c>
      <c r="C14" t="s">
        <v>6</v>
      </c>
      <c r="D14" t="s">
        <v>61</v>
      </c>
      <c r="E14" t="s">
        <v>1</v>
      </c>
      <c r="F14" t="s">
        <v>6</v>
      </c>
      <c r="G14" t="s">
        <v>11</v>
      </c>
      <c r="H14" t="s">
        <v>6</v>
      </c>
      <c r="I14" t="s">
        <v>6</v>
      </c>
      <c r="J14">
        <v>0.77490000000000003</v>
      </c>
      <c r="K14">
        <v>3.7166085946573753</v>
      </c>
      <c r="L14">
        <v>0.26437538203883659</v>
      </c>
      <c r="M14">
        <v>4.2236187495602406</v>
      </c>
      <c r="N14">
        <v>2.7013391168233332</v>
      </c>
      <c r="O14">
        <v>27.522075887154696</v>
      </c>
      <c r="P14">
        <v>4.59874016468605</v>
      </c>
      <c r="Q14">
        <v>10.896446536374613</v>
      </c>
      <c r="R14">
        <v>1.6470928458512062</v>
      </c>
      <c r="S14">
        <v>1.0860789789888381</v>
      </c>
      <c r="T14">
        <v>6.133244786275224</v>
      </c>
      <c r="U14">
        <v>23.182550176094935</v>
      </c>
      <c r="V14">
        <v>8.8129511702027443</v>
      </c>
      <c r="W14">
        <v>2.3897764712397636</v>
      </c>
      <c r="X14">
        <v>2.0580322468011061</v>
      </c>
      <c r="Y14">
        <v>0.28969376688585308</v>
      </c>
      <c r="Z14">
        <v>0.24488065737100292</v>
      </c>
      <c r="AA14">
        <v>2.311317663358111</v>
      </c>
      <c r="AB14">
        <v>2.5000984575641795E-2</v>
      </c>
      <c r="AC14">
        <v>2.6036979061408793E-2</v>
      </c>
      <c r="AD14">
        <v>0.25162731753934336</v>
      </c>
      <c r="AE14">
        <v>5.6700384478375117E-2</v>
      </c>
      <c r="AF14">
        <v>9.5894239588807675E-2</v>
      </c>
      <c r="AG14">
        <v>0.58639065335931739</v>
      </c>
      <c r="AH14">
        <v>0.37592761181510054</v>
      </c>
      <c r="AI14">
        <v>3.5942406730470203E-3</v>
      </c>
      <c r="AJ14">
        <v>5.8579394084913297E-3</v>
      </c>
      <c r="AK14">
        <v>2.4731829145516059E-3</v>
      </c>
      <c r="AL14">
        <v>0.20828186687932984</v>
      </c>
    </row>
    <row r="15" spans="1:38" x14ac:dyDescent="0.35">
      <c r="A15" t="s">
        <v>62</v>
      </c>
      <c r="B15" t="s">
        <v>1</v>
      </c>
      <c r="C15" t="s">
        <v>6</v>
      </c>
      <c r="D15" t="s">
        <v>61</v>
      </c>
      <c r="E15" t="s">
        <v>1</v>
      </c>
      <c r="F15" t="s">
        <v>6</v>
      </c>
      <c r="G15" t="s">
        <v>11</v>
      </c>
      <c r="H15" t="s">
        <v>6</v>
      </c>
      <c r="I15" t="s">
        <v>6</v>
      </c>
      <c r="J15">
        <v>0.78049999999999997</v>
      </c>
      <c r="K15">
        <v>3.7540038436899423</v>
      </c>
      <c r="L15">
        <v>0.2547781141203817</v>
      </c>
      <c r="M15">
        <v>4.1999397815259458</v>
      </c>
      <c r="N15">
        <v>2.7004326202186046</v>
      </c>
      <c r="O15">
        <v>27.571579190988146</v>
      </c>
      <c r="P15">
        <v>4.5890546434106589</v>
      </c>
      <c r="Q15">
        <v>11.181636615032515</v>
      </c>
      <c r="R15">
        <v>1.6741106920000461</v>
      </c>
      <c r="S15">
        <v>0.95494628026770045</v>
      </c>
      <c r="T15">
        <v>6.1683652555420858</v>
      </c>
      <c r="U15">
        <v>23.238689990716058</v>
      </c>
      <c r="V15">
        <v>8.9229931769369522</v>
      </c>
      <c r="W15">
        <v>2.3854713780050854</v>
      </c>
      <c r="X15">
        <v>2.0438294571018156</v>
      </c>
      <c r="Y15">
        <v>0.26529906069541265</v>
      </c>
      <c r="Z15">
        <v>0.20673190581374701</v>
      </c>
      <c r="AA15">
        <v>2.0260393924784612</v>
      </c>
      <c r="AB15">
        <v>5.0826389149611399E-2</v>
      </c>
      <c r="AC15">
        <v>4.7542528344617488E-2</v>
      </c>
      <c r="AD15">
        <v>0.24017249978320229</v>
      </c>
      <c r="AE15">
        <v>5.4433886421427775E-2</v>
      </c>
      <c r="AF15">
        <v>6.1796892181969126E-2</v>
      </c>
      <c r="AG15">
        <v>0.47952320594416603</v>
      </c>
      <c r="AH15">
        <v>0.41071234937884288</v>
      </c>
      <c r="AI15">
        <v>9.3335431558017241E-4</v>
      </c>
      <c r="AJ15">
        <v>1.7407886406560376E-3</v>
      </c>
      <c r="AK15">
        <v>3.7262376137393034E-2</v>
      </c>
      <c r="AL15">
        <v>0.23115817484894219</v>
      </c>
    </row>
    <row r="16" spans="1:38" x14ac:dyDescent="0.35">
      <c r="A16" t="s">
        <v>63</v>
      </c>
      <c r="B16" t="s">
        <v>1</v>
      </c>
      <c r="C16" t="s">
        <v>6</v>
      </c>
      <c r="D16" t="s">
        <v>61</v>
      </c>
      <c r="E16" t="s">
        <v>1</v>
      </c>
      <c r="F16" t="s">
        <v>6</v>
      </c>
      <c r="G16" t="s">
        <v>11</v>
      </c>
      <c r="H16" t="s">
        <v>6</v>
      </c>
      <c r="I16" t="s">
        <v>6</v>
      </c>
      <c r="J16">
        <v>0.83240000000000003</v>
      </c>
      <c r="K16">
        <v>3.8923594425756844</v>
      </c>
      <c r="L16">
        <v>0.21015068264015863</v>
      </c>
      <c r="M16">
        <v>3.1680094857494807</v>
      </c>
      <c r="N16">
        <v>1.8958784367200503</v>
      </c>
      <c r="O16">
        <v>25.50010415344136</v>
      </c>
      <c r="P16">
        <v>3.2792750407499169</v>
      </c>
      <c r="Q16">
        <v>9.6507153426904644</v>
      </c>
      <c r="R16">
        <v>1.741608960896748</v>
      </c>
      <c r="S16">
        <v>1.267752390719955</v>
      </c>
      <c r="T16">
        <v>8.8685220819036221</v>
      </c>
      <c r="U16">
        <v>26.112651702647678</v>
      </c>
      <c r="V16">
        <v>10.0223377528469</v>
      </c>
      <c r="W16">
        <v>2.8702863697496612</v>
      </c>
      <c r="X16">
        <v>2.1794073714987436</v>
      </c>
      <c r="Y16">
        <v>0.18183633601200952</v>
      </c>
      <c r="Z16">
        <v>0.14011999722257482</v>
      </c>
      <c r="AA16">
        <v>1.4440148229492251</v>
      </c>
      <c r="AB16">
        <v>3.4374849426368259E-2</v>
      </c>
      <c r="AC16">
        <v>3.1571775278461583E-2</v>
      </c>
      <c r="AD16">
        <v>0.14806753686546315</v>
      </c>
      <c r="AE16">
        <v>3.358705734558403E-2</v>
      </c>
      <c r="AF16">
        <v>4.9882261725414857E-2</v>
      </c>
      <c r="AG16">
        <v>0.33821343046260044</v>
      </c>
      <c r="AH16">
        <v>0.28253448468229886</v>
      </c>
      <c r="AI16">
        <v>7.672728451917104E-4</v>
      </c>
      <c r="AJ16">
        <v>2.067312985946338E-3</v>
      </c>
      <c r="AK16">
        <v>2.2060376751486213E-2</v>
      </c>
      <c r="AL16">
        <v>0.52420271319256739</v>
      </c>
    </row>
    <row r="17" spans="1:38" x14ac:dyDescent="0.35">
      <c r="A17" t="s">
        <v>64</v>
      </c>
      <c r="B17" t="s">
        <v>1</v>
      </c>
      <c r="C17" t="s">
        <v>6</v>
      </c>
      <c r="D17" t="s">
        <v>65</v>
      </c>
      <c r="E17" t="s">
        <v>1</v>
      </c>
      <c r="F17" t="s">
        <v>6</v>
      </c>
      <c r="G17" t="s">
        <v>7</v>
      </c>
      <c r="H17" t="s">
        <v>6</v>
      </c>
      <c r="I17" t="s">
        <v>6</v>
      </c>
      <c r="J17">
        <v>1.0551999999999999</v>
      </c>
      <c r="K17">
        <v>0.3411675511751327</v>
      </c>
      <c r="L17">
        <v>0.14497493530896843</v>
      </c>
      <c r="M17">
        <v>2.7581165134699663</v>
      </c>
      <c r="N17">
        <v>1.0161182923192364</v>
      </c>
      <c r="O17">
        <v>21.2608778794419</v>
      </c>
      <c r="P17">
        <v>1.0051628314978067</v>
      </c>
      <c r="Q17">
        <v>12.040087224812824</v>
      </c>
      <c r="R17">
        <v>3.0850465854204798</v>
      </c>
      <c r="S17">
        <v>1.5593811163738149</v>
      </c>
      <c r="T17">
        <v>13.102608700688897</v>
      </c>
      <c r="U17">
        <v>12.113562892365339</v>
      </c>
      <c r="V17">
        <v>10.46089514652288</v>
      </c>
      <c r="W17">
        <v>7.6722296981571292</v>
      </c>
      <c r="X17">
        <v>3.0038923111355591</v>
      </c>
      <c r="Y17">
        <v>0.40842874857613282</v>
      </c>
      <c r="Z17">
        <v>2.4809257432044594</v>
      </c>
      <c r="AA17">
        <v>2.3343842245210764</v>
      </c>
      <c r="AB17">
        <v>0.26015906814745604</v>
      </c>
      <c r="AC17">
        <v>0.12985533709544819</v>
      </c>
      <c r="AD17">
        <v>1.2243933714782418</v>
      </c>
      <c r="AE17">
        <v>0.10763523607855163</v>
      </c>
      <c r="AF17">
        <v>0.11454676487031056</v>
      </c>
      <c r="AG17">
        <v>2.4290473451630974</v>
      </c>
      <c r="AH17">
        <v>0.6175771336704825</v>
      </c>
      <c r="AI17">
        <v>0.12892779897333784</v>
      </c>
      <c r="AJ17">
        <v>5.2608016636511656E-2</v>
      </c>
      <c r="AK17">
        <v>7.6866017867448122E-2</v>
      </c>
      <c r="AL17">
        <v>0.4116910662027235</v>
      </c>
    </row>
    <row r="18" spans="1:38" x14ac:dyDescent="0.35">
      <c r="A18" t="s">
        <v>66</v>
      </c>
      <c r="B18" t="s">
        <v>1</v>
      </c>
      <c r="C18" t="s">
        <v>6</v>
      </c>
      <c r="D18" t="s">
        <v>65</v>
      </c>
      <c r="E18" t="s">
        <v>1</v>
      </c>
      <c r="F18" t="s">
        <v>6</v>
      </c>
      <c r="G18" t="s">
        <v>7</v>
      </c>
      <c r="H18" t="s">
        <v>6</v>
      </c>
      <c r="I18" t="s">
        <v>6</v>
      </c>
      <c r="J18">
        <v>0.74680000000000002</v>
      </c>
      <c r="K18">
        <v>0.20085698982324585</v>
      </c>
      <c r="L18">
        <v>0.17427185539652384</v>
      </c>
      <c r="M18">
        <v>3.0667334807618722</v>
      </c>
      <c r="N18">
        <v>1.0014207103989212</v>
      </c>
      <c r="O18">
        <v>21.874802829308859</v>
      </c>
      <c r="P18">
        <v>1.0360820533338619</v>
      </c>
      <c r="Q18">
        <v>12.395318569812151</v>
      </c>
      <c r="R18">
        <v>3.0138112102420442</v>
      </c>
      <c r="S18">
        <v>1.4204266708056859</v>
      </c>
      <c r="T18">
        <v>12.586918771035847</v>
      </c>
      <c r="U18">
        <v>11.294748836778677</v>
      </c>
      <c r="V18">
        <v>10.330894194041329</v>
      </c>
      <c r="W18">
        <v>7.8470312887691485</v>
      </c>
      <c r="X18">
        <v>2.950591004502416</v>
      </c>
      <c r="Y18">
        <v>0.53667870797937178</v>
      </c>
      <c r="Z18">
        <v>2.5555275109176594</v>
      </c>
      <c r="AA18">
        <v>1.6891358016020448</v>
      </c>
      <c r="AB18">
        <v>0.32906414769434505</v>
      </c>
      <c r="AC18">
        <v>0.19728871738170292</v>
      </c>
      <c r="AD18">
        <v>1.2673832600086079</v>
      </c>
      <c r="AE18">
        <v>8.4569583634339002E-2</v>
      </c>
      <c r="AF18">
        <v>0.20004692676984306</v>
      </c>
      <c r="AG18">
        <v>2.721054958810468</v>
      </c>
      <c r="AH18">
        <v>0.7050480883108875</v>
      </c>
      <c r="AI18">
        <v>0.12377755334315323</v>
      </c>
      <c r="AJ18">
        <v>5.1557119667519018E-2</v>
      </c>
      <c r="AK18">
        <v>0.14807584313007366</v>
      </c>
      <c r="AL18">
        <v>0.39774030556262219</v>
      </c>
    </row>
    <row r="19" spans="1:38" x14ac:dyDescent="0.35">
      <c r="A19" t="s">
        <v>67</v>
      </c>
      <c r="B19" t="s">
        <v>1</v>
      </c>
      <c r="C19" t="s">
        <v>6</v>
      </c>
      <c r="D19" t="s">
        <v>65</v>
      </c>
      <c r="E19" t="s">
        <v>1</v>
      </c>
      <c r="F19" t="s">
        <v>6</v>
      </c>
      <c r="G19" t="s">
        <v>7</v>
      </c>
      <c r="H19" t="s">
        <v>6</v>
      </c>
      <c r="I19" t="s">
        <v>6</v>
      </c>
      <c r="J19">
        <v>0.75439999999999996</v>
      </c>
      <c r="K19">
        <v>0.37115588547189821</v>
      </c>
      <c r="L19">
        <v>0.18681000467736553</v>
      </c>
      <c r="M19">
        <v>3.120212377883254</v>
      </c>
      <c r="N19">
        <v>1.0608312438279361</v>
      </c>
      <c r="O19">
        <v>22.442964019315475</v>
      </c>
      <c r="P19">
        <v>0.91482777380077984</v>
      </c>
      <c r="Q19">
        <v>12.488110763749461</v>
      </c>
      <c r="R19">
        <v>2.9699105384535991</v>
      </c>
      <c r="S19">
        <v>1.2967331516812106</v>
      </c>
      <c r="T19">
        <v>12.696120705802478</v>
      </c>
      <c r="U19">
        <v>11.06585403564587</v>
      </c>
      <c r="V19">
        <v>10.4295810328016</v>
      </c>
      <c r="W19">
        <v>8.0272206709387373</v>
      </c>
      <c r="X19">
        <v>2.9790546078276754</v>
      </c>
      <c r="Y19">
        <v>0.54300057613232022</v>
      </c>
      <c r="Z19">
        <v>2.6669204983131043</v>
      </c>
      <c r="AA19">
        <v>1.6936524152165495</v>
      </c>
      <c r="AB19">
        <v>0.28884945081580488</v>
      </c>
      <c r="AC19">
        <v>7.3928548110551662E-2</v>
      </c>
      <c r="AD19">
        <v>1.2429901549582854</v>
      </c>
      <c r="AE19">
        <v>9.7811621564843937E-2</v>
      </c>
      <c r="AF19">
        <v>0.13387948977698402</v>
      </c>
      <c r="AG19">
        <v>2.2915174075933296</v>
      </c>
      <c r="AH19">
        <v>0.66834170903167467</v>
      </c>
      <c r="AI19">
        <v>0.11501969465668173</v>
      </c>
      <c r="AJ19">
        <v>8.4483514062698144E-3</v>
      </c>
      <c r="AK19">
        <v>0.14350277747154302</v>
      </c>
      <c r="AL19">
        <v>0.35390637854666579</v>
      </c>
    </row>
    <row r="20" spans="1:38" x14ac:dyDescent="0.35">
      <c r="A20" t="s">
        <v>68</v>
      </c>
      <c r="B20" t="s">
        <v>1</v>
      </c>
      <c r="C20" t="s">
        <v>6</v>
      </c>
      <c r="D20" t="s">
        <v>69</v>
      </c>
      <c r="E20" t="s">
        <v>1</v>
      </c>
      <c r="F20" t="s">
        <v>6</v>
      </c>
      <c r="G20" t="s">
        <v>8</v>
      </c>
      <c r="H20" t="s">
        <v>6</v>
      </c>
      <c r="I20" t="s">
        <v>6</v>
      </c>
      <c r="J20">
        <v>0.75439999999999996</v>
      </c>
      <c r="K20">
        <v>1.9220572640509015</v>
      </c>
      <c r="L20">
        <v>0.22987859234572219</v>
      </c>
      <c r="M20">
        <v>3.9428152936459768</v>
      </c>
      <c r="N20">
        <v>2.2773495979542795</v>
      </c>
      <c r="O20">
        <v>28.060725967944588</v>
      </c>
      <c r="P20">
        <v>3.2699649683252292</v>
      </c>
      <c r="Q20">
        <v>10.739726740710887</v>
      </c>
      <c r="R20">
        <v>2.5915067571204311</v>
      </c>
      <c r="S20">
        <v>1.0380366368459089</v>
      </c>
      <c r="T20">
        <v>9.7421790772219108</v>
      </c>
      <c r="U20">
        <v>19.588568105640121</v>
      </c>
      <c r="V20">
        <v>9.6947245094842422</v>
      </c>
      <c r="W20">
        <v>2.5673102857237424</v>
      </c>
      <c r="X20">
        <v>1.1713800118173756</v>
      </c>
      <c r="Y20">
        <v>0.29979638659069313</v>
      </c>
      <c r="Z20">
        <v>0.9975709597912531</v>
      </c>
      <c r="AA20">
        <v>1.5488453383465484</v>
      </c>
      <c r="AB20">
        <v>8.1028266726782316E-2</v>
      </c>
      <c r="AC20">
        <v>5.7105759844868244E-2</v>
      </c>
      <c r="AD20">
        <v>0.33300573141219725</v>
      </c>
      <c r="AE20">
        <v>3.2975449946645884E-2</v>
      </c>
      <c r="AF20">
        <v>5.8481173531285562E-2</v>
      </c>
      <c r="AG20">
        <v>0.63651554858579895</v>
      </c>
      <c r="AH20">
        <v>0.48257637869753323</v>
      </c>
      <c r="AI20">
        <v>2.3482672694929664E-3</v>
      </c>
      <c r="AJ20">
        <v>2.4343704027077091E-2</v>
      </c>
      <c r="AK20">
        <v>6.4111423865522259E-3</v>
      </c>
      <c r="AL20">
        <v>0.52482934806285841</v>
      </c>
    </row>
    <row r="21" spans="1:38" x14ac:dyDescent="0.35">
      <c r="A21" t="s">
        <v>70</v>
      </c>
      <c r="B21" t="s">
        <v>1</v>
      </c>
      <c r="C21" t="s">
        <v>6</v>
      </c>
      <c r="D21" t="s">
        <v>69</v>
      </c>
      <c r="E21" t="s">
        <v>1</v>
      </c>
      <c r="F21" t="s">
        <v>6</v>
      </c>
      <c r="G21" t="s">
        <v>8</v>
      </c>
      <c r="H21" t="s">
        <v>6</v>
      </c>
      <c r="I21" t="s">
        <v>6</v>
      </c>
      <c r="J21">
        <v>0.81659999999999999</v>
      </c>
      <c r="K21">
        <v>1.9593436198873377</v>
      </c>
      <c r="L21">
        <v>0.20550897752660122</v>
      </c>
      <c r="M21">
        <v>3.8296266307434266</v>
      </c>
      <c r="N21">
        <v>2.2878049471735094</v>
      </c>
      <c r="O21">
        <v>27.35697273057589</v>
      </c>
      <c r="P21">
        <v>3.2900441447537911</v>
      </c>
      <c r="Q21">
        <v>11.21805193670788</v>
      </c>
      <c r="R21">
        <v>2.5401251079836151</v>
      </c>
      <c r="S21">
        <v>1.365966987054541</v>
      </c>
      <c r="T21">
        <v>9.7487989123172589</v>
      </c>
      <c r="U21">
        <v>19.258595807140797</v>
      </c>
      <c r="V21">
        <v>9.9705283411368395</v>
      </c>
      <c r="W21">
        <v>2.6454882236296569</v>
      </c>
      <c r="X21">
        <v>1.2661880743223513</v>
      </c>
      <c r="Y21">
        <v>0.26725020132579774</v>
      </c>
      <c r="Z21">
        <v>1.0041380782396552</v>
      </c>
      <c r="AA21">
        <v>1.3864954375860676</v>
      </c>
      <c r="AB21">
        <v>6.9676093215491397E-2</v>
      </c>
      <c r="AC21">
        <v>3.7881410811176769E-2</v>
      </c>
      <c r="AD21">
        <v>0.30271193971061205</v>
      </c>
      <c r="AE21">
        <v>2.9007248995183428E-2</v>
      </c>
      <c r="AF21">
        <v>4.1402742517047328E-2</v>
      </c>
      <c r="AG21">
        <v>0.5943248854346399</v>
      </c>
      <c r="AH21">
        <v>0.50077558396354449</v>
      </c>
      <c r="AI21">
        <v>8.0251859931889269E-2</v>
      </c>
      <c r="AJ21">
        <v>5.5251419613207085E-2</v>
      </c>
      <c r="AK21">
        <v>1.3903070000895978E-2</v>
      </c>
      <c r="AL21">
        <v>0.633229207588617</v>
      </c>
    </row>
    <row r="22" spans="1:38" x14ac:dyDescent="0.35">
      <c r="A22" t="s">
        <v>71</v>
      </c>
      <c r="B22" t="s">
        <v>1</v>
      </c>
      <c r="C22" t="s">
        <v>6</v>
      </c>
      <c r="D22" t="s">
        <v>69</v>
      </c>
      <c r="E22" t="s">
        <v>1</v>
      </c>
      <c r="F22" t="s">
        <v>6</v>
      </c>
      <c r="G22" t="s">
        <v>8</v>
      </c>
      <c r="H22" t="s">
        <v>6</v>
      </c>
      <c r="I22" t="s">
        <v>6</v>
      </c>
      <c r="J22">
        <v>0.76600000000000001</v>
      </c>
      <c r="K22">
        <v>1.8276762402088773</v>
      </c>
      <c r="L22">
        <v>0.21599387837390038</v>
      </c>
      <c r="M22">
        <v>3.9421768758503601</v>
      </c>
      <c r="N22">
        <v>2.2858998439973561</v>
      </c>
      <c r="O22">
        <v>27.677206172996804</v>
      </c>
      <c r="P22">
        <v>3.2803758352930936</v>
      </c>
      <c r="Q22">
        <v>11.0536870145361</v>
      </c>
      <c r="R22">
        <v>2.4614267539334387</v>
      </c>
      <c r="S22">
        <v>0.96083024598908051</v>
      </c>
      <c r="T22">
        <v>9.8534213296923845</v>
      </c>
      <c r="U22">
        <v>19.568586392819775</v>
      </c>
      <c r="V22">
        <v>9.6960901084958149</v>
      </c>
      <c r="W22">
        <v>2.4960181248221218</v>
      </c>
      <c r="X22">
        <v>1.172413278720507</v>
      </c>
      <c r="Y22">
        <v>0.24496817800561033</v>
      </c>
      <c r="Z22">
        <v>1.0166263028092057</v>
      </c>
      <c r="AA22">
        <v>1.7556838474231193</v>
      </c>
      <c r="AB22">
        <v>2.1127266293147793E-2</v>
      </c>
      <c r="AC22">
        <v>4.5182653906076189E-2</v>
      </c>
      <c r="AD22">
        <v>0.33868326766754003</v>
      </c>
      <c r="AE22">
        <v>3.8361430774915911E-2</v>
      </c>
      <c r="AF22">
        <v>3.2897125054220544E-2</v>
      </c>
      <c r="AG22">
        <v>0.54882643337604309</v>
      </c>
      <c r="AH22">
        <v>0.4524106425818229</v>
      </c>
      <c r="AI22">
        <v>7.154127575826541E-2</v>
      </c>
      <c r="AJ22">
        <v>3.0734905156138932E-2</v>
      </c>
      <c r="AK22">
        <v>2.3882575920306779E-3</v>
      </c>
      <c r="AL22">
        <v>0.73644255808116332</v>
      </c>
    </row>
    <row r="23" spans="1:38" x14ac:dyDescent="0.35">
      <c r="A23" t="s">
        <v>72</v>
      </c>
      <c r="B23" t="s">
        <v>73</v>
      </c>
      <c r="C23">
        <v>1</v>
      </c>
      <c r="D23" t="s">
        <v>45</v>
      </c>
      <c r="E23">
        <v>12</v>
      </c>
      <c r="F23">
        <v>22</v>
      </c>
      <c r="G23" t="s">
        <v>12</v>
      </c>
      <c r="H23">
        <v>37</v>
      </c>
      <c r="I23">
        <v>47</v>
      </c>
      <c r="J23">
        <v>0.93820000000000003</v>
      </c>
      <c r="K23">
        <v>1.6414410573440004</v>
      </c>
      <c r="L23">
        <v>3.2374057205162565E-2</v>
      </c>
      <c r="M23">
        <v>0.7010588050188673</v>
      </c>
      <c r="N23">
        <v>0.47187896277685443</v>
      </c>
      <c r="O23">
        <v>15.574115668452066</v>
      </c>
      <c r="P23">
        <v>0.77922369138208769</v>
      </c>
      <c r="Q23">
        <v>2.6061792835337925</v>
      </c>
      <c r="R23">
        <v>1.2057823808106087</v>
      </c>
      <c r="S23">
        <v>0.87923003247902698</v>
      </c>
      <c r="T23">
        <v>9.1529211266670725</v>
      </c>
      <c r="U23">
        <v>14.048332524045268</v>
      </c>
      <c r="V23">
        <v>5.6446335818562519</v>
      </c>
      <c r="W23">
        <v>2.0069751275483796</v>
      </c>
      <c r="X23">
        <v>1.0152617248599465</v>
      </c>
      <c r="Y23">
        <v>0.29405646979364919</v>
      </c>
      <c r="Z23">
        <v>0.327475969996887</v>
      </c>
      <c r="AA23">
        <v>1.1791745333565404</v>
      </c>
      <c r="AB23">
        <v>0.52253519300436613</v>
      </c>
      <c r="AC23">
        <v>0.71866115112800777</v>
      </c>
      <c r="AD23">
        <v>9.5751829145790666</v>
      </c>
      <c r="AE23">
        <v>0.25012140081343731</v>
      </c>
      <c r="AF23">
        <v>0.25659937565487134</v>
      </c>
      <c r="AG23">
        <v>7.4600357665607957</v>
      </c>
      <c r="AH23">
        <v>0.18649294764137669</v>
      </c>
      <c r="AI23">
        <v>1.0324008153141355</v>
      </c>
      <c r="AJ23">
        <v>2.7501371189591821</v>
      </c>
      <c r="AK23">
        <v>4.0741733381539085</v>
      </c>
      <c r="AL23">
        <v>17.254986038408365</v>
      </c>
    </row>
    <row r="24" spans="1:38" x14ac:dyDescent="0.35">
      <c r="A24" t="s">
        <v>74</v>
      </c>
      <c r="B24" t="s">
        <v>73</v>
      </c>
      <c r="C24">
        <v>1</v>
      </c>
      <c r="D24" t="s">
        <v>45</v>
      </c>
      <c r="E24">
        <v>12</v>
      </c>
      <c r="F24">
        <v>22</v>
      </c>
      <c r="G24" t="s">
        <v>12</v>
      </c>
      <c r="H24">
        <v>50</v>
      </c>
      <c r="I24">
        <v>58</v>
      </c>
      <c r="J24">
        <v>1.7994000000000001</v>
      </c>
      <c r="K24">
        <v>2.4952762031788462</v>
      </c>
      <c r="L24">
        <v>0.10255432666402002</v>
      </c>
      <c r="M24">
        <v>1.5537809049063533</v>
      </c>
      <c r="N24">
        <v>0.65770169856122307</v>
      </c>
      <c r="O24">
        <v>17.283085682170093</v>
      </c>
      <c r="P24">
        <v>0.85851609038953081</v>
      </c>
      <c r="Q24">
        <v>6.4963729787522047</v>
      </c>
      <c r="R24">
        <v>1.419659010634007</v>
      </c>
      <c r="S24">
        <v>1.3104289350640943</v>
      </c>
      <c r="T24">
        <v>9.2562187033764527</v>
      </c>
      <c r="U24">
        <v>18.736894311815945</v>
      </c>
      <c r="V24">
        <v>6.0942023800418852</v>
      </c>
      <c r="W24">
        <v>2.3154127480078319</v>
      </c>
      <c r="X24">
        <v>1.4093264941726276</v>
      </c>
      <c r="Y24">
        <v>0.59832258998581767</v>
      </c>
      <c r="Z24">
        <v>0.45150404483295231</v>
      </c>
      <c r="AA24">
        <v>1.6134145726682063</v>
      </c>
      <c r="AB24">
        <v>0.55913033907608056</v>
      </c>
      <c r="AC24">
        <v>0.53578622415290134</v>
      </c>
      <c r="AD24">
        <v>5.5980491726690556</v>
      </c>
      <c r="AE24">
        <v>0.27044739870073642</v>
      </c>
      <c r="AF24">
        <v>0.2878408273146672</v>
      </c>
      <c r="AG24">
        <v>5.2467656056099106</v>
      </c>
      <c r="AH24">
        <v>0.35472406159744296</v>
      </c>
      <c r="AI24">
        <v>0.66995389377837888</v>
      </c>
      <c r="AJ24">
        <v>1.3569107556964131</v>
      </c>
      <c r="AK24">
        <v>2.7244848671183375</v>
      </c>
      <c r="AL24">
        <v>12.238511382242855</v>
      </c>
    </row>
    <row r="25" spans="1:38" x14ac:dyDescent="0.35">
      <c r="A25" t="s">
        <v>75</v>
      </c>
      <c r="B25" t="s">
        <v>73</v>
      </c>
      <c r="C25">
        <v>1</v>
      </c>
      <c r="D25" t="s">
        <v>45</v>
      </c>
      <c r="E25">
        <v>12</v>
      </c>
      <c r="F25">
        <v>22</v>
      </c>
      <c r="G25" t="s">
        <v>12</v>
      </c>
      <c r="H25">
        <v>45</v>
      </c>
      <c r="I25">
        <v>53</v>
      </c>
      <c r="J25">
        <v>1.2607999999999999</v>
      </c>
      <c r="K25">
        <v>3.0298223350255049</v>
      </c>
      <c r="L25">
        <v>9.730056386863381E-2</v>
      </c>
      <c r="M25">
        <v>1.5605312091213279</v>
      </c>
      <c r="N25">
        <v>0.56470908738976378</v>
      </c>
      <c r="O25">
        <v>16.072665132722271</v>
      </c>
      <c r="P25">
        <v>0.90550255861882911</v>
      </c>
      <c r="Q25">
        <v>6.01939078940483</v>
      </c>
      <c r="R25">
        <v>1.2916907772051887</v>
      </c>
      <c r="S25">
        <v>1.2193889194632423</v>
      </c>
      <c r="T25">
        <v>8.69606550336262</v>
      </c>
      <c r="U25">
        <v>21.161548359704788</v>
      </c>
      <c r="V25">
        <v>6.6091891966015144</v>
      </c>
      <c r="W25">
        <v>0.17147600648194167</v>
      </c>
      <c r="X25">
        <v>1.5074932160527708</v>
      </c>
      <c r="Y25">
        <v>0.54924579259460549</v>
      </c>
      <c r="Z25">
        <v>0.46561025053678606</v>
      </c>
      <c r="AA25">
        <v>1.9583979228400716</v>
      </c>
      <c r="AB25">
        <v>0.60875920267995365</v>
      </c>
      <c r="AC25">
        <v>0.50597580852383994</v>
      </c>
      <c r="AD25">
        <v>5.5878778265627922</v>
      </c>
      <c r="AE25">
        <v>0.30508481102425128</v>
      </c>
      <c r="AF25">
        <v>0.29021334170751556</v>
      </c>
      <c r="AG25">
        <v>5.2654701885392603</v>
      </c>
      <c r="AH25">
        <v>0.39465567925464479</v>
      </c>
      <c r="AI25">
        <v>0.75874607860776122</v>
      </c>
      <c r="AJ25">
        <v>1.3542052124497874</v>
      </c>
      <c r="AK25">
        <v>3.1066386044478542</v>
      </c>
      <c r="AL25">
        <v>12.972167960233165</v>
      </c>
    </row>
    <row r="26" spans="1:38" x14ac:dyDescent="0.35">
      <c r="A26" t="s">
        <v>76</v>
      </c>
      <c r="B26" t="s">
        <v>73</v>
      </c>
      <c r="C26">
        <v>1</v>
      </c>
      <c r="D26" t="s">
        <v>45</v>
      </c>
      <c r="E26">
        <v>12</v>
      </c>
      <c r="F26">
        <v>33</v>
      </c>
      <c r="G26" t="s">
        <v>12</v>
      </c>
      <c r="H26">
        <v>50</v>
      </c>
      <c r="I26">
        <v>59</v>
      </c>
      <c r="J26">
        <v>2.1139000000000001</v>
      </c>
      <c r="K26">
        <v>3.8557742224739093</v>
      </c>
      <c r="L26">
        <v>0.10011100425724825</v>
      </c>
      <c r="M26">
        <v>1.6317769084617118</v>
      </c>
      <c r="N26">
        <v>0.53145659572942683</v>
      </c>
      <c r="O26">
        <v>15.345182374939769</v>
      </c>
      <c r="P26">
        <v>0.69800997050253466</v>
      </c>
      <c r="Q26">
        <v>5.915788715376098</v>
      </c>
      <c r="R26">
        <v>1.2083831101935507</v>
      </c>
      <c r="S26">
        <v>1.0348878306547415</v>
      </c>
      <c r="T26">
        <v>9.1482498242600521</v>
      </c>
      <c r="U26">
        <v>22.888312103861477</v>
      </c>
      <c r="V26">
        <v>6.675764301564695</v>
      </c>
      <c r="W26">
        <v>2.0040271310423616</v>
      </c>
      <c r="X26">
        <v>1.2646202956936357</v>
      </c>
      <c r="Y26">
        <v>0.39322458913519714</v>
      </c>
      <c r="Z26">
        <v>0.56295855147590024</v>
      </c>
      <c r="AA26">
        <v>2.8399083734725075</v>
      </c>
      <c r="AB26">
        <v>0.59929053816311506</v>
      </c>
      <c r="AC26">
        <v>0.49418055046484816</v>
      </c>
      <c r="AD26">
        <v>4.7817666269724288</v>
      </c>
      <c r="AE26">
        <v>0.30631600670573966</v>
      </c>
      <c r="AF26">
        <v>0.26271127966590824</v>
      </c>
      <c r="AG26">
        <v>4.3969744214547051</v>
      </c>
      <c r="AH26">
        <v>0.49722390060803429</v>
      </c>
      <c r="AI26">
        <v>0.67908275048109523</v>
      </c>
      <c r="AJ26">
        <v>1.2999763790136072</v>
      </c>
      <c r="AK26">
        <v>2.4829719276885611</v>
      </c>
      <c r="AL26">
        <v>11.956843938161059</v>
      </c>
    </row>
    <row r="27" spans="1:38" x14ac:dyDescent="0.35">
      <c r="A27" t="s">
        <v>77</v>
      </c>
      <c r="B27" t="s">
        <v>73</v>
      </c>
      <c r="C27">
        <v>1</v>
      </c>
      <c r="D27" t="s">
        <v>45</v>
      </c>
      <c r="E27">
        <v>12</v>
      </c>
      <c r="F27">
        <v>33</v>
      </c>
      <c r="G27" t="s">
        <v>12</v>
      </c>
      <c r="H27">
        <v>52</v>
      </c>
      <c r="I27">
        <v>62</v>
      </c>
      <c r="J27">
        <v>2.3445999999999998</v>
      </c>
      <c r="K27">
        <v>3.3438539622963512</v>
      </c>
      <c r="L27">
        <v>9.4187423750466279E-2</v>
      </c>
      <c r="M27">
        <v>1.4900251283211876</v>
      </c>
      <c r="N27">
        <v>0.52165005220906935</v>
      </c>
      <c r="O27">
        <v>15.263828807425051</v>
      </c>
      <c r="P27">
        <v>0.74725519899431492</v>
      </c>
      <c r="Q27">
        <v>5.6453979428548404</v>
      </c>
      <c r="R27">
        <v>1.2048586898020863</v>
      </c>
      <c r="S27">
        <v>1.0410472962651918</v>
      </c>
      <c r="T27">
        <v>8.9557518839478938</v>
      </c>
      <c r="U27">
        <v>20.255999137513083</v>
      </c>
      <c r="V27">
        <v>7.0834102810806918</v>
      </c>
      <c r="W27">
        <v>2.0567642423827137</v>
      </c>
      <c r="X27">
        <v>1.2417944183506062</v>
      </c>
      <c r="Y27">
        <v>0.40914528881806295</v>
      </c>
      <c r="Z27">
        <v>0.61888937050023218</v>
      </c>
      <c r="AA27">
        <v>2.3810960366072345</v>
      </c>
      <c r="AB27">
        <v>0.6225050997482714</v>
      </c>
      <c r="AC27">
        <v>0.56366454466006766</v>
      </c>
      <c r="AD27">
        <v>5.3264221734418484</v>
      </c>
      <c r="AE27">
        <v>0.31400106692508234</v>
      </c>
      <c r="AF27">
        <v>0.25521891984875233</v>
      </c>
      <c r="AG27">
        <v>4.8709319999025151</v>
      </c>
      <c r="AH27">
        <v>0.52054333679517717</v>
      </c>
      <c r="AI27">
        <v>0.79693298456644102</v>
      </c>
      <c r="AJ27">
        <v>1.5079323971539274</v>
      </c>
      <c r="AK27">
        <v>3.0110317084726512</v>
      </c>
      <c r="AL27">
        <v>13.199714569662545</v>
      </c>
    </row>
    <row r="28" spans="1:38" x14ac:dyDescent="0.35">
      <c r="A28" t="s">
        <v>78</v>
      </c>
      <c r="B28" t="s">
        <v>73</v>
      </c>
      <c r="C28">
        <v>1</v>
      </c>
      <c r="D28" t="s">
        <v>45</v>
      </c>
      <c r="E28">
        <v>12</v>
      </c>
      <c r="F28">
        <v>39</v>
      </c>
      <c r="G28" t="s">
        <v>12</v>
      </c>
      <c r="H28">
        <v>46</v>
      </c>
      <c r="I28">
        <v>56</v>
      </c>
      <c r="J28">
        <v>1.6263000000000001</v>
      </c>
      <c r="K28">
        <v>3.1728463383138878</v>
      </c>
      <c r="L28">
        <v>7.6641936501951669E-2</v>
      </c>
      <c r="M28">
        <v>1.2437352027745363</v>
      </c>
      <c r="N28">
        <v>0.49809926020690387</v>
      </c>
      <c r="O28">
        <v>13.698126813887924</v>
      </c>
      <c r="P28">
        <v>0.68508305595133845</v>
      </c>
      <c r="Q28">
        <v>4.8760879489252726</v>
      </c>
      <c r="R28">
        <v>1.1852340982237795</v>
      </c>
      <c r="S28">
        <v>1.0958420964923519</v>
      </c>
      <c r="T28">
        <v>8.7593023451300454</v>
      </c>
      <c r="U28">
        <v>18.423049612697525</v>
      </c>
      <c r="V28">
        <v>7.0222261825455101</v>
      </c>
      <c r="W28">
        <v>2.2322263586024942</v>
      </c>
      <c r="X28">
        <v>1.3879912346900762</v>
      </c>
      <c r="Y28">
        <v>0.48726126591301178</v>
      </c>
      <c r="Z28">
        <v>0.57881194542684677</v>
      </c>
      <c r="AA28">
        <v>1.9700490240198023</v>
      </c>
      <c r="AB28">
        <v>0.6385702536477047</v>
      </c>
      <c r="AC28">
        <v>0.5975370358305423</v>
      </c>
      <c r="AD28">
        <v>5.97820538729641</v>
      </c>
      <c r="AE28">
        <v>0.35133497793485408</v>
      </c>
      <c r="AF28">
        <v>0.32040294686313281</v>
      </c>
      <c r="AG28">
        <v>5.511660341013279</v>
      </c>
      <c r="AH28">
        <v>0.49199926136369637</v>
      </c>
      <c r="AI28">
        <v>0.93743836404918979</v>
      </c>
      <c r="AJ28">
        <v>1.7307399713669209</v>
      </c>
      <c r="AK28">
        <v>3.654730499879788</v>
      </c>
      <c r="AL28">
        <v>15.567612578765106</v>
      </c>
    </row>
    <row r="29" spans="1:38" x14ac:dyDescent="0.35">
      <c r="A29" t="s">
        <v>79</v>
      </c>
      <c r="B29" t="s">
        <v>73</v>
      </c>
      <c r="C29">
        <v>1</v>
      </c>
      <c r="D29" t="s">
        <v>45</v>
      </c>
      <c r="E29">
        <v>12</v>
      </c>
      <c r="F29">
        <v>39</v>
      </c>
      <c r="G29" t="s">
        <v>12</v>
      </c>
      <c r="H29">
        <v>49</v>
      </c>
      <c r="I29">
        <v>57</v>
      </c>
      <c r="J29">
        <v>1.6989000000000001</v>
      </c>
      <c r="K29">
        <v>3.0784625345811349</v>
      </c>
      <c r="L29">
        <v>0.150540692848597</v>
      </c>
      <c r="M29">
        <v>0.14519987770120946</v>
      </c>
      <c r="N29">
        <v>1.5288961534269402E-2</v>
      </c>
      <c r="O29">
        <v>17.438912785056115</v>
      </c>
      <c r="P29">
        <v>0.96391099715759399</v>
      </c>
      <c r="Q29">
        <v>7.4064687668420568</v>
      </c>
      <c r="R29">
        <v>0.62877698854895836</v>
      </c>
      <c r="S29">
        <v>1.3966385322519514</v>
      </c>
      <c r="T29">
        <v>9.2646985901441425</v>
      </c>
      <c r="U29">
        <v>21.710768170308473</v>
      </c>
      <c r="V29">
        <v>7.3678493826063249</v>
      </c>
      <c r="W29">
        <v>2.2269477589074014</v>
      </c>
      <c r="X29">
        <v>0.8659770865634544</v>
      </c>
      <c r="Y29">
        <v>0.335557951623147</v>
      </c>
      <c r="Z29">
        <v>0.59163525637997139</v>
      </c>
      <c r="AA29">
        <v>2.27541494828633</v>
      </c>
      <c r="AB29">
        <v>0.30656669021959393</v>
      </c>
      <c r="AC29">
        <v>0.51117271677093323</v>
      </c>
      <c r="AD29">
        <v>0.55856986833672551</v>
      </c>
      <c r="AE29">
        <v>4.9004748818944748</v>
      </c>
      <c r="AF29">
        <v>0.24760706242374014</v>
      </c>
      <c r="AG29">
        <v>4.4965872647808736</v>
      </c>
      <c r="AH29">
        <v>0.35950271875481721</v>
      </c>
      <c r="AI29">
        <v>0.62588689866424996</v>
      </c>
      <c r="AJ29">
        <v>1.2418406693698547</v>
      </c>
      <c r="AK29">
        <v>2.3973687685507321</v>
      </c>
      <c r="AL29">
        <v>11.569835713473999</v>
      </c>
    </row>
    <row r="30" spans="1:38" x14ac:dyDescent="0.35">
      <c r="A30" t="s">
        <v>80</v>
      </c>
      <c r="B30" t="s">
        <v>73</v>
      </c>
      <c r="C30">
        <v>1</v>
      </c>
      <c r="D30" t="s">
        <v>45</v>
      </c>
      <c r="E30">
        <v>12</v>
      </c>
      <c r="F30">
        <v>39</v>
      </c>
      <c r="G30" t="s">
        <v>12</v>
      </c>
      <c r="H30">
        <v>46</v>
      </c>
      <c r="I30">
        <v>54</v>
      </c>
      <c r="J30">
        <v>1.3959999999999999</v>
      </c>
      <c r="K30">
        <v>3.2378223495702896</v>
      </c>
      <c r="L30">
        <v>0.16587966414507516</v>
      </c>
      <c r="M30">
        <v>0.13265770593314685</v>
      </c>
      <c r="N30">
        <v>1.6044901763845484E-2</v>
      </c>
      <c r="O30">
        <v>18.475070050175155</v>
      </c>
      <c r="P30">
        <v>0.93006263236094899</v>
      </c>
      <c r="Q30">
        <v>7.7292533279553153</v>
      </c>
      <c r="R30">
        <v>1.468173888356227</v>
      </c>
      <c r="S30">
        <v>1.4608959503444978</v>
      </c>
      <c r="T30">
        <v>9.2506857322236105</v>
      </c>
      <c r="U30">
        <v>20.722016865961471</v>
      </c>
      <c r="V30">
        <v>7.8552962798032553</v>
      </c>
      <c r="W30">
        <v>0.2898651593397929</v>
      </c>
      <c r="X30">
        <v>1.0199577889183942</v>
      </c>
      <c r="Y30">
        <v>0.39338722884170724</v>
      </c>
      <c r="Z30">
        <v>0.63296181211304992</v>
      </c>
      <c r="AA30">
        <v>1.8665330789225669</v>
      </c>
      <c r="AB30">
        <v>0.23036601991725958</v>
      </c>
      <c r="AC30">
        <v>0.729160702743894</v>
      </c>
      <c r="AD30">
        <v>4.9661749044240873</v>
      </c>
      <c r="AE30">
        <v>0.30825308433720894</v>
      </c>
      <c r="AF30">
        <v>0.31800401498766739</v>
      </c>
      <c r="AG30">
        <v>4.7711136656341528</v>
      </c>
      <c r="AH30">
        <v>0.42843085078871335</v>
      </c>
      <c r="AI30">
        <v>0.71521004307188707</v>
      </c>
      <c r="AJ30">
        <v>1.2113567845031505</v>
      </c>
      <c r="AK30">
        <v>2.4346402450308409</v>
      </c>
      <c r="AL30">
        <v>11.478547617403089</v>
      </c>
    </row>
    <row r="31" spans="1:38" x14ac:dyDescent="0.35">
      <c r="A31" t="s">
        <v>81</v>
      </c>
      <c r="B31" t="s">
        <v>73</v>
      </c>
      <c r="C31">
        <v>1</v>
      </c>
      <c r="D31" t="s">
        <v>45</v>
      </c>
      <c r="E31">
        <v>12</v>
      </c>
      <c r="F31">
        <v>39</v>
      </c>
      <c r="G31" t="s">
        <v>12</v>
      </c>
      <c r="H31">
        <v>47</v>
      </c>
      <c r="I31">
        <v>56</v>
      </c>
      <c r="J31">
        <v>1.4736</v>
      </c>
      <c r="K31">
        <v>2.7483713355048693</v>
      </c>
      <c r="L31">
        <v>0.12558169021100302</v>
      </c>
      <c r="M31">
        <v>0.12090396992967774</v>
      </c>
      <c r="N31">
        <v>1.6353770534348895E-2</v>
      </c>
      <c r="O31">
        <v>18.610871528571774</v>
      </c>
      <c r="P31">
        <v>0.9077790378912447</v>
      </c>
      <c r="Q31">
        <v>7.6449230560400636</v>
      </c>
      <c r="R31">
        <v>1.3062675719624588</v>
      </c>
      <c r="S31">
        <v>1.3034080613354466</v>
      </c>
      <c r="T31">
        <v>8.7182528171063574</v>
      </c>
      <c r="U31">
        <v>21.854852156513061</v>
      </c>
      <c r="V31">
        <v>7.643215989577401</v>
      </c>
      <c r="W31">
        <v>0.24317720210729524</v>
      </c>
      <c r="X31">
        <v>0.94719686624429966</v>
      </c>
      <c r="Y31">
        <v>0.35913837592709785</v>
      </c>
      <c r="Z31">
        <v>0.62739566124950175</v>
      </c>
      <c r="AA31">
        <v>1.7638486033363079</v>
      </c>
      <c r="AB31">
        <v>0.30742945031088736</v>
      </c>
      <c r="AC31">
        <v>0.59895708505864076</v>
      </c>
      <c r="AD31">
        <v>5.0265919245426716</v>
      </c>
      <c r="AE31">
        <v>0.24360550668225481</v>
      </c>
      <c r="AF31">
        <v>0.27658400200169309</v>
      </c>
      <c r="AG31">
        <v>4.6191694191091255</v>
      </c>
      <c r="AH31">
        <v>0.37717651948030312</v>
      </c>
      <c r="AI31">
        <v>0.5700172024916621</v>
      </c>
      <c r="AJ31">
        <v>1.188170753690049</v>
      </c>
      <c r="AK31">
        <v>2.410118101042535</v>
      </c>
      <c r="AL31">
        <v>12.189013677052868</v>
      </c>
    </row>
    <row r="32" spans="1:38" x14ac:dyDescent="0.35">
      <c r="A32" t="s">
        <v>82</v>
      </c>
      <c r="B32" t="s">
        <v>73</v>
      </c>
      <c r="C32">
        <v>1</v>
      </c>
      <c r="D32" t="s">
        <v>49</v>
      </c>
      <c r="E32">
        <v>12</v>
      </c>
      <c r="F32">
        <v>23</v>
      </c>
      <c r="G32" t="s">
        <v>13</v>
      </c>
      <c r="H32">
        <v>43</v>
      </c>
      <c r="I32">
        <v>51</v>
      </c>
      <c r="J32">
        <v>1.1694</v>
      </c>
      <c r="K32">
        <v>2.2490165897040448</v>
      </c>
      <c r="L32">
        <v>8.2025563116726652E-2</v>
      </c>
      <c r="M32">
        <v>0.14510880326298123</v>
      </c>
      <c r="N32">
        <v>0.4647092159239864</v>
      </c>
      <c r="O32">
        <v>16.392587173339741</v>
      </c>
      <c r="P32">
        <v>1.8855141132322706</v>
      </c>
      <c r="Q32">
        <v>5.8217214474979579</v>
      </c>
      <c r="R32">
        <v>1.105129403598919</v>
      </c>
      <c r="S32">
        <v>1.1025987269779363</v>
      </c>
      <c r="T32">
        <v>7.4875008676605566</v>
      </c>
      <c r="U32">
        <v>21.631235472968129</v>
      </c>
      <c r="V32">
        <v>8.4918242433881179</v>
      </c>
      <c r="W32">
        <v>2.2592459900923494</v>
      </c>
      <c r="X32">
        <v>0.69180623040773126</v>
      </c>
      <c r="Y32">
        <v>0.40909943907184326</v>
      </c>
      <c r="Z32">
        <v>0.34971335127004127</v>
      </c>
      <c r="AA32">
        <v>1.7440966367886837</v>
      </c>
      <c r="AB32">
        <v>0.24605738515929995</v>
      </c>
      <c r="AC32">
        <v>0.83765636029089685</v>
      </c>
      <c r="AD32">
        <v>5.6965504466345545</v>
      </c>
      <c r="AE32">
        <v>0.10442459274051306</v>
      </c>
      <c r="AF32">
        <v>0.16239016623590377</v>
      </c>
      <c r="AG32">
        <v>4.6225082150412122</v>
      </c>
      <c r="AH32">
        <v>0.2318130625835198</v>
      </c>
      <c r="AI32">
        <v>0.58903163197054009</v>
      </c>
      <c r="AJ32">
        <v>1.426971501147615</v>
      </c>
      <c r="AK32">
        <v>2.9571331548532576</v>
      </c>
      <c r="AL32">
        <v>13.06154680474474</v>
      </c>
    </row>
    <row r="33" spans="1:38" x14ac:dyDescent="0.35">
      <c r="A33" t="s">
        <v>83</v>
      </c>
      <c r="B33" t="s">
        <v>73</v>
      </c>
      <c r="C33">
        <v>1</v>
      </c>
      <c r="D33" t="s">
        <v>49</v>
      </c>
      <c r="E33">
        <v>12</v>
      </c>
      <c r="F33">
        <v>23</v>
      </c>
      <c r="G33" t="s">
        <v>13</v>
      </c>
      <c r="H33">
        <v>35</v>
      </c>
      <c r="I33">
        <v>43</v>
      </c>
      <c r="J33">
        <v>0.65790000000000004</v>
      </c>
      <c r="K33">
        <v>1.8847849217205535</v>
      </c>
      <c r="L33">
        <v>9.4887008154452793E-2</v>
      </c>
      <c r="M33">
        <v>0.10956903317353246</v>
      </c>
      <c r="N33">
        <v>0.52287646803297427</v>
      </c>
      <c r="O33">
        <v>19.617534072982885</v>
      </c>
      <c r="P33">
        <v>2.0647021502614638</v>
      </c>
      <c r="Q33">
        <v>5.8756736531308453</v>
      </c>
      <c r="R33">
        <v>0.9499866741974895</v>
      </c>
      <c r="S33">
        <v>0.91907167375708365</v>
      </c>
      <c r="T33">
        <v>7.3802710275060628</v>
      </c>
      <c r="U33">
        <v>21.191506810491259</v>
      </c>
      <c r="V33">
        <v>7.7425336377087639</v>
      </c>
      <c r="W33">
        <v>1.8516730415844582</v>
      </c>
      <c r="X33">
        <v>0.67232669025003222</v>
      </c>
      <c r="Y33">
        <v>0.35703473897976667</v>
      </c>
      <c r="Z33">
        <v>0.27845951377077188</v>
      </c>
      <c r="AA33">
        <v>1.1136845636843422</v>
      </c>
      <c r="AB33">
        <v>0.30393358776311957</v>
      </c>
      <c r="AC33">
        <v>0.85525499017490125</v>
      </c>
      <c r="AD33">
        <v>5.285399799183768</v>
      </c>
      <c r="AE33">
        <v>0.14229431575257212</v>
      </c>
      <c r="AF33">
        <v>0.18357113106647954</v>
      </c>
      <c r="AG33">
        <v>4.7527896855539469</v>
      </c>
      <c r="AH33">
        <v>0</v>
      </c>
      <c r="AI33">
        <v>0.37042147986674867</v>
      </c>
      <c r="AJ33">
        <v>1.1836748087790412</v>
      </c>
      <c r="AK33">
        <v>2.0374851470726179</v>
      </c>
      <c r="AL33">
        <v>14.143384297120642</v>
      </c>
    </row>
    <row r="34" spans="1:38" x14ac:dyDescent="0.35">
      <c r="A34" t="s">
        <v>84</v>
      </c>
      <c r="B34" t="s">
        <v>73</v>
      </c>
      <c r="C34">
        <v>1</v>
      </c>
      <c r="D34" t="s">
        <v>49</v>
      </c>
      <c r="E34">
        <v>12</v>
      </c>
      <c r="F34">
        <v>23</v>
      </c>
      <c r="G34" t="s">
        <v>13</v>
      </c>
      <c r="H34">
        <v>30</v>
      </c>
      <c r="I34">
        <v>35</v>
      </c>
      <c r="J34">
        <v>0.48120000000000002</v>
      </c>
      <c r="K34">
        <v>1.9534497090605587</v>
      </c>
      <c r="L34">
        <v>9.3429144229618372E-2</v>
      </c>
      <c r="M34">
        <v>3.8178193216528211E-2</v>
      </c>
      <c r="N34">
        <v>0.56246450869153608</v>
      </c>
      <c r="O34">
        <v>20.736401336022823</v>
      </c>
      <c r="P34">
        <v>2.515946940369385</v>
      </c>
      <c r="Q34">
        <v>6.5726664987381023</v>
      </c>
      <c r="R34">
        <v>2.0443289606247219E-2</v>
      </c>
      <c r="S34">
        <v>1.0449511742369937</v>
      </c>
      <c r="T34">
        <v>7.6945042692776102</v>
      </c>
      <c r="U34">
        <v>21.944075768765927</v>
      </c>
      <c r="V34">
        <v>8.4599799717537447</v>
      </c>
      <c r="W34">
        <v>1.8494367595969816</v>
      </c>
      <c r="X34">
        <v>0.62907921355794949</v>
      </c>
      <c r="Y34">
        <v>0.36442064155603809</v>
      </c>
      <c r="Z34">
        <v>0.2615149206945061</v>
      </c>
      <c r="AA34">
        <v>1.1951614798238834</v>
      </c>
      <c r="AB34">
        <v>0.18629170372664108</v>
      </c>
      <c r="AC34">
        <v>1.0344141778661631</v>
      </c>
      <c r="AD34">
        <v>4.9825634010935982</v>
      </c>
      <c r="AE34">
        <v>0.14448650508915467</v>
      </c>
      <c r="AF34">
        <v>0.20971773211014405</v>
      </c>
      <c r="AG34">
        <v>4.103208483027454</v>
      </c>
      <c r="AH34">
        <v>1.7102350905554987E-2</v>
      </c>
      <c r="AI34">
        <v>0.32054885747387185</v>
      </c>
      <c r="AJ34">
        <v>1.1131256825565816</v>
      </c>
      <c r="AK34">
        <v>1.9985699993211459</v>
      </c>
      <c r="AL34">
        <v>11.90731699669179</v>
      </c>
    </row>
    <row r="35" spans="1:38" x14ac:dyDescent="0.35">
      <c r="A35" t="s">
        <v>85</v>
      </c>
      <c r="B35" t="s">
        <v>73</v>
      </c>
      <c r="C35">
        <v>1</v>
      </c>
      <c r="D35" t="s">
        <v>49</v>
      </c>
      <c r="E35">
        <v>12</v>
      </c>
      <c r="F35">
        <v>34</v>
      </c>
      <c r="G35" t="s">
        <v>13</v>
      </c>
      <c r="H35">
        <v>40</v>
      </c>
      <c r="I35">
        <v>47</v>
      </c>
      <c r="J35">
        <v>0.96799999999999997</v>
      </c>
      <c r="K35">
        <v>2.4586776859503718</v>
      </c>
      <c r="L35">
        <v>0.11471577818109797</v>
      </c>
      <c r="M35">
        <v>0.1385630313845968</v>
      </c>
      <c r="N35">
        <v>0.69541914764284807</v>
      </c>
      <c r="O35">
        <v>18.602446981831928</v>
      </c>
      <c r="P35">
        <v>2.6896354528935911</v>
      </c>
      <c r="Q35">
        <v>7.5425155108991833</v>
      </c>
      <c r="R35">
        <v>8.8919879827488377E-2</v>
      </c>
      <c r="S35">
        <v>1.1116618730962169</v>
      </c>
      <c r="T35">
        <v>7.5927628873824853</v>
      </c>
      <c r="U35">
        <v>23.528680683701186</v>
      </c>
      <c r="V35">
        <v>9.30950898779966</v>
      </c>
      <c r="W35">
        <v>2.0279630447286654</v>
      </c>
      <c r="X35">
        <v>0.73846088496052786</v>
      </c>
      <c r="Y35">
        <v>0.45185141579412857</v>
      </c>
      <c r="Z35">
        <v>0.24082434514719106</v>
      </c>
      <c r="AA35">
        <v>1.3894669971976399</v>
      </c>
      <c r="AB35">
        <v>0.22118005207138208</v>
      </c>
      <c r="AC35">
        <v>0.57661819762102429</v>
      </c>
      <c r="AD35">
        <v>4.547933297784283</v>
      </c>
      <c r="AE35">
        <v>7.8632772590818453E-2</v>
      </c>
      <c r="AF35">
        <v>0.13337560360568126</v>
      </c>
      <c r="AG35">
        <v>3.3064255170642278</v>
      </c>
      <c r="AH35">
        <v>0.20775772103538587</v>
      </c>
      <c r="AI35">
        <v>0.33871721546170735</v>
      </c>
      <c r="AJ35">
        <v>1.0952152553275878</v>
      </c>
      <c r="AK35">
        <v>1.6653153073863212</v>
      </c>
      <c r="AL35">
        <v>11.565432157583125</v>
      </c>
    </row>
    <row r="36" spans="1:38" x14ac:dyDescent="0.35">
      <c r="A36" t="s">
        <v>86</v>
      </c>
      <c r="B36" t="s">
        <v>73</v>
      </c>
      <c r="C36">
        <v>1</v>
      </c>
      <c r="D36" t="s">
        <v>49</v>
      </c>
      <c r="E36">
        <v>12</v>
      </c>
      <c r="F36">
        <v>34</v>
      </c>
      <c r="G36" t="s">
        <v>13</v>
      </c>
      <c r="H36">
        <v>41</v>
      </c>
      <c r="I36">
        <v>50</v>
      </c>
      <c r="J36">
        <v>1.0832999999999999</v>
      </c>
      <c r="K36">
        <v>2.1046801440042811</v>
      </c>
      <c r="L36">
        <v>8.2986987181675562E-2</v>
      </c>
      <c r="M36">
        <v>0.10763369048357894</v>
      </c>
      <c r="N36">
        <v>0.63633898113272991</v>
      </c>
      <c r="O36">
        <v>18.711399993711705</v>
      </c>
      <c r="P36">
        <v>2.5856939575929676</v>
      </c>
      <c r="Q36">
        <v>7.018013111341725</v>
      </c>
      <c r="R36">
        <v>7.4296925185234328E-2</v>
      </c>
      <c r="S36">
        <v>1.0658129897245561</v>
      </c>
      <c r="T36">
        <v>7.7353184406422502</v>
      </c>
      <c r="U36">
        <v>22.339126976868567</v>
      </c>
      <c r="V36">
        <v>8.7799858537855382</v>
      </c>
      <c r="W36">
        <v>1.9838770190337969</v>
      </c>
      <c r="X36">
        <v>0.63601978588037478</v>
      </c>
      <c r="Y36">
        <v>0.45363165154053259</v>
      </c>
      <c r="Z36">
        <v>0.23968327143861398</v>
      </c>
      <c r="AA36">
        <v>1.5129925601862158</v>
      </c>
      <c r="AB36">
        <v>0.26807292102443964</v>
      </c>
      <c r="AC36">
        <v>0.75686631987999919</v>
      </c>
      <c r="AD36">
        <v>5.0471403007388016</v>
      </c>
      <c r="AE36">
        <v>8.6011210239116065E-2</v>
      </c>
      <c r="AF36">
        <v>0.14396822982462953</v>
      </c>
      <c r="AG36">
        <v>3.9577365969465874</v>
      </c>
      <c r="AH36">
        <v>0.21625125145936344</v>
      </c>
      <c r="AI36">
        <v>0.35058711153278616</v>
      </c>
      <c r="AJ36">
        <v>1.182661286950212</v>
      </c>
      <c r="AK36">
        <v>2.0095461985326426</v>
      </c>
      <c r="AL36">
        <v>12.018346377141359</v>
      </c>
    </row>
    <row r="37" spans="1:38" x14ac:dyDescent="0.35">
      <c r="A37" t="s">
        <v>87</v>
      </c>
      <c r="B37" t="s">
        <v>73</v>
      </c>
      <c r="C37">
        <v>1</v>
      </c>
      <c r="D37" t="s">
        <v>49</v>
      </c>
      <c r="E37">
        <v>12</v>
      </c>
      <c r="F37">
        <v>35</v>
      </c>
      <c r="G37" t="s">
        <v>13</v>
      </c>
      <c r="H37">
        <v>42</v>
      </c>
      <c r="I37">
        <v>50</v>
      </c>
      <c r="J37">
        <v>1.1556999999999999</v>
      </c>
      <c r="K37">
        <v>2.405468547200758</v>
      </c>
      <c r="L37">
        <v>0.11959124651191631</v>
      </c>
      <c r="M37">
        <v>7.1837021502171985E-2</v>
      </c>
      <c r="N37">
        <v>0.78127617017978579</v>
      </c>
      <c r="O37">
        <v>17.754241412124333</v>
      </c>
      <c r="P37">
        <v>2.9765585483826533</v>
      </c>
      <c r="Q37">
        <v>7.5951989469020349</v>
      </c>
      <c r="R37">
        <v>9.6226761142045314E-2</v>
      </c>
      <c r="S37">
        <v>1.2146462116680401</v>
      </c>
      <c r="T37">
        <v>7.6403758962540458</v>
      </c>
      <c r="U37">
        <v>21.994400987240589</v>
      </c>
      <c r="V37">
        <v>9.4009574706539336</v>
      </c>
      <c r="W37">
        <v>2.1751015416007689</v>
      </c>
      <c r="X37">
        <v>0.80707425209931727</v>
      </c>
      <c r="Y37">
        <v>0.54174781739932909</v>
      </c>
      <c r="Z37">
        <v>0.28941125721979177</v>
      </c>
      <c r="AA37">
        <v>1.6778701042111066</v>
      </c>
      <c r="AB37">
        <v>0.33051470969698254</v>
      </c>
      <c r="AC37">
        <v>0.69918998268988375</v>
      </c>
      <c r="AD37">
        <v>4.6469462802412149</v>
      </c>
      <c r="AE37">
        <v>0.10350990746929525</v>
      </c>
      <c r="AF37">
        <v>0.15513502661627193</v>
      </c>
      <c r="AG37">
        <v>3.8385009141152708</v>
      </c>
      <c r="AH37">
        <v>0.24628574500366598</v>
      </c>
      <c r="AI37">
        <v>0.3755635972352766</v>
      </c>
      <c r="AJ37">
        <v>1.1758369819406103</v>
      </c>
      <c r="AK37">
        <v>2.0755656024114537</v>
      </c>
      <c r="AL37">
        <v>11.216435607488195</v>
      </c>
    </row>
    <row r="38" spans="1:38" x14ac:dyDescent="0.35">
      <c r="A38" t="s">
        <v>88</v>
      </c>
      <c r="B38" t="s">
        <v>73</v>
      </c>
      <c r="C38">
        <v>1</v>
      </c>
      <c r="D38" t="s">
        <v>49</v>
      </c>
      <c r="E38">
        <v>12</v>
      </c>
      <c r="F38">
        <v>35</v>
      </c>
      <c r="G38" t="s">
        <v>13</v>
      </c>
      <c r="H38">
        <v>35</v>
      </c>
      <c r="I38">
        <v>42</v>
      </c>
      <c r="J38">
        <v>0.71830000000000005</v>
      </c>
      <c r="K38">
        <v>1.9072810803285598</v>
      </c>
      <c r="L38">
        <v>7.202150865230561E-2</v>
      </c>
      <c r="M38">
        <v>4.0010290058192149E-2</v>
      </c>
      <c r="N38">
        <v>0.53235118827382932</v>
      </c>
      <c r="O38">
        <v>19.009182615882025</v>
      </c>
      <c r="P38">
        <v>2.5129932646708988</v>
      </c>
      <c r="Q38">
        <v>6.1295100624192722</v>
      </c>
      <c r="R38">
        <v>6.9254990412786169E-2</v>
      </c>
      <c r="S38">
        <v>1.0643284486031896</v>
      </c>
      <c r="T38">
        <v>8.1110968630444233</v>
      </c>
      <c r="U38">
        <v>21.671422499855748</v>
      </c>
      <c r="V38">
        <v>8.3678211007788992</v>
      </c>
      <c r="W38">
        <v>1.8906159524560653</v>
      </c>
      <c r="X38">
        <v>0.61882362536849822</v>
      </c>
      <c r="Y38">
        <v>0.37835931059828282</v>
      </c>
      <c r="Z38">
        <v>0.24224740556327864</v>
      </c>
      <c r="AA38">
        <v>1.4057353281447496</v>
      </c>
      <c r="AB38">
        <v>0.24688996326991439</v>
      </c>
      <c r="AC38">
        <v>1.2872166262346032</v>
      </c>
      <c r="AD38">
        <v>5.1635664139273381</v>
      </c>
      <c r="AE38">
        <v>0.10062349178205424</v>
      </c>
      <c r="AF38">
        <v>0.13462259300189861</v>
      </c>
      <c r="AG38">
        <v>4.2216559402982572</v>
      </c>
      <c r="AH38">
        <v>0.26032637979122009</v>
      </c>
      <c r="AI38">
        <v>0.39199168120947725</v>
      </c>
      <c r="AJ38">
        <v>1.2374232596700161</v>
      </c>
      <c r="AK38">
        <v>2.1468117541223184</v>
      </c>
      <c r="AL38">
        <v>12.69309744191048</v>
      </c>
    </row>
    <row r="39" spans="1:38" x14ac:dyDescent="0.35">
      <c r="A39" t="s">
        <v>89</v>
      </c>
      <c r="B39" t="s">
        <v>73</v>
      </c>
      <c r="C39">
        <v>1</v>
      </c>
      <c r="D39" t="s">
        <v>49</v>
      </c>
      <c r="E39">
        <v>12</v>
      </c>
      <c r="F39">
        <v>35</v>
      </c>
      <c r="G39" t="s">
        <v>13</v>
      </c>
      <c r="H39">
        <v>39</v>
      </c>
      <c r="I39">
        <v>44</v>
      </c>
      <c r="J39">
        <v>0.95099999999999996</v>
      </c>
      <c r="K39">
        <v>2.1030494216613644</v>
      </c>
      <c r="L39">
        <v>6.889437797331488E-2</v>
      </c>
      <c r="M39">
        <v>0.19311256917966693</v>
      </c>
      <c r="N39">
        <v>0.57990355641812119</v>
      </c>
      <c r="O39">
        <v>19.416915592883178</v>
      </c>
      <c r="P39">
        <v>2.4233733484706197</v>
      </c>
      <c r="Q39">
        <v>6.5826729744968215</v>
      </c>
      <c r="R39">
        <v>8.4912128187923527E-2</v>
      </c>
      <c r="S39">
        <v>1.1444941632477938</v>
      </c>
      <c r="T39">
        <v>7.9245703967534542</v>
      </c>
      <c r="U39">
        <v>22.381568816274246</v>
      </c>
      <c r="V39">
        <v>8.6957441856581408</v>
      </c>
      <c r="W39">
        <v>2.0828528259316221</v>
      </c>
      <c r="X39">
        <v>0.76028954676305782</v>
      </c>
      <c r="Y39">
        <v>0.42474302970337874</v>
      </c>
      <c r="Z39">
        <v>0.22319550564754431</v>
      </c>
      <c r="AA39">
        <v>1.3612266611653918</v>
      </c>
      <c r="AB39">
        <v>0.22910644290690016</v>
      </c>
      <c r="AC39">
        <v>0.73154054706675975</v>
      </c>
      <c r="AD39">
        <v>4.9850564635561811</v>
      </c>
      <c r="AE39">
        <v>9.225835525787561E-2</v>
      </c>
      <c r="AF39">
        <v>0.16718604144088028</v>
      </c>
      <c r="AG39">
        <v>4.1243704262733436</v>
      </c>
      <c r="AH39">
        <v>0.1780646788061592</v>
      </c>
      <c r="AI39">
        <v>0.37285751322943822</v>
      </c>
      <c r="AJ39">
        <v>1.1525447238792099</v>
      </c>
      <c r="AK39">
        <v>2.1172061349143978</v>
      </c>
      <c r="AL39">
        <v>11.501338993914572</v>
      </c>
    </row>
    <row r="40" spans="1:38" x14ac:dyDescent="0.35">
      <c r="A40" t="s">
        <v>90</v>
      </c>
      <c r="B40" t="s">
        <v>73</v>
      </c>
      <c r="C40">
        <v>1</v>
      </c>
      <c r="D40" t="s">
        <v>49</v>
      </c>
      <c r="E40">
        <v>12</v>
      </c>
      <c r="F40">
        <v>35</v>
      </c>
      <c r="G40" t="s">
        <v>13</v>
      </c>
      <c r="H40">
        <v>45</v>
      </c>
      <c r="I40">
        <v>52</v>
      </c>
      <c r="J40">
        <v>1.2024999999999999</v>
      </c>
      <c r="K40">
        <v>2.6444906444906859</v>
      </c>
      <c r="L40">
        <v>0.10928842481112745</v>
      </c>
      <c r="M40">
        <v>0.13603362267411453</v>
      </c>
      <c r="N40">
        <v>0.72469943626491873</v>
      </c>
      <c r="O40">
        <v>19.221862714402761</v>
      </c>
      <c r="P40">
        <v>2.6138383031289107</v>
      </c>
      <c r="Q40">
        <v>7.8092121884607124</v>
      </c>
      <c r="R40">
        <v>7.6346113022151579E-2</v>
      </c>
      <c r="S40">
        <v>1.0288915565639691</v>
      </c>
      <c r="T40">
        <v>7.71579613505825</v>
      </c>
      <c r="U40">
        <v>24.248871451632922</v>
      </c>
      <c r="V40">
        <v>9.2052256271223314</v>
      </c>
      <c r="W40">
        <v>1.9270562834242144</v>
      </c>
      <c r="X40">
        <v>0.66508197392343305</v>
      </c>
      <c r="Y40">
        <v>0.41154780670239988</v>
      </c>
      <c r="Z40">
        <v>0.2877214008364033</v>
      </c>
      <c r="AA40">
        <v>2.0340994846294227</v>
      </c>
      <c r="AB40">
        <v>0.33044218623844601</v>
      </c>
      <c r="AC40">
        <v>0.63239672048879414</v>
      </c>
      <c r="AD40">
        <v>4.1268772302785433</v>
      </c>
      <c r="AE40">
        <v>9.2019689727249429E-2</v>
      </c>
      <c r="AF40">
        <v>0.13339932008196206</v>
      </c>
      <c r="AG40">
        <v>3.7024308987319134</v>
      </c>
      <c r="AH40">
        <v>0.23870508612823085</v>
      </c>
      <c r="AI40">
        <v>0.35415287351110236</v>
      </c>
      <c r="AJ40">
        <v>0.90523601376371599</v>
      </c>
      <c r="AK40">
        <v>1.9724100621228864</v>
      </c>
      <c r="AL40">
        <v>9.2963573962691104</v>
      </c>
    </row>
    <row r="41" spans="1:38" x14ac:dyDescent="0.35">
      <c r="A41" t="s">
        <v>91</v>
      </c>
      <c r="B41" t="s">
        <v>73</v>
      </c>
      <c r="C41">
        <v>1</v>
      </c>
      <c r="D41" t="s">
        <v>53</v>
      </c>
      <c r="E41">
        <v>12</v>
      </c>
      <c r="F41">
        <v>24</v>
      </c>
      <c r="G41" t="s">
        <v>10</v>
      </c>
      <c r="H41">
        <v>40</v>
      </c>
      <c r="I41">
        <v>45</v>
      </c>
      <c r="J41">
        <v>1.0026999999999999</v>
      </c>
      <c r="K41">
        <v>2.2539144310360872</v>
      </c>
      <c r="L41">
        <v>9.6769723676665323E-2</v>
      </c>
      <c r="M41">
        <v>0.14872517607590552</v>
      </c>
      <c r="N41">
        <v>0.59952304734047923</v>
      </c>
      <c r="O41">
        <v>17.431640882482611</v>
      </c>
      <c r="P41">
        <v>2.805056871473226</v>
      </c>
      <c r="Q41">
        <v>7.8692122181445985</v>
      </c>
      <c r="R41">
        <v>9.661139119451391E-2</v>
      </c>
      <c r="S41">
        <v>1.0049519043749195</v>
      </c>
      <c r="T41">
        <v>7.7788935776736396</v>
      </c>
      <c r="U41">
        <v>25.09155358555963</v>
      </c>
      <c r="V41">
        <v>9.6592346886325391</v>
      </c>
      <c r="W41">
        <v>2.2370238377719511</v>
      </c>
      <c r="X41">
        <v>0.60478258207379965</v>
      </c>
      <c r="Y41">
        <v>0.476724429040084</v>
      </c>
      <c r="Z41">
        <v>0.32243309386298441</v>
      </c>
      <c r="AA41">
        <v>2.4347098583621132</v>
      </c>
      <c r="AB41">
        <v>0.48842075843803839</v>
      </c>
      <c r="AC41">
        <v>0.76557558961553684</v>
      </c>
      <c r="AD41">
        <v>3.9748158979892074</v>
      </c>
      <c r="AE41">
        <v>6.8525912098351183E-2</v>
      </c>
      <c r="AF41">
        <v>0.10729613050223499</v>
      </c>
      <c r="AG41">
        <v>3.0530841254982555</v>
      </c>
      <c r="AH41">
        <v>0.25064997366534986</v>
      </c>
      <c r="AI41">
        <v>0.38113486162062538</v>
      </c>
      <c r="AJ41">
        <v>0.96612916592817566</v>
      </c>
      <c r="AK41">
        <v>1.8670716904242521</v>
      </c>
      <c r="AL41">
        <v>9.4194490264802759</v>
      </c>
    </row>
    <row r="42" spans="1:38" x14ac:dyDescent="0.35">
      <c r="A42" t="s">
        <v>92</v>
      </c>
      <c r="B42" t="s">
        <v>73</v>
      </c>
      <c r="C42">
        <v>1</v>
      </c>
      <c r="D42" t="s">
        <v>53</v>
      </c>
      <c r="E42">
        <v>12</v>
      </c>
      <c r="F42">
        <v>24</v>
      </c>
      <c r="G42" t="s">
        <v>10</v>
      </c>
      <c r="H42">
        <v>38</v>
      </c>
      <c r="I42">
        <v>46</v>
      </c>
      <c r="J42">
        <v>0.87239999999999995</v>
      </c>
      <c r="K42">
        <v>1.6506189821183164</v>
      </c>
      <c r="L42">
        <v>2.4101672973194495E-2</v>
      </c>
      <c r="M42">
        <v>0.2025627227916115</v>
      </c>
      <c r="N42">
        <v>1.2519327174925017E-2</v>
      </c>
      <c r="O42">
        <v>18.393399945048934</v>
      </c>
      <c r="P42">
        <v>2.4456169569801904</v>
      </c>
      <c r="Q42">
        <v>4.7533916211593983</v>
      </c>
      <c r="R42">
        <v>0.24439241105881759</v>
      </c>
      <c r="S42">
        <v>0.83409954731330682</v>
      </c>
      <c r="T42">
        <v>8.3604886903503672</v>
      </c>
      <c r="U42">
        <v>22.115781673801052</v>
      </c>
      <c r="V42">
        <v>7.2852818551244667</v>
      </c>
      <c r="W42">
        <v>1.7672629182621269</v>
      </c>
      <c r="X42">
        <v>0.36229461160030907</v>
      </c>
      <c r="Y42">
        <v>0.30791829218411315</v>
      </c>
      <c r="Z42">
        <v>0.18442696815156612</v>
      </c>
      <c r="AA42">
        <v>1.35112805526976</v>
      </c>
      <c r="AB42">
        <v>0.4504909984918149</v>
      </c>
      <c r="AC42">
        <v>0.96593724115121538</v>
      </c>
      <c r="AD42">
        <v>6.2261898253915859</v>
      </c>
      <c r="AE42">
        <v>4.219829191708032E-2</v>
      </c>
      <c r="AF42">
        <v>0.12484469101369011</v>
      </c>
      <c r="AG42">
        <v>3.7850134047267932</v>
      </c>
      <c r="AH42">
        <v>0.29080143084291765</v>
      </c>
      <c r="AI42">
        <v>0.53011712299062819</v>
      </c>
      <c r="AJ42">
        <v>1.6831239019166437</v>
      </c>
      <c r="AK42">
        <v>2.4589840725498262</v>
      </c>
      <c r="AL42">
        <v>14.797631749763664</v>
      </c>
    </row>
    <row r="43" spans="1:38" x14ac:dyDescent="0.35">
      <c r="A43" t="s">
        <v>93</v>
      </c>
      <c r="B43" t="s">
        <v>73</v>
      </c>
      <c r="C43">
        <v>1</v>
      </c>
      <c r="D43" t="s">
        <v>53</v>
      </c>
      <c r="E43">
        <v>12</v>
      </c>
      <c r="F43">
        <v>24</v>
      </c>
      <c r="G43" t="s">
        <v>10</v>
      </c>
      <c r="H43">
        <v>36</v>
      </c>
      <c r="I43">
        <v>42</v>
      </c>
      <c r="J43">
        <v>0.83009999999999995</v>
      </c>
      <c r="K43">
        <v>2.6502830984219061</v>
      </c>
      <c r="L43">
        <v>9.2006699663965769E-2</v>
      </c>
      <c r="M43">
        <v>0</v>
      </c>
      <c r="N43">
        <v>0.92961957683313667</v>
      </c>
      <c r="O43">
        <v>17.336387129609111</v>
      </c>
      <c r="P43">
        <v>3.1225459093361265</v>
      </c>
      <c r="Q43">
        <v>7.9958598854410017</v>
      </c>
      <c r="R43">
        <v>9.2489591527358264E-2</v>
      </c>
      <c r="S43">
        <v>1.0636785917509592</v>
      </c>
      <c r="T43">
        <v>8.0909475242057383</v>
      </c>
      <c r="U43">
        <v>25.572040877993444</v>
      </c>
      <c r="V43">
        <v>9.7453541858382966</v>
      </c>
      <c r="W43">
        <v>2.134248962768861</v>
      </c>
      <c r="X43">
        <v>0.53273498239628825</v>
      </c>
      <c r="Y43">
        <v>0.43974358388646451</v>
      </c>
      <c r="Z43">
        <v>0.34885688180243163</v>
      </c>
      <c r="AA43">
        <v>2.4642129785795772</v>
      </c>
      <c r="AB43">
        <v>0.52580337011388611</v>
      </c>
      <c r="AC43">
        <v>0.80932364761443798</v>
      </c>
      <c r="AD43">
        <v>3.9052194893616141</v>
      </c>
      <c r="AE43">
        <v>6.9312339800207054E-2</v>
      </c>
      <c r="AF43">
        <v>0.10636149479385493</v>
      </c>
      <c r="AG43">
        <v>2.7564577991198371</v>
      </c>
      <c r="AH43">
        <v>0.2745202413148165</v>
      </c>
      <c r="AI43">
        <v>0.35517675688093253</v>
      </c>
      <c r="AJ43">
        <v>0.99325782597307577</v>
      </c>
      <c r="AK43">
        <v>1.7154250555154851</v>
      </c>
      <c r="AL43">
        <v>8.5284146178790667</v>
      </c>
    </row>
    <row r="44" spans="1:38" x14ac:dyDescent="0.35">
      <c r="A44" t="s">
        <v>94</v>
      </c>
      <c r="B44" t="s">
        <v>73</v>
      </c>
      <c r="C44">
        <v>1</v>
      </c>
      <c r="D44" t="s">
        <v>53</v>
      </c>
      <c r="E44">
        <v>12</v>
      </c>
      <c r="F44">
        <v>27</v>
      </c>
      <c r="G44" t="s">
        <v>10</v>
      </c>
      <c r="H44">
        <v>35</v>
      </c>
      <c r="I44">
        <v>43</v>
      </c>
      <c r="J44">
        <v>0.71289999999999998</v>
      </c>
      <c r="K44">
        <v>2.4407350259503864</v>
      </c>
      <c r="L44">
        <v>7.9152858543717286E-2</v>
      </c>
      <c r="M44">
        <v>0</v>
      </c>
      <c r="N44">
        <v>0.85081717499689402</v>
      </c>
      <c r="O44">
        <v>17.238748948307194</v>
      </c>
      <c r="P44">
        <v>2.8264862059826501</v>
      </c>
      <c r="Q44">
        <v>7.3755088307508343</v>
      </c>
      <c r="R44">
        <v>9.0878909880595396E-2</v>
      </c>
      <c r="S44">
        <v>1.0303822955908009</v>
      </c>
      <c r="T44">
        <v>8.0520480707583246</v>
      </c>
      <c r="U44">
        <v>25.203439948625565</v>
      </c>
      <c r="V44">
        <v>9.7033650250326229</v>
      </c>
      <c r="W44">
        <v>2.1905386604331181</v>
      </c>
      <c r="X44">
        <v>0.56417155636434801</v>
      </c>
      <c r="Y44">
        <v>0.40186996797371521</v>
      </c>
      <c r="Z44">
        <v>0.33755776740199733</v>
      </c>
      <c r="AA44">
        <v>2.0272278429157558</v>
      </c>
      <c r="AB44">
        <v>0.38787757754523455</v>
      </c>
      <c r="AC44">
        <v>0.92921311169556431</v>
      </c>
      <c r="AD44">
        <v>3.9582964312136988</v>
      </c>
      <c r="AE44">
        <v>8.5112058758124554E-2</v>
      </c>
      <c r="AF44">
        <v>9.5139562988174831E-2</v>
      </c>
      <c r="AG44">
        <v>2.8458221185697585</v>
      </c>
      <c r="AH44">
        <v>0.28900732746220059</v>
      </c>
      <c r="AI44">
        <v>0.35948395426691893</v>
      </c>
      <c r="AJ44">
        <v>1.0085752202974554</v>
      </c>
      <c r="AK44">
        <v>1.6498992851301733</v>
      </c>
      <c r="AL44">
        <v>10.41937928851455</v>
      </c>
    </row>
    <row r="45" spans="1:38" x14ac:dyDescent="0.35">
      <c r="A45" t="s">
        <v>95</v>
      </c>
      <c r="B45" t="s">
        <v>73</v>
      </c>
      <c r="C45">
        <v>1</v>
      </c>
      <c r="D45" t="s">
        <v>53</v>
      </c>
      <c r="E45">
        <v>12</v>
      </c>
      <c r="F45">
        <v>27</v>
      </c>
      <c r="G45" t="s">
        <v>10</v>
      </c>
      <c r="H45">
        <v>36</v>
      </c>
      <c r="I45">
        <v>45</v>
      </c>
      <c r="J45">
        <v>0.88239999999999996</v>
      </c>
      <c r="K45">
        <v>2.3118766999093858</v>
      </c>
      <c r="L45">
        <v>9.6448497015932583E-2</v>
      </c>
      <c r="M45">
        <v>6.0052712627132618E-2</v>
      </c>
      <c r="N45">
        <v>0.96997738871824779</v>
      </c>
      <c r="O45">
        <v>17.636651645669779</v>
      </c>
      <c r="P45">
        <v>2.9851511522474681</v>
      </c>
      <c r="Q45">
        <v>8.2116353115609808</v>
      </c>
      <c r="R45">
        <v>9.912241435895959E-2</v>
      </c>
      <c r="S45">
        <v>1.0730298757193728</v>
      </c>
      <c r="T45">
        <v>7.7652931789754733</v>
      </c>
      <c r="U45">
        <v>25.044708141159298</v>
      </c>
      <c r="V45">
        <v>9.678298539460144</v>
      </c>
      <c r="W45">
        <v>2.2225209650263418</v>
      </c>
      <c r="X45">
        <v>0.56867821728509227</v>
      </c>
      <c r="Y45">
        <v>0.41257251306796139</v>
      </c>
      <c r="Z45">
        <v>0.34540888259556513</v>
      </c>
      <c r="AA45">
        <v>2.485393458458752</v>
      </c>
      <c r="AB45">
        <v>0.4247812283512456</v>
      </c>
      <c r="AC45">
        <v>0.84182014506378522</v>
      </c>
      <c r="AD45">
        <v>3.5910656858550678</v>
      </c>
      <c r="AE45">
        <v>5.2386230144992031E-2</v>
      </c>
      <c r="AF45">
        <v>0.10825374812798706</v>
      </c>
      <c r="AG45">
        <v>2.8142779961345528</v>
      </c>
      <c r="AH45">
        <v>0.24122625376248027</v>
      </c>
      <c r="AI45">
        <v>0.29944845497164979</v>
      </c>
      <c r="AJ45">
        <v>0.93897873902108242</v>
      </c>
      <c r="AK45">
        <v>1.6306615756105807</v>
      </c>
      <c r="AL45">
        <v>9.4021570490100839</v>
      </c>
    </row>
    <row r="46" spans="1:38" x14ac:dyDescent="0.35">
      <c r="A46" t="s">
        <v>96</v>
      </c>
      <c r="B46" t="s">
        <v>73</v>
      </c>
      <c r="C46">
        <v>1</v>
      </c>
      <c r="D46" t="s">
        <v>53</v>
      </c>
      <c r="E46">
        <v>12</v>
      </c>
      <c r="F46">
        <v>27</v>
      </c>
      <c r="G46" t="s">
        <v>10</v>
      </c>
      <c r="H46">
        <v>40</v>
      </c>
      <c r="I46">
        <v>50</v>
      </c>
      <c r="J46">
        <v>1.0492999999999999</v>
      </c>
      <c r="K46">
        <v>1.9918040598493523</v>
      </c>
      <c r="L46">
        <v>6.4680157736853386E-2</v>
      </c>
      <c r="M46">
        <v>0.15634428402495471</v>
      </c>
      <c r="N46">
        <v>0.8885199939388182</v>
      </c>
      <c r="O46">
        <v>16.707337024314853</v>
      </c>
      <c r="P46">
        <v>2.6158695945075587</v>
      </c>
      <c r="Q46">
        <v>7.2032781429310777</v>
      </c>
      <c r="R46">
        <v>8.024348676016102E-2</v>
      </c>
      <c r="S46">
        <v>1.0331103500376928</v>
      </c>
      <c r="T46">
        <v>7.8746522965970094</v>
      </c>
      <c r="U46">
        <v>24.774266471583349</v>
      </c>
      <c r="V46">
        <v>9.2632479555315559</v>
      </c>
      <c r="W46">
        <v>2.1907590356971118</v>
      </c>
      <c r="X46">
        <v>0.53932854113217998</v>
      </c>
      <c r="Y46">
        <v>0.40913556792212674</v>
      </c>
      <c r="Z46">
        <v>0.32975950002530313</v>
      </c>
      <c r="AA46">
        <v>2.3799440553778477</v>
      </c>
      <c r="AB46">
        <v>0.51142211526652592</v>
      </c>
      <c r="AC46">
        <v>0.9209439179329959</v>
      </c>
      <c r="AD46">
        <v>4.3932871268477909</v>
      </c>
      <c r="AE46">
        <v>5.8158101285188689E-2</v>
      </c>
      <c r="AF46">
        <v>0.10696964361955988</v>
      </c>
      <c r="AG46">
        <v>3.1853183303150532</v>
      </c>
      <c r="AH46">
        <v>0.23632738419497104</v>
      </c>
      <c r="AI46">
        <v>0.37424537415417436</v>
      </c>
      <c r="AJ46">
        <v>1.1137458650633623</v>
      </c>
      <c r="AK46">
        <v>1.9442323184220422</v>
      </c>
      <c r="AL46">
        <v>10.644873364779855</v>
      </c>
    </row>
    <row r="47" spans="1:38" x14ac:dyDescent="0.35">
      <c r="A47" t="s">
        <v>97</v>
      </c>
      <c r="B47" t="s">
        <v>73</v>
      </c>
      <c r="C47">
        <v>1</v>
      </c>
      <c r="D47" t="s">
        <v>53</v>
      </c>
      <c r="E47">
        <v>12</v>
      </c>
      <c r="F47">
        <v>37</v>
      </c>
      <c r="G47" t="s">
        <v>10</v>
      </c>
      <c r="H47">
        <v>40</v>
      </c>
      <c r="I47">
        <v>48</v>
      </c>
      <c r="J47">
        <v>0.95109999999999995</v>
      </c>
      <c r="K47">
        <v>2.197455577751998</v>
      </c>
      <c r="L47">
        <v>8.1326491324898983E-2</v>
      </c>
      <c r="M47">
        <v>4.5227477608983664E-2</v>
      </c>
      <c r="N47">
        <v>0.88596696867866265</v>
      </c>
      <c r="O47">
        <v>16.862615161119425</v>
      </c>
      <c r="P47">
        <v>2.5061544752546832</v>
      </c>
      <c r="Q47">
        <v>7.6465895190350706</v>
      </c>
      <c r="R47">
        <v>9.3942930001800221E-2</v>
      </c>
      <c r="S47">
        <v>1.0463974870881685</v>
      </c>
      <c r="T47">
        <v>7.968738217204006</v>
      </c>
      <c r="U47">
        <v>25.808737890771067</v>
      </c>
      <c r="V47">
        <v>9.8907153049150782</v>
      </c>
      <c r="W47">
        <v>2.3475669427971941</v>
      </c>
      <c r="X47">
        <v>0.60853880554108242</v>
      </c>
      <c r="Y47">
        <v>0.40799006788930692</v>
      </c>
      <c r="Z47">
        <v>0.35729075818809902</v>
      </c>
      <c r="AA47">
        <v>2.7231884647927016</v>
      </c>
      <c r="AB47">
        <v>0.47392155447364187</v>
      </c>
      <c r="AC47">
        <v>0.92033802519149033</v>
      </c>
      <c r="AD47">
        <v>3.8293985696602535</v>
      </c>
      <c r="AE47">
        <v>8.5555352290602252E-2</v>
      </c>
      <c r="AF47">
        <v>0.10090430667053074</v>
      </c>
      <c r="AG47">
        <v>2.7668405148741204</v>
      </c>
      <c r="AH47">
        <v>0.321567336654076</v>
      </c>
      <c r="AI47">
        <v>0.38561542178001357</v>
      </c>
      <c r="AJ47">
        <v>1.0054317080438224</v>
      </c>
      <c r="AK47">
        <v>1.8218946925404926</v>
      </c>
      <c r="AL47">
        <v>9.0075455556107169</v>
      </c>
    </row>
    <row r="48" spans="1:38" x14ac:dyDescent="0.35">
      <c r="A48" t="s">
        <v>98</v>
      </c>
      <c r="B48" t="s">
        <v>73</v>
      </c>
      <c r="C48">
        <v>1</v>
      </c>
      <c r="D48" t="s">
        <v>53</v>
      </c>
      <c r="E48">
        <v>12</v>
      </c>
      <c r="F48">
        <v>37</v>
      </c>
      <c r="G48" t="s">
        <v>10</v>
      </c>
      <c r="H48">
        <v>34</v>
      </c>
      <c r="I48">
        <v>40</v>
      </c>
      <c r="J48">
        <v>0.62990000000000002</v>
      </c>
      <c r="K48">
        <v>2.9052230512779778</v>
      </c>
      <c r="L48">
        <v>9.3530139523992306E-2</v>
      </c>
      <c r="M48">
        <v>5.1822778421487699E-2</v>
      </c>
      <c r="N48">
        <v>0.92097440197581593</v>
      </c>
      <c r="O48">
        <v>16.909694941754839</v>
      </c>
      <c r="P48">
        <v>3.1424369793564781</v>
      </c>
      <c r="Q48">
        <v>7.8267427242745278</v>
      </c>
      <c r="R48">
        <v>8.8101311035049937E-2</v>
      </c>
      <c r="S48">
        <v>1.0642886589044229</v>
      </c>
      <c r="T48">
        <v>7.8855797571460498</v>
      </c>
      <c r="U48">
        <v>25.876752214027629</v>
      </c>
      <c r="V48">
        <v>9.9815315810215601</v>
      </c>
      <c r="W48">
        <v>2.1872057959401729</v>
      </c>
      <c r="X48">
        <v>0.60014316693631975</v>
      </c>
      <c r="Y48">
        <v>0.40396028336819351</v>
      </c>
      <c r="Z48">
        <v>0.35939900180987078</v>
      </c>
      <c r="AA48">
        <v>2.5226453425542608</v>
      </c>
      <c r="AB48">
        <v>0.52114242638252106</v>
      </c>
      <c r="AC48">
        <v>0.86741477762830321</v>
      </c>
      <c r="AD48">
        <v>3.6427720991533183</v>
      </c>
      <c r="AE48">
        <v>9.1836336836730134E-2</v>
      </c>
      <c r="AF48">
        <v>0.11384372991267484</v>
      </c>
      <c r="AG48">
        <v>2.6905693150356726</v>
      </c>
      <c r="AH48">
        <v>0.32463697473342923</v>
      </c>
      <c r="AI48">
        <v>0.3273648399900137</v>
      </c>
      <c r="AJ48">
        <v>0.82534129278656143</v>
      </c>
      <c r="AK48">
        <v>1.6058891779771871</v>
      </c>
      <c r="AL48">
        <v>9.0743799515129187</v>
      </c>
    </row>
    <row r="49" spans="1:38" x14ac:dyDescent="0.35">
      <c r="A49" t="s">
        <v>99</v>
      </c>
      <c r="B49" t="s">
        <v>73</v>
      </c>
      <c r="C49">
        <v>1</v>
      </c>
      <c r="D49" t="s">
        <v>53</v>
      </c>
      <c r="E49">
        <v>12</v>
      </c>
      <c r="F49">
        <v>37</v>
      </c>
      <c r="G49" t="s">
        <v>10</v>
      </c>
      <c r="H49">
        <v>37</v>
      </c>
      <c r="I49">
        <v>42</v>
      </c>
      <c r="J49">
        <v>0.76429999999999998</v>
      </c>
      <c r="K49">
        <v>2.3027606960617346</v>
      </c>
      <c r="L49">
        <v>7.8529419986859569E-2</v>
      </c>
      <c r="M49">
        <v>0.14310683802852228</v>
      </c>
      <c r="N49">
        <v>0.86255667182250151</v>
      </c>
      <c r="O49">
        <v>16.140046264160333</v>
      </c>
      <c r="P49">
        <v>2.6570759857466775</v>
      </c>
      <c r="Q49">
        <v>7.2691585383837252</v>
      </c>
      <c r="R49">
        <v>8.3541888820115942E-2</v>
      </c>
      <c r="S49">
        <v>1.0397161125129115</v>
      </c>
      <c r="T49">
        <v>7.8331696297647397</v>
      </c>
      <c r="U49">
        <v>25.699115629336724</v>
      </c>
      <c r="V49">
        <v>9.6487843255408237</v>
      </c>
      <c r="W49">
        <v>2.2541013756818975</v>
      </c>
      <c r="X49">
        <v>0.5397017670184433</v>
      </c>
      <c r="Y49">
        <v>0.42711737125233151</v>
      </c>
      <c r="Z49">
        <v>0.33858882125029771</v>
      </c>
      <c r="AA49">
        <v>2.6671528353555378</v>
      </c>
      <c r="AB49">
        <v>0.54910628281398377</v>
      </c>
      <c r="AC49">
        <v>0.98578538888725153</v>
      </c>
      <c r="AD49">
        <v>4.1059538702530345</v>
      </c>
      <c r="AE49">
        <v>6.880868630250421E-2</v>
      </c>
      <c r="AF49">
        <v>0.12575341730087042</v>
      </c>
      <c r="AG49">
        <v>3.1268237406945913</v>
      </c>
      <c r="AH49">
        <v>0.26461934627925809</v>
      </c>
      <c r="AI49">
        <v>0.39572740627337372</v>
      </c>
      <c r="AJ49">
        <v>1.0657994904252546</v>
      </c>
      <c r="AK49">
        <v>2.0022011968769964</v>
      </c>
      <c r="AL49">
        <v>9.627957699230441</v>
      </c>
    </row>
    <row r="50" spans="1:38" x14ac:dyDescent="0.35">
      <c r="A50" t="s">
        <v>100</v>
      </c>
      <c r="B50" t="s">
        <v>73</v>
      </c>
      <c r="C50">
        <v>1</v>
      </c>
      <c r="D50" t="s">
        <v>57</v>
      </c>
      <c r="E50">
        <v>12</v>
      </c>
      <c r="F50">
        <v>25</v>
      </c>
      <c r="G50" t="s">
        <v>9</v>
      </c>
      <c r="H50">
        <v>56</v>
      </c>
      <c r="I50">
        <v>68</v>
      </c>
      <c r="J50">
        <v>2.3908</v>
      </c>
      <c r="K50">
        <v>2.2001003848084313</v>
      </c>
      <c r="L50">
        <v>7.5877012111793762E-2</v>
      </c>
      <c r="M50">
        <v>1.9460826234022841</v>
      </c>
      <c r="N50">
        <v>0.55381409095096767</v>
      </c>
      <c r="O50">
        <v>16.33948752727202</v>
      </c>
      <c r="P50">
        <v>1.893763137981072</v>
      </c>
      <c r="Q50">
        <v>6.6811042649851657</v>
      </c>
      <c r="R50">
        <v>0.97930784293325723</v>
      </c>
      <c r="S50">
        <v>1.2608413364945066</v>
      </c>
      <c r="T50">
        <v>7.9213274624293986</v>
      </c>
      <c r="U50">
        <v>27.265175927589063</v>
      </c>
      <c r="V50">
        <v>8.6738943471405285</v>
      </c>
      <c r="W50">
        <v>2.2070785349636481</v>
      </c>
      <c r="X50">
        <v>0.4358651716338468</v>
      </c>
      <c r="Y50">
        <v>0.38892067934231234</v>
      </c>
      <c r="Z50">
        <v>0.37134550128284705</v>
      </c>
      <c r="AA50">
        <v>3.0461482330833856</v>
      </c>
      <c r="AB50">
        <v>0.81312345735717617</v>
      </c>
      <c r="AC50">
        <v>0.74063447897442358</v>
      </c>
      <c r="AD50">
        <v>3.9427468298039581</v>
      </c>
      <c r="AE50">
        <v>0</v>
      </c>
      <c r="AF50">
        <v>8.5424139045192804E-2</v>
      </c>
      <c r="AG50">
        <v>2.5179279243290971</v>
      </c>
      <c r="AH50">
        <v>0</v>
      </c>
      <c r="AI50">
        <v>0.37800202139109856</v>
      </c>
      <c r="AJ50">
        <v>1.0914915225994142</v>
      </c>
      <c r="AK50">
        <v>1.4592590197955864</v>
      </c>
      <c r="AL50">
        <v>8.9313569131079689</v>
      </c>
    </row>
    <row r="51" spans="1:38" x14ac:dyDescent="0.35">
      <c r="A51" t="s">
        <v>101</v>
      </c>
      <c r="B51" t="s">
        <v>73</v>
      </c>
      <c r="C51">
        <v>1</v>
      </c>
      <c r="D51" t="s">
        <v>57</v>
      </c>
      <c r="E51">
        <v>12</v>
      </c>
      <c r="F51">
        <v>25</v>
      </c>
      <c r="G51" t="s">
        <v>9</v>
      </c>
      <c r="H51">
        <v>52</v>
      </c>
      <c r="I51">
        <v>61</v>
      </c>
      <c r="J51">
        <v>1.4319</v>
      </c>
      <c r="K51">
        <v>2.1719393812416072</v>
      </c>
      <c r="L51">
        <v>8.3733895602966027E-2</v>
      </c>
      <c r="M51">
        <v>0.24455897283272671</v>
      </c>
      <c r="N51">
        <v>0.73727530205152858</v>
      </c>
      <c r="O51">
        <v>19.861559064149471</v>
      </c>
      <c r="P51">
        <v>2.5766666675398473</v>
      </c>
      <c r="Q51">
        <v>7.8211978850619124</v>
      </c>
      <c r="R51">
        <v>8.5201629602813647E-2</v>
      </c>
      <c r="S51">
        <v>1.3069385405685299</v>
      </c>
      <c r="T51">
        <v>10.500447838552185</v>
      </c>
      <c r="U51">
        <v>20.645496986757234</v>
      </c>
      <c r="V51">
        <v>6.7120252461515948</v>
      </c>
      <c r="W51">
        <v>2.612462527813082</v>
      </c>
      <c r="X51">
        <v>0.53074959530328369</v>
      </c>
      <c r="Y51">
        <v>0.50131185340912021</v>
      </c>
      <c r="Z51">
        <v>0.49962455166830883</v>
      </c>
      <c r="AA51">
        <v>3.461108827596366</v>
      </c>
      <c r="AB51">
        <v>1.0311697509442457</v>
      </c>
      <c r="AC51">
        <v>0.87944923175031087</v>
      </c>
      <c r="AD51">
        <v>5.2574984828665476</v>
      </c>
      <c r="AE51">
        <v>7.9353334881268348E-2</v>
      </c>
      <c r="AF51">
        <v>0.11210973523912321</v>
      </c>
      <c r="AG51">
        <v>3.2058493499104004</v>
      </c>
      <c r="AH51">
        <v>0.26686958271310107</v>
      </c>
      <c r="AI51">
        <v>0.5733606118432546</v>
      </c>
      <c r="AJ51">
        <v>1.5648852220099119</v>
      </c>
      <c r="AK51">
        <v>2.1766799295367099</v>
      </c>
      <c r="AL51">
        <v>6.6724153836441378</v>
      </c>
    </row>
    <row r="52" spans="1:38" x14ac:dyDescent="0.35">
      <c r="A52" t="s">
        <v>102</v>
      </c>
      <c r="B52" t="s">
        <v>73</v>
      </c>
      <c r="C52">
        <v>1</v>
      </c>
      <c r="D52" t="s">
        <v>57</v>
      </c>
      <c r="E52">
        <v>12</v>
      </c>
      <c r="F52">
        <v>25</v>
      </c>
      <c r="G52" t="s">
        <v>9</v>
      </c>
      <c r="H52">
        <v>56</v>
      </c>
      <c r="I52">
        <v>64</v>
      </c>
      <c r="J52">
        <v>1.7857000000000001</v>
      </c>
      <c r="K52">
        <v>2.0888167105336906</v>
      </c>
      <c r="L52">
        <v>7.7678591863078975E-2</v>
      </c>
      <c r="M52">
        <v>0.18679317305844739</v>
      </c>
      <c r="N52">
        <v>0.55838085172015495</v>
      </c>
      <c r="O52">
        <v>16.720962074645136</v>
      </c>
      <c r="P52">
        <v>1.9667324797362284</v>
      </c>
      <c r="Q52">
        <v>6.5968508162344133</v>
      </c>
      <c r="R52">
        <v>7.4942269075997658E-2</v>
      </c>
      <c r="S52">
        <v>0.99921282727345673</v>
      </c>
      <c r="T52">
        <v>8.3801930312483623</v>
      </c>
      <c r="U52">
        <v>25.096214258349306</v>
      </c>
      <c r="V52">
        <v>8.5690216319944827</v>
      </c>
      <c r="W52">
        <v>2.356694420233747</v>
      </c>
      <c r="X52">
        <v>0.48249411696727484</v>
      </c>
      <c r="Y52">
        <v>0.40020184362913241</v>
      </c>
      <c r="Z52">
        <v>0.36997798892583023</v>
      </c>
      <c r="AA52">
        <v>3.0189479801457169</v>
      </c>
      <c r="AB52">
        <v>0.67454128029109528</v>
      </c>
      <c r="AC52">
        <v>0.96314559324391591</v>
      </c>
      <c r="AD52">
        <v>4.5257471867836561</v>
      </c>
      <c r="AE52">
        <v>7.1113214341005371E-2</v>
      </c>
      <c r="AF52">
        <v>0.11175314899383772</v>
      </c>
      <c r="AG52">
        <v>2.7514911481972844</v>
      </c>
      <c r="AH52">
        <v>0.2082736745393606</v>
      </c>
      <c r="AI52">
        <v>0.49433009493384494</v>
      </c>
      <c r="AJ52">
        <v>1.4798852704975158</v>
      </c>
      <c r="AK52">
        <v>1.5882353750061762</v>
      </c>
      <c r="AL52">
        <v>11.27618565807154</v>
      </c>
    </row>
    <row r="53" spans="1:38" x14ac:dyDescent="0.35">
      <c r="A53" t="s">
        <v>103</v>
      </c>
      <c r="B53" t="s">
        <v>73</v>
      </c>
      <c r="C53">
        <v>1</v>
      </c>
      <c r="D53" t="s">
        <v>57</v>
      </c>
      <c r="E53">
        <v>12</v>
      </c>
      <c r="F53">
        <v>40</v>
      </c>
      <c r="G53" t="s">
        <v>9</v>
      </c>
      <c r="H53">
        <v>42</v>
      </c>
      <c r="I53">
        <v>46</v>
      </c>
      <c r="J53">
        <v>0.74309999999999998</v>
      </c>
      <c r="K53">
        <v>1.6013995424573662</v>
      </c>
      <c r="L53">
        <v>0.10434667491089805</v>
      </c>
      <c r="M53">
        <v>6.0661451975112683E-2</v>
      </c>
      <c r="N53">
        <v>0.63189895678548913</v>
      </c>
      <c r="O53">
        <v>15.445035383869589</v>
      </c>
      <c r="P53">
        <v>2.3996578595223639</v>
      </c>
      <c r="Q53">
        <v>6.8696689352563487</v>
      </c>
      <c r="R53">
        <v>8.4072011148988032E-2</v>
      </c>
      <c r="S53">
        <v>1.1413286462636789</v>
      </c>
      <c r="T53">
        <v>8.8534034578600256</v>
      </c>
      <c r="U53">
        <v>27.043006390705358</v>
      </c>
      <c r="V53">
        <v>8.922665561356947</v>
      </c>
      <c r="W53">
        <v>2.237685750663712</v>
      </c>
      <c r="X53">
        <v>0.52276287500995811</v>
      </c>
      <c r="Y53">
        <v>0.45560137739819656</v>
      </c>
      <c r="Z53">
        <v>0.54431698715352606</v>
      </c>
      <c r="AA53">
        <v>4.7104212842396356</v>
      </c>
      <c r="AB53">
        <v>1.1845810884048928</v>
      </c>
      <c r="AC53">
        <v>0.77723880922810451</v>
      </c>
      <c r="AD53">
        <v>3.72978746140268</v>
      </c>
      <c r="AE53">
        <v>7.7173664681115958E-2</v>
      </c>
      <c r="AF53">
        <v>9.7277582646667068E-2</v>
      </c>
      <c r="AG53">
        <v>2.5170644885211551</v>
      </c>
      <c r="AH53">
        <v>0.2994537104663087</v>
      </c>
      <c r="AI53">
        <v>0.45970595620850646</v>
      </c>
      <c r="AJ53">
        <v>1.204845955276848</v>
      </c>
      <c r="AK53">
        <v>1.6544459741835735</v>
      </c>
      <c r="AL53">
        <v>7.9718917048603588</v>
      </c>
    </row>
    <row r="54" spans="1:38" x14ac:dyDescent="0.35">
      <c r="A54" t="s">
        <v>104</v>
      </c>
      <c r="B54" t="s">
        <v>73</v>
      </c>
      <c r="C54">
        <v>1</v>
      </c>
      <c r="D54" t="s">
        <v>57</v>
      </c>
      <c r="E54">
        <v>12</v>
      </c>
      <c r="F54">
        <v>40</v>
      </c>
      <c r="G54" t="s">
        <v>9</v>
      </c>
      <c r="H54">
        <v>47</v>
      </c>
      <c r="I54">
        <v>55</v>
      </c>
      <c r="J54">
        <v>1.3403</v>
      </c>
      <c r="K54">
        <v>2.894874281877204</v>
      </c>
      <c r="L54">
        <v>7.8577295594993157E-2</v>
      </c>
      <c r="M54">
        <v>0.24697632678518028</v>
      </c>
      <c r="N54">
        <v>0.60661974886554226</v>
      </c>
      <c r="O54">
        <v>16.109145934313212</v>
      </c>
      <c r="P54">
        <v>1.7520033775880166</v>
      </c>
      <c r="Q54">
        <v>6.2268737453060794</v>
      </c>
      <c r="R54">
        <v>8.252644404177753E-2</v>
      </c>
      <c r="S54">
        <v>1.0877421991434459</v>
      </c>
      <c r="T54">
        <v>8.5089092011337577</v>
      </c>
      <c r="U54">
        <v>23.315220081382783</v>
      </c>
      <c r="V54">
        <v>8.0649053737737173</v>
      </c>
      <c r="W54">
        <v>2.3868057174962369</v>
      </c>
      <c r="X54">
        <v>0.54014422834184239</v>
      </c>
      <c r="Y54">
        <v>0.41858297847786008</v>
      </c>
      <c r="Z54">
        <v>0.39962767911182445</v>
      </c>
      <c r="AA54">
        <v>2.7927672520991464</v>
      </c>
      <c r="AB54">
        <v>0.75480855508579481</v>
      </c>
      <c r="AC54">
        <v>1.0597545710013621</v>
      </c>
      <c r="AD54">
        <v>4.8606039787889381</v>
      </c>
      <c r="AE54">
        <v>8.9447557333509425E-2</v>
      </c>
      <c r="AF54">
        <v>0.13922915303581246</v>
      </c>
      <c r="AG54">
        <v>3.2426028253499566</v>
      </c>
      <c r="AH54">
        <v>0.21938433815330954</v>
      </c>
      <c r="AI54">
        <v>0.5129733121932788</v>
      </c>
      <c r="AJ54">
        <v>1.5810326895814437</v>
      </c>
      <c r="AK54">
        <v>2.1204629830128168</v>
      </c>
      <c r="AL54">
        <v>12.802272453008358</v>
      </c>
    </row>
    <row r="55" spans="1:38" x14ac:dyDescent="0.35">
      <c r="A55" t="s">
        <v>105</v>
      </c>
      <c r="B55" t="s">
        <v>73</v>
      </c>
      <c r="C55">
        <v>1</v>
      </c>
      <c r="D55" t="s">
        <v>57</v>
      </c>
      <c r="E55">
        <v>12</v>
      </c>
      <c r="F55">
        <v>40</v>
      </c>
      <c r="G55" t="s">
        <v>9</v>
      </c>
      <c r="H55">
        <v>50</v>
      </c>
      <c r="I55">
        <v>59</v>
      </c>
      <c r="J55">
        <v>1.5812999999999999</v>
      </c>
      <c r="K55">
        <v>1.8402580155568002</v>
      </c>
      <c r="L55">
        <v>8.7669503185576911E-2</v>
      </c>
      <c r="M55">
        <v>0.2157472735930864</v>
      </c>
      <c r="N55">
        <v>0.65752267823666277</v>
      </c>
      <c r="O55">
        <v>16.106098619822358</v>
      </c>
      <c r="P55">
        <v>1.7983630367938221</v>
      </c>
      <c r="Q55">
        <v>6.6382067330497456</v>
      </c>
      <c r="R55">
        <v>8.9544830170814771E-2</v>
      </c>
      <c r="S55">
        <v>1.2132903330980551</v>
      </c>
      <c r="T55">
        <v>8.7225703885967327</v>
      </c>
      <c r="U55">
        <v>23.76340826538399</v>
      </c>
      <c r="V55">
        <v>8.4459880669998899</v>
      </c>
      <c r="W55">
        <v>2.6029436154957386</v>
      </c>
      <c r="X55">
        <v>0.57336333496841385</v>
      </c>
      <c r="Y55">
        <v>0.44737903311065191</v>
      </c>
      <c r="Z55">
        <v>0.46502526963176544</v>
      </c>
      <c r="AA55">
        <v>3.0771537684692252</v>
      </c>
      <c r="AB55">
        <v>0.64734913613046907</v>
      </c>
      <c r="AC55">
        <v>0.99966373723591173</v>
      </c>
      <c r="AD55">
        <v>4.5824688330371366</v>
      </c>
      <c r="AE55">
        <v>8.9448457006451251E-2</v>
      </c>
      <c r="AF55">
        <v>0.12376186764058464</v>
      </c>
      <c r="AG55">
        <v>2.9896294979454279</v>
      </c>
      <c r="AH55">
        <v>0.26032387034543819</v>
      </c>
      <c r="AI55">
        <v>0.5556475833779233</v>
      </c>
      <c r="AJ55">
        <v>1.5212223125816049</v>
      </c>
      <c r="AK55">
        <v>1.913026914929407</v>
      </c>
      <c r="AL55">
        <v>11.413183039163103</v>
      </c>
    </row>
    <row r="56" spans="1:38" x14ac:dyDescent="0.35">
      <c r="A56" t="s">
        <v>106</v>
      </c>
      <c r="B56" t="s">
        <v>73</v>
      </c>
      <c r="C56">
        <v>1</v>
      </c>
      <c r="D56" t="s">
        <v>57</v>
      </c>
      <c r="E56">
        <v>12</v>
      </c>
      <c r="F56">
        <v>41</v>
      </c>
      <c r="G56" t="s">
        <v>9</v>
      </c>
      <c r="H56">
        <v>50</v>
      </c>
      <c r="I56">
        <v>60</v>
      </c>
      <c r="J56">
        <v>1.5711999999999999</v>
      </c>
      <c r="K56">
        <v>2.1384928716904184</v>
      </c>
      <c r="L56">
        <v>7.9757725084970824E-2</v>
      </c>
      <c r="M56">
        <v>0.2264148272423411</v>
      </c>
      <c r="N56">
        <v>0.60325660251238489</v>
      </c>
      <c r="O56">
        <v>19.346032527172628</v>
      </c>
      <c r="P56">
        <v>1.6339007275138957</v>
      </c>
      <c r="Q56">
        <v>7.142712064240559</v>
      </c>
      <c r="R56">
        <v>6.9954683279043861E-2</v>
      </c>
      <c r="S56">
        <v>1.0243623308114571</v>
      </c>
      <c r="T56">
        <v>8.2150504922288707</v>
      </c>
      <c r="U56">
        <v>25.584479740737695</v>
      </c>
      <c r="V56">
        <v>8.4923553536345739</v>
      </c>
      <c r="W56">
        <v>2.286732245764215</v>
      </c>
      <c r="X56">
        <v>0.48119870635430889</v>
      </c>
      <c r="Y56">
        <v>0.37192991614179816</v>
      </c>
      <c r="Z56">
        <v>0.35467036924515116</v>
      </c>
      <c r="AA56">
        <v>2.5242546545887854</v>
      </c>
      <c r="AB56">
        <v>0.60666869770318577</v>
      </c>
      <c r="AC56">
        <v>1.263227266379646</v>
      </c>
      <c r="AD56">
        <v>4.054658206683742</v>
      </c>
      <c r="AE56">
        <v>5.3834264554184802E-2</v>
      </c>
      <c r="AF56">
        <v>7.6048946870956272E-2</v>
      </c>
      <c r="AG56">
        <v>2.9383049047685481</v>
      </c>
      <c r="AH56">
        <v>0.2405926213095288</v>
      </c>
      <c r="AI56">
        <v>0.39247076765823458</v>
      </c>
      <c r="AJ56">
        <v>1.1289091967323013</v>
      </c>
      <c r="AK56">
        <v>1.3401326029821152</v>
      </c>
      <c r="AL56">
        <v>9.4680895578048681</v>
      </c>
    </row>
    <row r="57" spans="1:38" x14ac:dyDescent="0.35">
      <c r="A57" t="s">
        <v>107</v>
      </c>
      <c r="B57" t="s">
        <v>73</v>
      </c>
      <c r="C57">
        <v>1</v>
      </c>
      <c r="D57" t="s">
        <v>57</v>
      </c>
      <c r="E57">
        <v>12</v>
      </c>
      <c r="F57">
        <v>41</v>
      </c>
      <c r="G57" t="s">
        <v>9</v>
      </c>
      <c r="H57">
        <v>49</v>
      </c>
      <c r="I57">
        <v>59</v>
      </c>
      <c r="J57">
        <v>1.4621</v>
      </c>
      <c r="K57">
        <v>2.0450037617125774</v>
      </c>
      <c r="L57">
        <v>9.4784494865884847E-2</v>
      </c>
      <c r="M57">
        <v>0.21653805204165608</v>
      </c>
      <c r="N57">
        <v>0.63211849110647589</v>
      </c>
      <c r="O57">
        <v>16.296811749722085</v>
      </c>
      <c r="P57">
        <v>1.8446521964209952</v>
      </c>
      <c r="Q57">
        <v>7.1226317330288982</v>
      </c>
      <c r="R57">
        <v>0.1007067688772187</v>
      </c>
      <c r="S57">
        <v>1.146569230925307</v>
      </c>
      <c r="T57">
        <v>8.7057709073452951</v>
      </c>
      <c r="U57">
        <v>24.659125926915767</v>
      </c>
      <c r="V57">
        <v>8.9081817464991335</v>
      </c>
      <c r="W57">
        <v>2.5533665068906228</v>
      </c>
      <c r="X57">
        <v>0.60319897233056041</v>
      </c>
      <c r="Y57">
        <v>0.47849620828500228</v>
      </c>
      <c r="Z57">
        <v>0.48167996066018848</v>
      </c>
      <c r="AA57">
        <v>3.0383350312412194</v>
      </c>
      <c r="AB57">
        <v>0.82463591490570831</v>
      </c>
      <c r="AC57">
        <v>0.92091858367737489</v>
      </c>
      <c r="AD57">
        <v>4.3772091653266001</v>
      </c>
      <c r="AE57">
        <v>8.4423051103676941E-2</v>
      </c>
      <c r="AF57">
        <v>0.12108015655050808</v>
      </c>
      <c r="AG57">
        <v>2.9532578995703846</v>
      </c>
      <c r="AH57">
        <v>0.27147937067855094</v>
      </c>
      <c r="AI57">
        <v>0.49816054982582408</v>
      </c>
      <c r="AJ57">
        <v>1.3166655340926605</v>
      </c>
      <c r="AK57">
        <v>2.0564389631730844</v>
      </c>
      <c r="AL57">
        <v>9.692762833939307</v>
      </c>
    </row>
    <row r="58" spans="1:38" x14ac:dyDescent="0.35">
      <c r="A58" t="s">
        <v>108</v>
      </c>
      <c r="B58" t="s">
        <v>73</v>
      </c>
      <c r="C58">
        <v>1</v>
      </c>
      <c r="D58" t="s">
        <v>57</v>
      </c>
      <c r="E58">
        <v>12</v>
      </c>
      <c r="F58">
        <v>41</v>
      </c>
      <c r="G58" t="s">
        <v>9</v>
      </c>
      <c r="H58">
        <v>48</v>
      </c>
      <c r="I58">
        <v>57</v>
      </c>
      <c r="J58">
        <v>1.1758999999999999</v>
      </c>
      <c r="K58">
        <v>1.7178331490773777</v>
      </c>
      <c r="L58">
        <v>5.7127222303065744E-2</v>
      </c>
      <c r="M58">
        <v>0.31985363602105038</v>
      </c>
      <c r="N58">
        <v>0.60684431198295841</v>
      </c>
      <c r="O58">
        <v>17.010307092866015</v>
      </c>
      <c r="P58">
        <v>1.5800746431940162</v>
      </c>
      <c r="Q58">
        <v>6.0757711258572584</v>
      </c>
      <c r="R58">
        <v>7.6524770005976614E-2</v>
      </c>
      <c r="S58">
        <v>1.0934180313329378</v>
      </c>
      <c r="T58">
        <v>8.4033900371037209</v>
      </c>
      <c r="U58">
        <v>22.314200798029169</v>
      </c>
      <c r="V58">
        <v>8.2179034813210787</v>
      </c>
      <c r="W58">
        <v>2.5144979772028959</v>
      </c>
      <c r="X58">
        <v>0.51188814009600558</v>
      </c>
      <c r="Y58">
        <v>0.42329354837252547</v>
      </c>
      <c r="Z58">
        <v>0.36457190542100026</v>
      </c>
      <c r="AA58">
        <v>2.1583748069630144</v>
      </c>
      <c r="AB58">
        <v>0.47134264049887864</v>
      </c>
      <c r="AC58">
        <v>1.1098909576180587</v>
      </c>
      <c r="AD58">
        <v>5.2583862766541518</v>
      </c>
      <c r="AE58">
        <v>8.4590967450062754E-2</v>
      </c>
      <c r="AF58">
        <v>0.1315728184960121</v>
      </c>
      <c r="AG58">
        <v>3.5874712427746251</v>
      </c>
      <c r="AH58">
        <v>0.22269591185028897</v>
      </c>
      <c r="AI58">
        <v>0.56528589950526964</v>
      </c>
      <c r="AJ58">
        <v>1.5437848059108117</v>
      </c>
      <c r="AK58">
        <v>2.2235073175170443</v>
      </c>
      <c r="AL58">
        <v>13.073429633652093</v>
      </c>
    </row>
    <row r="59" spans="1:38" x14ac:dyDescent="0.35">
      <c r="A59" t="s">
        <v>109</v>
      </c>
      <c r="B59" t="s">
        <v>73</v>
      </c>
      <c r="C59">
        <v>1</v>
      </c>
      <c r="D59" t="s">
        <v>61</v>
      </c>
      <c r="E59">
        <v>12</v>
      </c>
      <c r="F59">
        <v>26</v>
      </c>
      <c r="G59" t="s">
        <v>11</v>
      </c>
      <c r="H59">
        <v>30</v>
      </c>
      <c r="I59">
        <v>36</v>
      </c>
      <c r="J59">
        <v>0.41620000000000001</v>
      </c>
      <c r="K59">
        <v>2.570879384911084</v>
      </c>
      <c r="L59">
        <v>4.4221992711889251E-2</v>
      </c>
      <c r="M59">
        <v>0.14129381890527898</v>
      </c>
      <c r="N59">
        <v>1.1181868557974843</v>
      </c>
      <c r="O59">
        <v>17.412150748886205</v>
      </c>
      <c r="P59">
        <v>2.7856440376989919</v>
      </c>
      <c r="Q59">
        <v>5.2196297375228831</v>
      </c>
      <c r="R59">
        <v>5.5176034959233275E-2</v>
      </c>
      <c r="S59">
        <v>0.93231141755406088</v>
      </c>
      <c r="T59">
        <v>7.8645783863942764</v>
      </c>
      <c r="U59">
        <v>25.657965341715943</v>
      </c>
      <c r="V59">
        <v>8.9689189063563859</v>
      </c>
      <c r="W59">
        <v>1.7758472966781222</v>
      </c>
      <c r="X59">
        <v>0.47630130183985853</v>
      </c>
      <c r="Y59">
        <v>0.2651507215090923</v>
      </c>
      <c r="Z59">
        <v>0.20776753143556045</v>
      </c>
      <c r="AA59">
        <v>2.0160295537465696</v>
      </c>
      <c r="AB59">
        <v>0.40419865081167178</v>
      </c>
      <c r="AC59">
        <v>1.3333164275651852</v>
      </c>
      <c r="AD59">
        <v>4.3510070583193006</v>
      </c>
      <c r="AE59">
        <v>7.7904650955920293E-2</v>
      </c>
      <c r="AF59">
        <v>0.15226918288935748</v>
      </c>
      <c r="AG59">
        <v>3.2043212138402191</v>
      </c>
      <c r="AH59">
        <v>0.18897135441727117</v>
      </c>
      <c r="AI59">
        <v>0.31221241419173668</v>
      </c>
      <c r="AJ59">
        <v>0.75818034726627359</v>
      </c>
      <c r="AK59">
        <v>1.7993086696939178</v>
      </c>
      <c r="AL59">
        <v>12.47713634633733</v>
      </c>
    </row>
    <row r="60" spans="1:38" x14ac:dyDescent="0.35">
      <c r="A60" t="s">
        <v>110</v>
      </c>
      <c r="B60" t="s">
        <v>73</v>
      </c>
      <c r="C60">
        <v>1</v>
      </c>
      <c r="D60" t="s">
        <v>61</v>
      </c>
      <c r="E60">
        <v>12</v>
      </c>
      <c r="F60">
        <v>26</v>
      </c>
      <c r="G60" t="s">
        <v>11</v>
      </c>
      <c r="H60">
        <v>31</v>
      </c>
      <c r="I60">
        <v>44</v>
      </c>
      <c r="J60">
        <v>0.62390000000000001</v>
      </c>
      <c r="K60">
        <v>1.4265106587595087</v>
      </c>
      <c r="L60">
        <v>3.8966520663377836E-2</v>
      </c>
      <c r="M60">
        <v>0.23247544763772335</v>
      </c>
      <c r="N60">
        <v>0.99659471396366994</v>
      </c>
      <c r="O60">
        <v>16.982632808011196</v>
      </c>
      <c r="P60">
        <v>3.5136326127224007</v>
      </c>
      <c r="Q60">
        <v>4.8414861814631225</v>
      </c>
      <c r="R60">
        <v>3.7117315251834211E-2</v>
      </c>
      <c r="S60">
        <v>0.79978261782021431</v>
      </c>
      <c r="T60">
        <v>7.9985517002779583</v>
      </c>
      <c r="U60">
        <v>25.297770153518837</v>
      </c>
      <c r="V60">
        <v>8.9354992298608718</v>
      </c>
      <c r="W60">
        <v>1.57388839626013</v>
      </c>
      <c r="X60">
        <v>0.34399782538990864</v>
      </c>
      <c r="Y60">
        <v>0.20749347447087996</v>
      </c>
      <c r="Z60">
        <v>0.12805829588856604</v>
      </c>
      <c r="AA60">
        <v>1.5494903442810641</v>
      </c>
      <c r="AB60">
        <v>0.44450161032872804</v>
      </c>
      <c r="AC60">
        <v>0.99725016549695056</v>
      </c>
      <c r="AD60">
        <v>4.2025348011462427</v>
      </c>
      <c r="AE60">
        <v>0.10065487454615686</v>
      </c>
      <c r="AF60">
        <v>0.12688534420261754</v>
      </c>
      <c r="AG60">
        <v>3.2399958306567398</v>
      </c>
      <c r="AH60">
        <v>0.16811419451789172</v>
      </c>
      <c r="AI60">
        <v>0.31225112526266019</v>
      </c>
      <c r="AJ60">
        <v>0.79662214439136747</v>
      </c>
      <c r="AK60">
        <v>1.8784244628292763</v>
      </c>
      <c r="AL60">
        <v>14.255327809139642</v>
      </c>
    </row>
    <row r="61" spans="1:38" x14ac:dyDescent="0.35">
      <c r="A61" t="s">
        <v>111</v>
      </c>
      <c r="B61" t="s">
        <v>73</v>
      </c>
      <c r="C61">
        <v>1</v>
      </c>
      <c r="D61" t="s">
        <v>61</v>
      </c>
      <c r="E61">
        <v>12</v>
      </c>
      <c r="F61">
        <v>30</v>
      </c>
      <c r="G61" t="s">
        <v>11</v>
      </c>
      <c r="H61">
        <v>28</v>
      </c>
      <c r="I61">
        <v>33</v>
      </c>
      <c r="J61">
        <v>0.30520000000000003</v>
      </c>
      <c r="K61">
        <v>1.3106159895149276</v>
      </c>
      <c r="L61">
        <v>3.2122229694146479E-2</v>
      </c>
      <c r="M61">
        <v>1.6452566573841254E-2</v>
      </c>
      <c r="N61">
        <v>0.89364005175901084</v>
      </c>
      <c r="O61">
        <v>18.984268259897377</v>
      </c>
      <c r="P61">
        <v>2.3719808385508649</v>
      </c>
      <c r="Q61">
        <v>3.0632022092498103</v>
      </c>
      <c r="R61">
        <v>2.751451030392783E-2</v>
      </c>
      <c r="S61">
        <v>0.88360936822882752</v>
      </c>
      <c r="T61">
        <v>9.0131744833006575</v>
      </c>
      <c r="U61">
        <v>21.098532903000457</v>
      </c>
      <c r="V61">
        <v>7.0723556015585771</v>
      </c>
      <c r="W61">
        <v>1.3760495383716271</v>
      </c>
      <c r="X61">
        <v>0.28623389614735051</v>
      </c>
      <c r="Y61">
        <v>0.14591965700749518</v>
      </c>
      <c r="Z61">
        <v>0.1680154746634106</v>
      </c>
      <c r="AA61">
        <v>1.2648375841156692</v>
      </c>
      <c r="AB61">
        <v>0.3401419552243054</v>
      </c>
      <c r="AC61">
        <v>1.4026377451350502</v>
      </c>
      <c r="AD61">
        <v>6.7369537819750107</v>
      </c>
      <c r="AE61">
        <v>3.7676999871495226E-2</v>
      </c>
      <c r="AF61">
        <v>0.12099794231859043</v>
      </c>
      <c r="AG61">
        <v>4.1203860938113497</v>
      </c>
      <c r="AH61">
        <v>0.14433310285379788</v>
      </c>
      <c r="AI61">
        <v>0.48226730695191977</v>
      </c>
      <c r="AJ61">
        <v>1.0994039212308329</v>
      </c>
      <c r="AK61">
        <v>2.60803812894813</v>
      </c>
      <c r="AL61">
        <v>16.209253849256502</v>
      </c>
    </row>
    <row r="62" spans="1:38" x14ac:dyDescent="0.35">
      <c r="A62" t="s">
        <v>112</v>
      </c>
      <c r="B62" t="s">
        <v>73</v>
      </c>
      <c r="C62">
        <v>1</v>
      </c>
      <c r="D62" t="s">
        <v>61</v>
      </c>
      <c r="E62">
        <v>12</v>
      </c>
      <c r="F62">
        <v>31</v>
      </c>
      <c r="G62" t="s">
        <v>11</v>
      </c>
      <c r="H62">
        <v>28</v>
      </c>
      <c r="I62">
        <v>32</v>
      </c>
      <c r="J62">
        <v>0.27800000000000002</v>
      </c>
      <c r="K62">
        <v>1.1151079136690216</v>
      </c>
      <c r="L62">
        <v>4.8386491074312435E-2</v>
      </c>
      <c r="M62">
        <v>1.9865063627038815E-2</v>
      </c>
      <c r="N62">
        <v>0.88345553088612061</v>
      </c>
      <c r="O62">
        <v>17.469942096633613</v>
      </c>
      <c r="P62">
        <v>3.8427019809627003</v>
      </c>
      <c r="Q62">
        <v>4.7902356431893063</v>
      </c>
      <c r="R62">
        <v>4.0370739985184832E-2</v>
      </c>
      <c r="S62">
        <v>0.77875378611396062</v>
      </c>
      <c r="T62">
        <v>8.6616984384619577</v>
      </c>
      <c r="U62">
        <v>25.447304973596527</v>
      </c>
      <c r="V62">
        <v>8.6742659115878986</v>
      </c>
      <c r="W62">
        <v>1.2774964217901568</v>
      </c>
      <c r="X62">
        <v>0.28099634538528839</v>
      </c>
      <c r="Y62">
        <v>0.23856148374755712</v>
      </c>
      <c r="Z62">
        <v>0.16660246715607177</v>
      </c>
      <c r="AA62">
        <v>1.7771878386375821</v>
      </c>
      <c r="AB62">
        <v>0.50956764217352635</v>
      </c>
      <c r="AC62">
        <v>0.73281106402652441</v>
      </c>
      <c r="AD62">
        <v>3.7119765240653937</v>
      </c>
      <c r="AE62">
        <v>3.5491968290910558E-2</v>
      </c>
      <c r="AF62">
        <v>0.14304275389352103</v>
      </c>
      <c r="AG62">
        <v>3.1167569367552637</v>
      </c>
      <c r="AH62">
        <v>5.0224038118804135E-3</v>
      </c>
      <c r="AI62">
        <v>0.33987944464108988</v>
      </c>
      <c r="AJ62">
        <v>0.64934799144273525</v>
      </c>
      <c r="AK62">
        <v>1.8765724977415523</v>
      </c>
      <c r="AL62">
        <v>14.481705560322267</v>
      </c>
    </row>
    <row r="63" spans="1:38" x14ac:dyDescent="0.35">
      <c r="A63" t="s">
        <v>113</v>
      </c>
      <c r="B63" t="s">
        <v>73</v>
      </c>
      <c r="C63">
        <v>1</v>
      </c>
      <c r="D63" t="s">
        <v>61</v>
      </c>
      <c r="E63">
        <v>12</v>
      </c>
      <c r="F63">
        <v>31</v>
      </c>
      <c r="G63" t="s">
        <v>11</v>
      </c>
      <c r="H63">
        <v>25</v>
      </c>
      <c r="I63">
        <v>29</v>
      </c>
      <c r="J63">
        <v>0.23369999999999999</v>
      </c>
      <c r="K63">
        <v>2.0539152759953994</v>
      </c>
      <c r="L63">
        <v>3.9354657103491106E-2</v>
      </c>
      <c r="M63">
        <v>2.2112033536702123E-2</v>
      </c>
      <c r="N63">
        <v>0.84892995413290662</v>
      </c>
      <c r="O63">
        <v>18.585554720128901</v>
      </c>
      <c r="P63">
        <v>2.7421003518514397</v>
      </c>
      <c r="Q63">
        <v>3.4378408591231242</v>
      </c>
      <c r="R63">
        <v>3.4145062002244084E-2</v>
      </c>
      <c r="S63">
        <v>0.79936838234887386</v>
      </c>
      <c r="T63">
        <v>8.8634351487700656</v>
      </c>
      <c r="U63">
        <v>23.392723057672672</v>
      </c>
      <c r="V63">
        <v>7.6647458929670211</v>
      </c>
      <c r="W63">
        <v>1.2723291311828906</v>
      </c>
      <c r="X63">
        <v>0.28115348586377348</v>
      </c>
      <c r="Y63">
        <v>0.17408769984932446</v>
      </c>
      <c r="Z63">
        <v>0.17894962574634829</v>
      </c>
      <c r="AA63">
        <v>1.5167882076702042</v>
      </c>
      <c r="AB63">
        <v>0.34300458570237397</v>
      </c>
      <c r="AC63">
        <v>1.1208222399812466</v>
      </c>
      <c r="AD63">
        <v>5.2821239319879281</v>
      </c>
      <c r="AE63">
        <v>5.0068447629720278E-2</v>
      </c>
      <c r="AF63">
        <v>0.110387353636793</v>
      </c>
      <c r="AG63">
        <v>3.6959447612282395</v>
      </c>
      <c r="AH63">
        <v>0.13665917095944577</v>
      </c>
      <c r="AI63">
        <v>0.39488622008210389</v>
      </c>
      <c r="AJ63">
        <v>0.70504457061366654</v>
      </c>
      <c r="AK63">
        <v>2.1303100509200665</v>
      </c>
      <c r="AL63">
        <v>16.177130397308403</v>
      </c>
    </row>
    <row r="64" spans="1:38" x14ac:dyDescent="0.35">
      <c r="A64" t="s">
        <v>114</v>
      </c>
      <c r="B64" t="s">
        <v>73</v>
      </c>
      <c r="C64">
        <v>1</v>
      </c>
      <c r="D64" t="s">
        <v>61</v>
      </c>
      <c r="E64">
        <v>12</v>
      </c>
      <c r="F64">
        <v>31</v>
      </c>
      <c r="G64" t="s">
        <v>11</v>
      </c>
      <c r="H64">
        <v>27</v>
      </c>
      <c r="I64">
        <v>31</v>
      </c>
      <c r="J64">
        <v>0.22090000000000001</v>
      </c>
      <c r="K64">
        <v>2.2181982797650583</v>
      </c>
      <c r="L64">
        <v>3.8572992456651231E-2</v>
      </c>
      <c r="M64">
        <v>2.063842647447648E-2</v>
      </c>
      <c r="N64">
        <v>0.71087305607864526</v>
      </c>
      <c r="O64">
        <v>17.868780900104536</v>
      </c>
      <c r="P64">
        <v>2.9065734458924943</v>
      </c>
      <c r="Q64">
        <v>3.2722510409120513</v>
      </c>
      <c r="R64">
        <v>5.3008169050234324E-2</v>
      </c>
      <c r="S64">
        <v>0.72332800651977369</v>
      </c>
      <c r="T64">
        <v>9.4230429024045019</v>
      </c>
      <c r="U64">
        <v>23.268223070241095</v>
      </c>
      <c r="V64">
        <v>6.9833261363235533</v>
      </c>
      <c r="W64">
        <v>1.0793967377782501</v>
      </c>
      <c r="X64">
        <v>0.2464373473090517</v>
      </c>
      <c r="Y64">
        <v>0.20812536335079032</v>
      </c>
      <c r="Z64">
        <v>0.13536338345535276</v>
      </c>
      <c r="AA64">
        <v>1.195314206640991</v>
      </c>
      <c r="AB64">
        <v>0.43906318204587885</v>
      </c>
      <c r="AC64">
        <v>1.08842731923751</v>
      </c>
      <c r="AD64">
        <v>4.978365130602481</v>
      </c>
      <c r="AE64">
        <v>3.2438511281920435E-2</v>
      </c>
      <c r="AF64">
        <v>0.16398366862010955</v>
      </c>
      <c r="AG64">
        <v>3.3316265669828855</v>
      </c>
      <c r="AH64">
        <v>5.6749811835535091E-3</v>
      </c>
      <c r="AI64">
        <v>0.34655364300579833</v>
      </c>
      <c r="AJ64">
        <v>0.750418187972413</v>
      </c>
      <c r="AK64">
        <v>1.9560680185646133</v>
      </c>
      <c r="AL64">
        <v>18.774125605510417</v>
      </c>
    </row>
    <row r="65" spans="1:38" x14ac:dyDescent="0.35">
      <c r="A65" t="s">
        <v>115</v>
      </c>
      <c r="B65" t="s">
        <v>73</v>
      </c>
      <c r="C65">
        <v>1</v>
      </c>
      <c r="D65" t="s">
        <v>65</v>
      </c>
      <c r="E65">
        <v>12</v>
      </c>
      <c r="F65">
        <v>28</v>
      </c>
      <c r="G65" t="s">
        <v>7</v>
      </c>
      <c r="H65">
        <v>42</v>
      </c>
      <c r="I65">
        <v>55</v>
      </c>
      <c r="J65">
        <v>1.3807</v>
      </c>
      <c r="K65">
        <v>2.8101687549793706</v>
      </c>
      <c r="L65">
        <v>6.47504050578879E-2</v>
      </c>
      <c r="M65">
        <v>0.21020920544169341</v>
      </c>
      <c r="N65">
        <v>0.40520986924276564</v>
      </c>
      <c r="O65">
        <v>15.474015658204575</v>
      </c>
      <c r="P65">
        <v>2.4779898660622193</v>
      </c>
      <c r="Q65">
        <v>7.6288125052369455</v>
      </c>
      <c r="R65">
        <v>0.14378268693730889</v>
      </c>
      <c r="S65">
        <v>0.90847377993153278</v>
      </c>
      <c r="T65">
        <v>8.5925001073313059</v>
      </c>
      <c r="U65">
        <v>32.531604715332222</v>
      </c>
      <c r="V65">
        <v>8.3837455731423951</v>
      </c>
      <c r="W65">
        <v>2.5063154236613894</v>
      </c>
      <c r="X65">
        <v>0.37005592099073237</v>
      </c>
      <c r="Y65">
        <v>1.6164031406917401E-2</v>
      </c>
      <c r="Z65">
        <v>0.5453120162602173</v>
      </c>
      <c r="AA65">
        <v>6.5830138671545129</v>
      </c>
      <c r="AB65">
        <v>1.299689085274214</v>
      </c>
      <c r="AC65">
        <v>0.95406818649901948</v>
      </c>
      <c r="AD65">
        <v>2.4851189935289129</v>
      </c>
      <c r="AE65">
        <v>3.2252306273880156E-2</v>
      </c>
      <c r="AF65">
        <v>7.3702372236650007E-2</v>
      </c>
      <c r="AG65">
        <v>1.4108467187863825</v>
      </c>
      <c r="AH65">
        <v>0.22252338938684946</v>
      </c>
      <c r="AI65">
        <v>0.24669524087498979</v>
      </c>
      <c r="AJ65">
        <v>0.70406817062968918</v>
      </c>
      <c r="AK65">
        <v>0.87085150046009785</v>
      </c>
      <c r="AL65">
        <v>4.858228404654712</v>
      </c>
    </row>
    <row r="66" spans="1:38" x14ac:dyDescent="0.35">
      <c r="A66" t="s">
        <v>116</v>
      </c>
      <c r="B66" t="s">
        <v>73</v>
      </c>
      <c r="C66">
        <v>1</v>
      </c>
      <c r="D66" t="s">
        <v>65</v>
      </c>
      <c r="E66">
        <v>12</v>
      </c>
      <c r="F66">
        <v>28</v>
      </c>
      <c r="G66" t="s">
        <v>7</v>
      </c>
      <c r="H66">
        <v>48</v>
      </c>
      <c r="I66">
        <v>55</v>
      </c>
      <c r="J66">
        <v>1.5215000000000001</v>
      </c>
      <c r="K66">
        <v>2.5106802497536354</v>
      </c>
      <c r="L66">
        <v>5.6021588855429377E-2</v>
      </c>
      <c r="M66">
        <v>0.16275544600140729</v>
      </c>
      <c r="N66">
        <v>0.3831692740000649</v>
      </c>
      <c r="O66">
        <v>15.079410905652022</v>
      </c>
      <c r="P66">
        <v>3.0374063905237261</v>
      </c>
      <c r="Q66">
        <v>7.3996508409485973</v>
      </c>
      <c r="R66">
        <v>0.11884607521634534</v>
      </c>
      <c r="S66">
        <v>0.88998334689006708</v>
      </c>
      <c r="T66">
        <v>8.4776155598071732</v>
      </c>
      <c r="U66">
        <v>31.983914659139238</v>
      </c>
      <c r="V66">
        <v>8.3561103034872666</v>
      </c>
      <c r="W66">
        <v>2.1672302110453123</v>
      </c>
      <c r="X66">
        <v>0.33175371948020194</v>
      </c>
      <c r="Y66">
        <v>0.33173222425524296</v>
      </c>
      <c r="Z66">
        <v>0.50002320247467125</v>
      </c>
      <c r="AA66">
        <v>6.1508573425492425</v>
      </c>
      <c r="AB66">
        <v>1.5265664812160724</v>
      </c>
      <c r="AC66">
        <v>0.76207072226362105</v>
      </c>
      <c r="AD66">
        <v>3.0208269187963963</v>
      </c>
      <c r="AE66">
        <v>3.3167899798391583E-2</v>
      </c>
      <c r="AF66">
        <v>5.4478282882477955E-2</v>
      </c>
      <c r="AG66">
        <v>1.4634050657337747</v>
      </c>
      <c r="AH66">
        <v>0.18064143503309174</v>
      </c>
      <c r="AI66">
        <v>0.35477391123216051</v>
      </c>
      <c r="AJ66">
        <v>1.0126597517761955</v>
      </c>
      <c r="AK66">
        <v>0.90226914743182995</v>
      </c>
      <c r="AL66">
        <v>5.2626592935099392</v>
      </c>
    </row>
    <row r="67" spans="1:38" x14ac:dyDescent="0.35">
      <c r="A67" t="s">
        <v>117</v>
      </c>
      <c r="B67" t="s">
        <v>73</v>
      </c>
      <c r="C67">
        <v>1</v>
      </c>
      <c r="D67" t="s">
        <v>65</v>
      </c>
      <c r="E67">
        <v>12</v>
      </c>
      <c r="F67">
        <v>28</v>
      </c>
      <c r="G67" t="s">
        <v>7</v>
      </c>
      <c r="H67">
        <v>47</v>
      </c>
      <c r="I67">
        <v>56</v>
      </c>
      <c r="J67">
        <v>1.0889</v>
      </c>
      <c r="K67">
        <v>1.4234548627054278</v>
      </c>
      <c r="L67">
        <v>1.4530351982005144E-2</v>
      </c>
      <c r="M67">
        <v>0.3162112337911967</v>
      </c>
      <c r="N67">
        <v>0.29140499842062134</v>
      </c>
      <c r="O67">
        <v>15.673833734648628</v>
      </c>
      <c r="P67">
        <v>2.4061799111285347</v>
      </c>
      <c r="Q67">
        <v>9.0743746609904772</v>
      </c>
      <c r="R67">
        <v>0.13334043364505951</v>
      </c>
      <c r="S67">
        <v>0.65473252420365458</v>
      </c>
      <c r="T67">
        <v>8.3786647762021129</v>
      </c>
      <c r="U67">
        <v>25.568673705864505</v>
      </c>
      <c r="V67">
        <v>6.317303262154387</v>
      </c>
      <c r="W67">
        <v>1.9265531720082598</v>
      </c>
      <c r="X67">
        <v>0.19133698017284118</v>
      </c>
      <c r="Y67">
        <v>0.30335496890231084</v>
      </c>
      <c r="Z67">
        <v>0.24256504201498238</v>
      </c>
      <c r="AA67">
        <v>2.7228580636012967</v>
      </c>
      <c r="AB67">
        <v>1.2517441937527438</v>
      </c>
      <c r="AC67">
        <v>1.6788137266716114</v>
      </c>
      <c r="AD67">
        <v>5.592614253014351</v>
      </c>
      <c r="AE67">
        <v>6.2293247653650345E-2</v>
      </c>
      <c r="AF67">
        <v>0.10021124161864244</v>
      </c>
      <c r="AG67">
        <v>2.6545646485756609</v>
      </c>
      <c r="AH67">
        <v>0.25073926670877483</v>
      </c>
      <c r="AI67">
        <v>0.63060541943227777</v>
      </c>
      <c r="AJ67">
        <v>1.8514574338082632</v>
      </c>
      <c r="AK67">
        <v>1.739889575672932</v>
      </c>
      <c r="AL67">
        <v>9.9711491733602156</v>
      </c>
    </row>
    <row r="68" spans="1:38" x14ac:dyDescent="0.35">
      <c r="A68" t="s">
        <v>118</v>
      </c>
      <c r="B68" t="s">
        <v>73</v>
      </c>
      <c r="C68">
        <v>1</v>
      </c>
      <c r="D68" t="s">
        <v>65</v>
      </c>
      <c r="E68">
        <v>12</v>
      </c>
      <c r="F68">
        <v>36</v>
      </c>
      <c r="G68" t="s">
        <v>7</v>
      </c>
      <c r="H68">
        <v>44</v>
      </c>
      <c r="I68">
        <v>52</v>
      </c>
      <c r="J68">
        <v>1.0138</v>
      </c>
      <c r="K68">
        <v>2.0122312093115426</v>
      </c>
      <c r="L68">
        <v>4.1299720239865292E-2</v>
      </c>
      <c r="M68">
        <v>0.30045506080578988</v>
      </c>
      <c r="N68">
        <v>0.42349436630627746</v>
      </c>
      <c r="O68">
        <v>16.594100784660029</v>
      </c>
      <c r="P68">
        <v>2.8265111316473166</v>
      </c>
      <c r="Q68">
        <v>7.0062105082363182</v>
      </c>
      <c r="R68">
        <v>0.11815952493055595</v>
      </c>
      <c r="S68">
        <v>0.92134255672013909</v>
      </c>
      <c r="T68">
        <v>8.5210636038798953</v>
      </c>
      <c r="U68">
        <v>28.169067221057393</v>
      </c>
      <c r="V68">
        <v>8.2898883064422595</v>
      </c>
      <c r="W68">
        <v>2.4310668894923935</v>
      </c>
      <c r="X68">
        <v>0.33091188409090905</v>
      </c>
      <c r="Y68">
        <v>0.33091188409090905</v>
      </c>
      <c r="Z68">
        <v>0.45205102051878715</v>
      </c>
      <c r="AA68">
        <v>4.4875098301045027</v>
      </c>
      <c r="AB68">
        <v>1.1403973412186472</v>
      </c>
      <c r="AC68">
        <v>1.1626365805408463</v>
      </c>
      <c r="AD68">
        <v>3.8443774494522076</v>
      </c>
      <c r="AE68">
        <v>3.9889144981169612E-2</v>
      </c>
      <c r="AF68">
        <v>8.3308037490723172E-2</v>
      </c>
      <c r="AG68">
        <v>1.8298970787564555</v>
      </c>
      <c r="AH68">
        <v>0.18429673842276242</v>
      </c>
      <c r="AI68">
        <v>0.38616493069256425</v>
      </c>
      <c r="AJ68">
        <v>1.3021702334977627</v>
      </c>
      <c r="AK68">
        <v>1.0963572583074244</v>
      </c>
      <c r="AL68">
        <v>7.68646091341608</v>
      </c>
    </row>
    <row r="69" spans="1:38" x14ac:dyDescent="0.35">
      <c r="A69" t="s">
        <v>119</v>
      </c>
      <c r="B69" t="s">
        <v>73</v>
      </c>
      <c r="C69">
        <v>1</v>
      </c>
      <c r="D69" t="s">
        <v>65</v>
      </c>
      <c r="E69">
        <v>12</v>
      </c>
      <c r="F69">
        <v>36</v>
      </c>
      <c r="G69" t="s">
        <v>7</v>
      </c>
      <c r="H69">
        <v>38</v>
      </c>
      <c r="I69">
        <v>44</v>
      </c>
      <c r="J69">
        <v>0.77939999999999998</v>
      </c>
      <c r="K69">
        <v>2.3864511162431721</v>
      </c>
      <c r="L69">
        <v>5.7214885708632063E-2</v>
      </c>
      <c r="M69">
        <v>0.24420566345130143</v>
      </c>
      <c r="N69">
        <v>0.41183342859258842</v>
      </c>
      <c r="O69">
        <v>16.125565967977717</v>
      </c>
      <c r="P69">
        <v>3.0659144955857562</v>
      </c>
      <c r="Q69">
        <v>7.5159776825046043</v>
      </c>
      <c r="R69">
        <v>0.12924166171065607</v>
      </c>
      <c r="S69">
        <v>0.94144407798713192</v>
      </c>
      <c r="T69">
        <v>8.8452108059854879</v>
      </c>
      <c r="U69">
        <v>30.304051751695141</v>
      </c>
      <c r="V69">
        <v>8.5015560403708879</v>
      </c>
      <c r="W69">
        <v>2.2617248250047024</v>
      </c>
      <c r="X69">
        <v>0.33656439457485804</v>
      </c>
      <c r="Y69">
        <v>1.701452664439462E-2</v>
      </c>
      <c r="Z69">
        <v>0.47400483705372359</v>
      </c>
      <c r="AA69">
        <v>4.9412584211305033</v>
      </c>
      <c r="AB69">
        <v>1.351425665715398</v>
      </c>
      <c r="AC69">
        <v>1.0189956465192731</v>
      </c>
      <c r="AD69">
        <v>3.5657689887381649</v>
      </c>
      <c r="AE69">
        <v>3.4375830228789345E-2</v>
      </c>
      <c r="AF69">
        <v>6.435182461284672E-2</v>
      </c>
      <c r="AG69">
        <v>1.6760244829720112</v>
      </c>
      <c r="AH69">
        <v>0.2238240674590122</v>
      </c>
      <c r="AI69">
        <v>0.37304901627040998</v>
      </c>
      <c r="AJ69">
        <v>1.0518269365122339</v>
      </c>
      <c r="AK69">
        <v>0.96320450826096193</v>
      </c>
      <c r="AL69">
        <v>5.5043695667328256</v>
      </c>
    </row>
    <row r="70" spans="1:38" x14ac:dyDescent="0.35">
      <c r="A70" t="s">
        <v>120</v>
      </c>
      <c r="B70" t="s">
        <v>73</v>
      </c>
      <c r="C70">
        <v>1</v>
      </c>
      <c r="D70" t="s">
        <v>65</v>
      </c>
      <c r="E70">
        <v>12</v>
      </c>
      <c r="F70">
        <v>36</v>
      </c>
      <c r="G70" t="s">
        <v>7</v>
      </c>
      <c r="H70">
        <v>44</v>
      </c>
      <c r="I70">
        <v>49</v>
      </c>
      <c r="J70">
        <v>1.0324</v>
      </c>
      <c r="K70">
        <v>2.5474622239441209</v>
      </c>
      <c r="L70">
        <v>6.9672301449120067E-2</v>
      </c>
      <c r="M70">
        <v>0.26004752716388624</v>
      </c>
      <c r="N70">
        <v>0.44655441615210045</v>
      </c>
      <c r="O70">
        <v>16.275463141510976</v>
      </c>
      <c r="P70">
        <v>2.701920993014117</v>
      </c>
      <c r="Q70">
        <v>8.294082557340742</v>
      </c>
      <c r="R70">
        <v>0.14527268952326175</v>
      </c>
      <c r="S70">
        <v>0.96585541227912053</v>
      </c>
      <c r="T70">
        <v>8.3678670652853029</v>
      </c>
      <c r="U70">
        <v>30.305038111177378</v>
      </c>
      <c r="V70">
        <v>8.7945200369145606</v>
      </c>
      <c r="W70">
        <v>2.4699601218683935</v>
      </c>
      <c r="X70">
        <v>0.38735559954375293</v>
      </c>
      <c r="Y70">
        <v>1.6464476191226936E-2</v>
      </c>
      <c r="Z70">
        <v>0.52101948029282774</v>
      </c>
      <c r="AA70">
        <v>5.3416331631135527</v>
      </c>
      <c r="AB70">
        <v>1.2781972786880935</v>
      </c>
      <c r="AC70">
        <v>0.994034298172495</v>
      </c>
      <c r="AD70">
        <v>3.0008178100526357</v>
      </c>
      <c r="AE70">
        <v>3.2473424926300738E-2</v>
      </c>
      <c r="AF70">
        <v>7.3555224778670936E-2</v>
      </c>
      <c r="AG70">
        <v>1.6096662841107181</v>
      </c>
      <c r="AH70">
        <v>0.1878429306566447</v>
      </c>
      <c r="AI70">
        <v>0.32060122646953787</v>
      </c>
      <c r="AJ70">
        <v>0.82482605673450737</v>
      </c>
      <c r="AK70">
        <v>0.97225498045732517</v>
      </c>
      <c r="AL70">
        <v>5.3430033921327595</v>
      </c>
    </row>
    <row r="71" spans="1:38" x14ac:dyDescent="0.35">
      <c r="A71" t="s">
        <v>121</v>
      </c>
      <c r="B71" t="s">
        <v>73</v>
      </c>
      <c r="C71">
        <v>1</v>
      </c>
      <c r="D71" t="s">
        <v>65</v>
      </c>
      <c r="E71">
        <v>12</v>
      </c>
      <c r="F71">
        <v>42</v>
      </c>
      <c r="G71" t="s">
        <v>7</v>
      </c>
      <c r="H71">
        <v>40</v>
      </c>
      <c r="I71">
        <v>48</v>
      </c>
      <c r="J71">
        <v>0.96340000000000003</v>
      </c>
      <c r="K71">
        <v>1.8580029063733563</v>
      </c>
      <c r="L71">
        <v>3.6822551502221398E-2</v>
      </c>
      <c r="M71">
        <v>7.9656440319577443E-2</v>
      </c>
      <c r="N71">
        <v>0.33742807934424812</v>
      </c>
      <c r="O71">
        <v>16.182339286528773</v>
      </c>
      <c r="P71">
        <v>2.9093480358882289</v>
      </c>
      <c r="Q71">
        <v>6.1957279049714575</v>
      </c>
      <c r="R71">
        <v>7.9402874621874259E-2</v>
      </c>
      <c r="S71">
        <v>0.77710133364020062</v>
      </c>
      <c r="T71">
        <v>8.095660511815554</v>
      </c>
      <c r="U71">
        <v>29.792056735145948</v>
      </c>
      <c r="V71">
        <v>7.8607398103950876</v>
      </c>
      <c r="W71">
        <v>1.9555208708208607</v>
      </c>
      <c r="X71">
        <v>0.22823442280779566</v>
      </c>
      <c r="Y71">
        <v>0.22823442280779566</v>
      </c>
      <c r="Z71">
        <v>0.37154181708317185</v>
      </c>
      <c r="AA71">
        <v>4.8212545784571974</v>
      </c>
      <c r="AB71">
        <v>1.2274868646542045</v>
      </c>
      <c r="AC71">
        <v>1.1447203886117037</v>
      </c>
      <c r="AD71">
        <v>4.036003770795439</v>
      </c>
      <c r="AE71">
        <v>4.1259231439162131E-2</v>
      </c>
      <c r="AF71">
        <v>6.1143059646398906E-2</v>
      </c>
      <c r="AG71">
        <v>1.7982406287511286</v>
      </c>
      <c r="AH71">
        <v>0.14932572366976626</v>
      </c>
      <c r="AI71">
        <v>0.38887168551767909</v>
      </c>
      <c r="AJ71">
        <v>1.4276655694497105</v>
      </c>
      <c r="AK71">
        <v>1.0777712297412549</v>
      </c>
      <c r="AL71">
        <v>8.6964421715735707</v>
      </c>
    </row>
    <row r="72" spans="1:38" x14ac:dyDescent="0.35">
      <c r="A72" t="s">
        <v>122</v>
      </c>
      <c r="B72" t="s">
        <v>73</v>
      </c>
      <c r="C72">
        <v>1</v>
      </c>
      <c r="D72" t="s">
        <v>65</v>
      </c>
      <c r="E72">
        <v>12</v>
      </c>
      <c r="F72">
        <v>42</v>
      </c>
      <c r="G72" t="s">
        <v>7</v>
      </c>
      <c r="H72">
        <v>40</v>
      </c>
      <c r="I72">
        <v>47</v>
      </c>
      <c r="J72">
        <v>0.97719999999999996</v>
      </c>
      <c r="K72">
        <v>2.7220630372493022</v>
      </c>
      <c r="L72">
        <v>7.9427594860970063E-2</v>
      </c>
      <c r="M72">
        <v>0.23488054776095815</v>
      </c>
      <c r="N72">
        <v>0.42987123725435644</v>
      </c>
      <c r="O72">
        <v>16.388015739707679</v>
      </c>
      <c r="P72">
        <v>2.9577665210490753</v>
      </c>
      <c r="Q72">
        <v>8.084090633383326</v>
      </c>
      <c r="R72">
        <v>0.13093974358202573</v>
      </c>
      <c r="S72">
        <v>0.96043709426860413</v>
      </c>
      <c r="T72">
        <v>8.4869950517977966</v>
      </c>
      <c r="U72">
        <v>30.640829486991809</v>
      </c>
      <c r="V72">
        <v>8.6393819631040589</v>
      </c>
      <c r="W72">
        <v>2.2005457910039739</v>
      </c>
      <c r="X72">
        <v>0.32098600771252733</v>
      </c>
      <c r="Y72">
        <v>1.3846639455535256E-2</v>
      </c>
      <c r="Z72">
        <v>0.5372126722270808</v>
      </c>
      <c r="AA72">
        <v>6.1164845051085655</v>
      </c>
      <c r="AB72">
        <v>1.5027835693458187</v>
      </c>
      <c r="AC72">
        <v>0.84147203048558394</v>
      </c>
      <c r="AD72">
        <v>2.669682409242887</v>
      </c>
      <c r="AE72">
        <v>2.5901352991196534E-2</v>
      </c>
      <c r="AF72">
        <v>5.1265489562766949E-2</v>
      </c>
      <c r="AG72">
        <v>1.4456270346553282</v>
      </c>
      <c r="AH72">
        <v>0.19870396043573188</v>
      </c>
      <c r="AI72">
        <v>0.28969054147354528</v>
      </c>
      <c r="AJ72">
        <v>0.86712926719641215</v>
      </c>
      <c r="AK72">
        <v>0.86822845963646922</v>
      </c>
      <c r="AL72">
        <v>5.017804655705933</v>
      </c>
    </row>
    <row r="73" spans="1:38" x14ac:dyDescent="0.35">
      <c r="A73" t="s">
        <v>123</v>
      </c>
      <c r="B73" t="s">
        <v>73</v>
      </c>
      <c r="C73">
        <v>1</v>
      </c>
      <c r="D73" t="s">
        <v>65</v>
      </c>
      <c r="E73">
        <v>12</v>
      </c>
      <c r="F73">
        <v>42</v>
      </c>
      <c r="G73" t="s">
        <v>7</v>
      </c>
      <c r="H73">
        <v>41</v>
      </c>
      <c r="I73">
        <v>49</v>
      </c>
      <c r="J73">
        <v>1.0253000000000001</v>
      </c>
      <c r="K73">
        <v>2.5358431678532916</v>
      </c>
      <c r="L73">
        <v>5.5813617429545895E-2</v>
      </c>
      <c r="M73">
        <v>0.1703929619243881</v>
      </c>
      <c r="N73">
        <v>0.40636845639741415</v>
      </c>
      <c r="O73">
        <v>16.026172844998715</v>
      </c>
      <c r="P73">
        <v>2.7911743224538887</v>
      </c>
      <c r="Q73">
        <v>7.7782171372471112</v>
      </c>
      <c r="R73">
        <v>0.1261257368603329</v>
      </c>
      <c r="S73">
        <v>0.93511233904378532</v>
      </c>
      <c r="T73">
        <v>8.4437966810828389</v>
      </c>
      <c r="U73">
        <v>30.623876239577896</v>
      </c>
      <c r="V73">
        <v>8.6116027342347365</v>
      </c>
      <c r="W73">
        <v>2.3912544204035884</v>
      </c>
      <c r="X73">
        <v>0.3315623143466957</v>
      </c>
      <c r="Y73">
        <v>1.9295056239865344E-2</v>
      </c>
      <c r="Z73">
        <v>0.49520321976387871</v>
      </c>
      <c r="AA73">
        <v>5.3705458704443743</v>
      </c>
      <c r="AB73">
        <v>1.3268146670756138</v>
      </c>
      <c r="AC73">
        <v>0.96339017187020914</v>
      </c>
      <c r="AD73">
        <v>3.0620409188406024</v>
      </c>
      <c r="AE73">
        <v>1.372193023391825E-2</v>
      </c>
      <c r="AF73">
        <v>6.3586544838875325E-2</v>
      </c>
      <c r="AG73">
        <v>1.5430442195049299</v>
      </c>
      <c r="AH73">
        <v>0.18727164738030366</v>
      </c>
      <c r="AI73">
        <v>0.29032789250321184</v>
      </c>
      <c r="AJ73">
        <v>0.9470176930778349</v>
      </c>
      <c r="AK73">
        <v>0.94145122221290412</v>
      </c>
      <c r="AL73">
        <v>6.0848191400125282</v>
      </c>
    </row>
    <row r="74" spans="1:38" x14ac:dyDescent="0.35">
      <c r="A74" t="s">
        <v>124</v>
      </c>
      <c r="B74" t="s">
        <v>73</v>
      </c>
      <c r="C74">
        <v>1</v>
      </c>
      <c r="D74" t="s">
        <v>69</v>
      </c>
      <c r="E74">
        <v>12</v>
      </c>
      <c r="F74">
        <v>29</v>
      </c>
      <c r="G74" t="s">
        <v>8</v>
      </c>
      <c r="H74">
        <v>40</v>
      </c>
      <c r="I74">
        <v>47</v>
      </c>
      <c r="J74">
        <v>1.0162</v>
      </c>
      <c r="K74">
        <v>2.7160007872465681</v>
      </c>
      <c r="L74">
        <v>9.1527472103139731E-2</v>
      </c>
      <c r="M74">
        <v>0.16895338976148599</v>
      </c>
      <c r="N74">
        <v>0.75703940716907192</v>
      </c>
      <c r="O74">
        <v>14.86523543335465</v>
      </c>
      <c r="P74">
        <v>4.6557020455216627</v>
      </c>
      <c r="Q74">
        <v>7.8304266024261597</v>
      </c>
      <c r="R74">
        <v>0.39269143987231642</v>
      </c>
      <c r="S74">
        <v>0.77297794161598199</v>
      </c>
      <c r="T74">
        <v>7.6358601706381384</v>
      </c>
      <c r="U74">
        <v>30.877639600672559</v>
      </c>
      <c r="V74">
        <v>10.308842836800629</v>
      </c>
      <c r="W74">
        <v>1.420850919446021</v>
      </c>
      <c r="X74">
        <v>0.24192252248560239</v>
      </c>
      <c r="Y74">
        <v>0.26380248522660915</v>
      </c>
      <c r="Z74">
        <v>0.29806621259109423</v>
      </c>
      <c r="AA74">
        <v>5.008488446328375</v>
      </c>
      <c r="AB74">
        <v>1.0718990642164794</v>
      </c>
      <c r="AC74">
        <v>0.60089575013231256</v>
      </c>
      <c r="AD74">
        <v>2.5994830062863028</v>
      </c>
      <c r="AE74">
        <v>1.1757956698131192E-2</v>
      </c>
      <c r="AF74">
        <v>4.994318375372462E-2</v>
      </c>
      <c r="AG74">
        <v>1.5426266469243008</v>
      </c>
      <c r="AH74">
        <v>0.16021848621195264</v>
      </c>
      <c r="AI74">
        <v>0.3376079714050339</v>
      </c>
      <c r="AJ74">
        <v>0.64822412494952664</v>
      </c>
      <c r="AK74">
        <v>1.0691874281271021</v>
      </c>
      <c r="AL74">
        <v>6.318129455281678</v>
      </c>
    </row>
    <row r="75" spans="1:38" x14ac:dyDescent="0.35">
      <c r="A75" t="s">
        <v>125</v>
      </c>
      <c r="B75" t="s">
        <v>73</v>
      </c>
      <c r="C75">
        <v>1</v>
      </c>
      <c r="D75" t="s">
        <v>69</v>
      </c>
      <c r="E75">
        <v>12</v>
      </c>
      <c r="F75">
        <v>29</v>
      </c>
      <c r="G75" t="s">
        <v>8</v>
      </c>
      <c r="H75">
        <v>35</v>
      </c>
      <c r="I75">
        <v>41</v>
      </c>
      <c r="J75">
        <v>0.60109999999999997</v>
      </c>
      <c r="K75">
        <v>2.2957910497424039</v>
      </c>
      <c r="L75">
        <v>4.9470048369409596E-2</v>
      </c>
      <c r="M75">
        <v>0.30778020372968951</v>
      </c>
      <c r="N75">
        <v>0.8362340403647025</v>
      </c>
      <c r="O75">
        <v>16.489665908079008</v>
      </c>
      <c r="P75">
        <v>3.7532089238174353</v>
      </c>
      <c r="Q75">
        <v>6.2640276476511572</v>
      </c>
      <c r="R75">
        <v>0.44473049907663187</v>
      </c>
      <c r="S75">
        <v>0.81701967166932754</v>
      </c>
      <c r="T75">
        <v>7.7480221806105396</v>
      </c>
      <c r="U75">
        <v>28.10293135563963</v>
      </c>
      <c r="V75">
        <v>8.7460198486295688</v>
      </c>
      <c r="W75">
        <v>1.6917638468902076</v>
      </c>
      <c r="X75">
        <v>0.25183838526254787</v>
      </c>
      <c r="Y75">
        <v>2.091216401386194E-2</v>
      </c>
      <c r="Z75">
        <v>0.25138895305244846</v>
      </c>
      <c r="AA75">
        <v>3.0597154130235147</v>
      </c>
      <c r="AB75">
        <v>0.8542948753421058</v>
      </c>
      <c r="AC75">
        <v>0.95572659416620431</v>
      </c>
      <c r="AD75">
        <v>3.593862236745454</v>
      </c>
      <c r="AE75">
        <v>2.0446076216777343E-2</v>
      </c>
      <c r="AF75">
        <v>9.1937765604060043E-2</v>
      </c>
      <c r="AG75">
        <v>2.6687212103309901</v>
      </c>
      <c r="AH75">
        <v>0.12785392710654961</v>
      </c>
      <c r="AI75">
        <v>0.33795609776929503</v>
      </c>
      <c r="AJ75">
        <v>0.82992425928232627</v>
      </c>
      <c r="AK75">
        <v>1.4682829416623864</v>
      </c>
      <c r="AL75">
        <v>10.216264925894206</v>
      </c>
    </row>
    <row r="76" spans="1:38" x14ac:dyDescent="0.35">
      <c r="A76" t="s">
        <v>126</v>
      </c>
      <c r="B76" t="s">
        <v>73</v>
      </c>
      <c r="C76">
        <v>1</v>
      </c>
      <c r="D76" t="s">
        <v>69</v>
      </c>
      <c r="E76">
        <v>12</v>
      </c>
      <c r="F76">
        <v>29</v>
      </c>
      <c r="G76" t="s">
        <v>8</v>
      </c>
      <c r="H76">
        <v>40</v>
      </c>
      <c r="I76">
        <v>47</v>
      </c>
      <c r="J76">
        <v>1.0227999999999999</v>
      </c>
      <c r="K76">
        <v>2.0238560813452993</v>
      </c>
      <c r="L76">
        <v>6.2278056288397103E-2</v>
      </c>
      <c r="M76">
        <v>0.26500449671247089</v>
      </c>
      <c r="N76">
        <v>0.83087510888523064</v>
      </c>
      <c r="O76">
        <v>14.858664729287085</v>
      </c>
      <c r="P76">
        <v>4.0492597777457817</v>
      </c>
      <c r="Q76">
        <v>7.4495557213840167</v>
      </c>
      <c r="R76">
        <v>2.4284730467178568E-2</v>
      </c>
      <c r="S76">
        <v>0.82236342667539086</v>
      </c>
      <c r="T76">
        <v>7.7237012270344056</v>
      </c>
      <c r="U76">
        <v>28.912423630371279</v>
      </c>
      <c r="V76">
        <v>9.6801885376725245</v>
      </c>
      <c r="W76">
        <v>1.6845167270340691</v>
      </c>
      <c r="X76">
        <v>0.25830992768944172</v>
      </c>
      <c r="Y76">
        <v>0.25790112238275087</v>
      </c>
      <c r="Z76">
        <v>0.26224943797156008</v>
      </c>
      <c r="AA76">
        <v>3.0761044423189925</v>
      </c>
      <c r="AB76">
        <v>0.94959080819026298</v>
      </c>
      <c r="AC76">
        <v>0.9492589838964568</v>
      </c>
      <c r="AD76">
        <v>3.677398687404529</v>
      </c>
      <c r="AE76">
        <v>3.6494002483627011E-2</v>
      </c>
      <c r="AF76">
        <v>8.51094574888593E-2</v>
      </c>
      <c r="AG76">
        <v>2.2602013067104503</v>
      </c>
      <c r="AH76">
        <v>0.12653608090277579</v>
      </c>
      <c r="AI76">
        <v>0.39613053576977142</v>
      </c>
      <c r="AJ76">
        <v>0.96924417194363954</v>
      </c>
      <c r="AK76">
        <v>1.4823952962311144</v>
      </c>
      <c r="AL76">
        <v>8.849959569057896</v>
      </c>
    </row>
    <row r="77" spans="1:38" x14ac:dyDescent="0.35">
      <c r="A77" t="s">
        <v>127</v>
      </c>
      <c r="B77" t="s">
        <v>73</v>
      </c>
      <c r="C77">
        <v>1</v>
      </c>
      <c r="D77" t="s">
        <v>69</v>
      </c>
      <c r="E77">
        <v>12</v>
      </c>
      <c r="F77">
        <v>32</v>
      </c>
      <c r="G77" t="s">
        <v>8</v>
      </c>
      <c r="H77">
        <v>40</v>
      </c>
      <c r="I77">
        <v>47</v>
      </c>
      <c r="J77">
        <v>0.71660000000000001</v>
      </c>
      <c r="K77">
        <v>1.2838403572425168</v>
      </c>
      <c r="L77">
        <v>3.4383566630198412E-2</v>
      </c>
      <c r="M77">
        <v>0.32699588706010146</v>
      </c>
      <c r="N77">
        <v>0.83962091296048946</v>
      </c>
      <c r="O77">
        <v>16.392813912266185</v>
      </c>
      <c r="P77">
        <v>4.150546603279861</v>
      </c>
      <c r="Q77">
        <v>6.3386830486071393</v>
      </c>
      <c r="R77">
        <v>0.38188461728167689</v>
      </c>
      <c r="S77">
        <v>0.76620756498563536</v>
      </c>
      <c r="T77">
        <v>7.6690021816196481</v>
      </c>
      <c r="U77">
        <v>26.504440129178636</v>
      </c>
      <c r="V77">
        <v>8.6971932902033018</v>
      </c>
      <c r="W77">
        <v>1.4753474407497837</v>
      </c>
      <c r="X77">
        <v>0.18407984281412895</v>
      </c>
      <c r="Y77">
        <v>0.23508899809225264</v>
      </c>
      <c r="Z77">
        <v>0.18313845602952653</v>
      </c>
      <c r="AA77">
        <v>2.0855893517421991</v>
      </c>
      <c r="AB77">
        <v>0.81196044483972696</v>
      </c>
      <c r="AC77">
        <v>0.97746475182411197</v>
      </c>
      <c r="AD77">
        <v>4.5064259485039013</v>
      </c>
      <c r="AE77">
        <v>3.1663154845339173E-2</v>
      </c>
      <c r="AF77">
        <v>8.5632969170517492E-2</v>
      </c>
      <c r="AG77">
        <v>2.4996429579058375</v>
      </c>
      <c r="AH77">
        <v>6.9667164048621319E-2</v>
      </c>
      <c r="AI77">
        <v>0.41563230558606451</v>
      </c>
      <c r="AJ77">
        <v>1.0022704609347877</v>
      </c>
      <c r="AK77">
        <v>1.6887092414154925</v>
      </c>
      <c r="AL77">
        <v>11.645914797424833</v>
      </c>
    </row>
    <row r="78" spans="1:38" x14ac:dyDescent="0.35">
      <c r="A78" t="s">
        <v>128</v>
      </c>
      <c r="B78" t="s">
        <v>73</v>
      </c>
      <c r="C78">
        <v>1</v>
      </c>
      <c r="D78" t="s">
        <v>69</v>
      </c>
      <c r="E78">
        <v>12</v>
      </c>
      <c r="F78">
        <v>32</v>
      </c>
      <c r="G78" t="s">
        <v>8</v>
      </c>
      <c r="H78">
        <v>36</v>
      </c>
      <c r="I78">
        <v>44</v>
      </c>
      <c r="J78">
        <v>0.62039999999999995</v>
      </c>
      <c r="K78">
        <v>1.7085751128304587</v>
      </c>
      <c r="L78">
        <v>6.693840446416234E-2</v>
      </c>
      <c r="M78">
        <v>0.28339658166178672</v>
      </c>
      <c r="N78">
        <v>0.81524479145090767</v>
      </c>
      <c r="O78">
        <v>15.462429967489301</v>
      </c>
      <c r="P78">
        <v>4.1099854315087381</v>
      </c>
      <c r="Q78">
        <v>7.1762106922389313</v>
      </c>
      <c r="R78">
        <v>0.51216419933259616</v>
      </c>
      <c r="S78">
        <v>0.80793877587203966</v>
      </c>
      <c r="T78">
        <v>7.4850849165092113</v>
      </c>
      <c r="U78">
        <v>29.211208364633734</v>
      </c>
      <c r="V78">
        <v>9.8272014017669687</v>
      </c>
      <c r="W78">
        <v>1.611380958458396</v>
      </c>
      <c r="X78">
        <v>0.27136292875468332</v>
      </c>
      <c r="Y78">
        <v>1.1183002643981152E-2</v>
      </c>
      <c r="Z78">
        <v>0.25241234576279453</v>
      </c>
      <c r="AA78">
        <v>3.0899932297554078</v>
      </c>
      <c r="AB78">
        <v>0.8618133797557942</v>
      </c>
      <c r="AC78">
        <v>0.97307848650379358</v>
      </c>
      <c r="AD78">
        <v>3.3853475834949203</v>
      </c>
      <c r="AE78">
        <v>4.148928258119243E-2</v>
      </c>
      <c r="AF78">
        <v>7.5239505540001778E-2</v>
      </c>
      <c r="AG78">
        <v>2.2106911504343825</v>
      </c>
      <c r="AH78">
        <v>0.13174874415134114</v>
      </c>
      <c r="AI78">
        <v>0.35534547578713899</v>
      </c>
      <c r="AJ78">
        <v>0.76755369018730246</v>
      </c>
      <c r="AK78">
        <v>1.4233343953858426</v>
      </c>
      <c r="AL78">
        <v>8.7802223138746331</v>
      </c>
    </row>
    <row r="79" spans="1:38" x14ac:dyDescent="0.35">
      <c r="A79" t="s">
        <v>129</v>
      </c>
      <c r="B79" t="s">
        <v>73</v>
      </c>
      <c r="C79">
        <v>1</v>
      </c>
      <c r="D79" t="s">
        <v>69</v>
      </c>
      <c r="E79">
        <v>12</v>
      </c>
      <c r="F79">
        <v>32</v>
      </c>
      <c r="G79" t="s">
        <v>8</v>
      </c>
      <c r="H79">
        <v>38</v>
      </c>
      <c r="I79">
        <v>44</v>
      </c>
      <c r="J79">
        <v>0.81200000000000006</v>
      </c>
      <c r="K79">
        <v>1.9950738916255599</v>
      </c>
      <c r="L79">
        <v>5.5576862625191771E-2</v>
      </c>
      <c r="M79">
        <v>0.22858606754581509</v>
      </c>
      <c r="N79">
        <v>0.98692910333868356</v>
      </c>
      <c r="O79">
        <v>15.52808586966888</v>
      </c>
      <c r="P79">
        <v>4.3534890349012692</v>
      </c>
      <c r="Q79">
        <v>7.7434844743452746</v>
      </c>
      <c r="R79">
        <v>2.4822496348450868E-2</v>
      </c>
      <c r="S79">
        <v>0.94245841881568815</v>
      </c>
      <c r="T79">
        <v>7.8883773298407664</v>
      </c>
      <c r="U79">
        <v>28.717234057230872</v>
      </c>
      <c r="V79">
        <v>10.386376815388356</v>
      </c>
      <c r="W79">
        <v>1.6347962580332513</v>
      </c>
      <c r="X79">
        <v>0.24721846762232541</v>
      </c>
      <c r="Y79">
        <v>1.6981805550335127E-2</v>
      </c>
      <c r="Z79">
        <v>0.27712993029436617</v>
      </c>
      <c r="AA79">
        <v>3.0314136821996018</v>
      </c>
      <c r="AB79">
        <v>0.8283106373610839</v>
      </c>
      <c r="AC79">
        <v>0.95335136455835479</v>
      </c>
      <c r="AD79">
        <v>3.4678973877664139</v>
      </c>
      <c r="AE79">
        <v>2.9332654191528671E-2</v>
      </c>
      <c r="AF79">
        <v>6.3665509401017381E-2</v>
      </c>
      <c r="AG79">
        <v>2.1331938865431552</v>
      </c>
      <c r="AH79">
        <v>0.13614470450676544</v>
      </c>
      <c r="AI79">
        <v>0.33129804105803273</v>
      </c>
      <c r="AJ79">
        <v>0.74252593864670702</v>
      </c>
      <c r="AK79">
        <v>1.3231578981783159</v>
      </c>
      <c r="AL79">
        <v>7.9281613040395156</v>
      </c>
    </row>
    <row r="80" spans="1:38" x14ac:dyDescent="0.35">
      <c r="A80" t="s">
        <v>130</v>
      </c>
      <c r="B80" t="s">
        <v>73</v>
      </c>
      <c r="C80">
        <v>1</v>
      </c>
      <c r="D80" t="s">
        <v>69</v>
      </c>
      <c r="E80">
        <v>12</v>
      </c>
      <c r="F80">
        <v>38</v>
      </c>
      <c r="G80" t="s">
        <v>8</v>
      </c>
      <c r="H80">
        <v>35</v>
      </c>
      <c r="I80">
        <v>43</v>
      </c>
      <c r="J80">
        <v>0.72470000000000001</v>
      </c>
      <c r="K80">
        <v>1.9594314888918007</v>
      </c>
      <c r="L80">
        <v>6.3575936698786889E-2</v>
      </c>
      <c r="M80">
        <v>2.3967989770429852</v>
      </c>
      <c r="N80">
        <v>0.91897607040833773</v>
      </c>
      <c r="O80">
        <v>15.469639035341615</v>
      </c>
      <c r="P80">
        <v>4.4470263102743859</v>
      </c>
      <c r="Q80">
        <v>7.6505987214035667</v>
      </c>
      <c r="R80">
        <v>0.48105904377253011</v>
      </c>
      <c r="S80">
        <v>0.85340898605590332</v>
      </c>
      <c r="T80">
        <v>7.1133642093930503</v>
      </c>
      <c r="U80">
        <v>27.915605135215586</v>
      </c>
      <c r="V80">
        <v>9.7654105293080118</v>
      </c>
      <c r="W80">
        <v>1.5559133574089097</v>
      </c>
      <c r="X80">
        <v>0.26397815094802879</v>
      </c>
      <c r="Y80">
        <v>1.7948922703337911E-2</v>
      </c>
      <c r="Z80">
        <v>0.26252883196099386</v>
      </c>
      <c r="AA80">
        <v>3.056692497823319</v>
      </c>
      <c r="AB80">
        <v>0.75134528230967323</v>
      </c>
      <c r="AC80">
        <v>0.79691704722820478</v>
      </c>
      <c r="AD80">
        <v>3.2388608204461744</v>
      </c>
      <c r="AE80">
        <v>2.8463209753571226E-2</v>
      </c>
      <c r="AF80">
        <v>6.3913731493625003E-2</v>
      </c>
      <c r="AG80">
        <v>2.0739810438187742</v>
      </c>
      <c r="AH80">
        <v>0.14202647575506447</v>
      </c>
      <c r="AI80">
        <v>0.29793088959848835</v>
      </c>
      <c r="AJ80">
        <v>0.67044754839466547</v>
      </c>
      <c r="AK80">
        <v>1.2797423652185076</v>
      </c>
      <c r="AL80">
        <v>8.4238468702238762</v>
      </c>
    </row>
    <row r="81" spans="1:38" x14ac:dyDescent="0.35">
      <c r="A81" t="s">
        <v>131</v>
      </c>
      <c r="B81" t="s">
        <v>73</v>
      </c>
      <c r="C81">
        <v>1</v>
      </c>
      <c r="D81" t="s">
        <v>69</v>
      </c>
      <c r="E81">
        <v>12</v>
      </c>
      <c r="F81">
        <v>38</v>
      </c>
      <c r="G81" t="s">
        <v>8</v>
      </c>
      <c r="H81">
        <v>38</v>
      </c>
      <c r="I81">
        <v>46</v>
      </c>
      <c r="J81">
        <v>0.85529999999999995</v>
      </c>
      <c r="K81">
        <v>2.0811411200747543</v>
      </c>
      <c r="L81">
        <v>5.646123552075559E-2</v>
      </c>
      <c r="M81">
        <v>2.2063915250728892</v>
      </c>
      <c r="N81">
        <v>0.86966898161380979</v>
      </c>
      <c r="O81">
        <v>15.804620827626312</v>
      </c>
      <c r="P81">
        <v>3.9186658437618123</v>
      </c>
      <c r="Q81">
        <v>7.2038115022322957</v>
      </c>
      <c r="R81">
        <v>2.3263037975774999E-2</v>
      </c>
      <c r="S81">
        <v>0.81607891734447802</v>
      </c>
      <c r="T81">
        <v>7.6439805877916882</v>
      </c>
      <c r="U81">
        <v>27.322997863362595</v>
      </c>
      <c r="V81">
        <v>9.6449369543311896</v>
      </c>
      <c r="W81">
        <v>1.5740770861329538</v>
      </c>
      <c r="X81">
        <v>0.22351435504440098</v>
      </c>
      <c r="Y81">
        <v>0.22351435504440098</v>
      </c>
      <c r="Z81">
        <v>0.25486180052784091</v>
      </c>
      <c r="AA81">
        <v>3.0481606503180485</v>
      </c>
      <c r="AB81">
        <v>0.87503591063692254</v>
      </c>
      <c r="AC81">
        <v>1.0081097710134546</v>
      </c>
      <c r="AD81">
        <v>3.5698683678841574</v>
      </c>
      <c r="AE81">
        <v>3.3490745707786547E-2</v>
      </c>
      <c r="AF81">
        <v>7.8882462658676586E-2</v>
      </c>
      <c r="AG81">
        <v>2.48239042027665</v>
      </c>
      <c r="AH81">
        <v>0.17765540088420653</v>
      </c>
      <c r="AI81">
        <v>0.35713887784795634</v>
      </c>
      <c r="AJ81">
        <v>0.76764581930198628</v>
      </c>
      <c r="AK81">
        <v>1.4194688814699548</v>
      </c>
      <c r="AL81">
        <v>8.3953078186170025</v>
      </c>
    </row>
    <row r="82" spans="1:38" x14ac:dyDescent="0.35">
      <c r="A82" t="s">
        <v>132</v>
      </c>
      <c r="B82" t="s">
        <v>73</v>
      </c>
      <c r="C82">
        <v>1</v>
      </c>
      <c r="D82" t="s">
        <v>69</v>
      </c>
      <c r="E82">
        <v>12</v>
      </c>
      <c r="F82">
        <v>38</v>
      </c>
      <c r="G82" t="s">
        <v>8</v>
      </c>
      <c r="H82">
        <v>37</v>
      </c>
      <c r="I82">
        <v>41</v>
      </c>
      <c r="J82">
        <v>0.69720000000000004</v>
      </c>
      <c r="K82">
        <v>1.8072289156625152</v>
      </c>
      <c r="L82">
        <v>5.4362475420198002E-2</v>
      </c>
      <c r="M82">
        <v>2.1243310214134912</v>
      </c>
      <c r="N82">
        <v>0.85547092743097519</v>
      </c>
      <c r="O82">
        <v>15.161885224062011</v>
      </c>
      <c r="P82">
        <v>3.7706248448120512</v>
      </c>
      <c r="Q82">
        <v>6.8159308967668366</v>
      </c>
      <c r="R82">
        <v>1.8830580480956753E-2</v>
      </c>
      <c r="S82">
        <v>0.8497233642490466</v>
      </c>
      <c r="T82">
        <v>7.8191405891172971</v>
      </c>
      <c r="U82">
        <v>27.455518158448697</v>
      </c>
      <c r="V82">
        <v>9.4964004969015914</v>
      </c>
      <c r="W82">
        <v>1.7078510952714896</v>
      </c>
      <c r="X82">
        <v>0.26103865622263833</v>
      </c>
      <c r="Y82">
        <v>0.30087986832742186</v>
      </c>
      <c r="Z82">
        <v>0.26629848253390381</v>
      </c>
      <c r="AA82">
        <v>3.2402377457470046</v>
      </c>
      <c r="AB82">
        <v>0.79086283932054924</v>
      </c>
      <c r="AC82">
        <v>0.9499704810775581</v>
      </c>
      <c r="AD82">
        <v>3.8586247590023164</v>
      </c>
      <c r="AE82">
        <v>3.7239615933305929E-2</v>
      </c>
      <c r="AF82">
        <v>8.0400833943600036E-2</v>
      </c>
      <c r="AG82">
        <v>2.2311456813983597</v>
      </c>
      <c r="AH82">
        <v>0.12529031524376913</v>
      </c>
      <c r="AI82">
        <v>0.45809704825055342</v>
      </c>
      <c r="AJ82">
        <v>0.96616066327272887</v>
      </c>
      <c r="AK82">
        <v>1.7212468119622972</v>
      </c>
      <c r="AL82">
        <v>8.5824365233893918</v>
      </c>
    </row>
    <row r="83" spans="1:38" x14ac:dyDescent="0.35">
      <c r="A83" t="s">
        <v>133</v>
      </c>
      <c r="B83" t="s">
        <v>73</v>
      </c>
      <c r="C83">
        <v>1</v>
      </c>
      <c r="D83" t="s">
        <v>134</v>
      </c>
      <c r="E83">
        <v>0</v>
      </c>
      <c r="F83" t="s">
        <v>6</v>
      </c>
      <c r="G83" t="s">
        <v>6</v>
      </c>
      <c r="H83">
        <v>25</v>
      </c>
      <c r="I83">
        <v>28</v>
      </c>
      <c r="J83">
        <v>0.14249999999999999</v>
      </c>
      <c r="K83">
        <v>3.5087719298251101</v>
      </c>
      <c r="L83">
        <v>7.6631881662245202E-2</v>
      </c>
      <c r="M83">
        <v>1.8169177885830416</v>
      </c>
      <c r="N83">
        <v>0.34593766761496841</v>
      </c>
      <c r="O83">
        <v>20.129900594476684</v>
      </c>
      <c r="P83">
        <v>0.8483526077437713</v>
      </c>
      <c r="Q83">
        <v>3.4870679234355317</v>
      </c>
      <c r="R83">
        <v>0.1252802857874698</v>
      </c>
      <c r="S83">
        <v>0.43482172478173597</v>
      </c>
      <c r="T83">
        <v>6.6082338887692149</v>
      </c>
      <c r="U83">
        <v>15.055270592392331</v>
      </c>
      <c r="V83">
        <v>4.3771301301462024</v>
      </c>
      <c r="W83">
        <v>3.0510040921396153</v>
      </c>
      <c r="X83">
        <v>0.41452630824843023</v>
      </c>
      <c r="Y83">
        <v>0.42384389835851111</v>
      </c>
      <c r="Z83">
        <v>0.20253398838697459</v>
      </c>
      <c r="AA83">
        <v>3.0708225233942992</v>
      </c>
      <c r="AB83">
        <v>0</v>
      </c>
      <c r="AC83">
        <v>0.54404777107875624</v>
      </c>
      <c r="AD83">
        <v>3.8039560616514945</v>
      </c>
      <c r="AE83">
        <v>0.10004049717608596</v>
      </c>
      <c r="AF83">
        <v>0.38202733595466781</v>
      </c>
      <c r="AG83">
        <v>7.2780768031357557</v>
      </c>
      <c r="AH83">
        <v>7.777418975439615E-2</v>
      </c>
      <c r="AI83">
        <v>0.25709404160379223</v>
      </c>
      <c r="AJ83">
        <v>0.67294792475860221</v>
      </c>
      <c r="AK83">
        <v>1.937454834496831</v>
      </c>
      <c r="AL83">
        <v>24.478304644468611</v>
      </c>
    </row>
    <row r="84" spans="1:38" x14ac:dyDescent="0.35">
      <c r="A84" t="s">
        <v>135</v>
      </c>
      <c r="B84" t="s">
        <v>73</v>
      </c>
      <c r="C84">
        <v>1</v>
      </c>
      <c r="D84" t="s">
        <v>134</v>
      </c>
      <c r="E84">
        <v>0</v>
      </c>
      <c r="F84" t="s">
        <v>6</v>
      </c>
      <c r="G84" t="s">
        <v>6</v>
      </c>
      <c r="H84">
        <v>23</v>
      </c>
      <c r="I84">
        <v>28</v>
      </c>
      <c r="J84">
        <v>0.1308</v>
      </c>
      <c r="K84">
        <v>4.0519877675841611</v>
      </c>
      <c r="L84">
        <v>6.7331869365928207E-2</v>
      </c>
      <c r="M84">
        <v>2.4712505078435756</v>
      </c>
      <c r="N84">
        <v>0.31221633552785899</v>
      </c>
      <c r="O84">
        <v>19.014467742466028</v>
      </c>
      <c r="P84">
        <v>0.51594521673095373</v>
      </c>
      <c r="Q84">
        <v>5.020720532617502</v>
      </c>
      <c r="R84">
        <v>0.21717090412345874</v>
      </c>
      <c r="S84">
        <v>0.37661470697968891</v>
      </c>
      <c r="T84">
        <v>5.9185886670804164</v>
      </c>
      <c r="U84">
        <v>16.373866751447579</v>
      </c>
      <c r="V84">
        <v>4.8342461822531613</v>
      </c>
      <c r="W84">
        <v>4.4560140176754857</v>
      </c>
      <c r="X84">
        <v>0.55451574017378924</v>
      </c>
      <c r="Y84">
        <v>8.5752969225018367E-3</v>
      </c>
      <c r="Z84">
        <v>0.1514327353283752</v>
      </c>
      <c r="AA84">
        <v>4.4938168921787618</v>
      </c>
      <c r="AB84">
        <v>5.913025068286358E-2</v>
      </c>
      <c r="AC84">
        <v>0.34473426136794288</v>
      </c>
      <c r="AD84">
        <v>3.0450445806058664</v>
      </c>
      <c r="AE84">
        <v>0.12449721592883727</v>
      </c>
      <c r="AF84">
        <v>0.5900859490636865</v>
      </c>
      <c r="AG84">
        <v>7.1734130635002282</v>
      </c>
      <c r="AH84">
        <v>8.1087683019806414E-2</v>
      </c>
      <c r="AI84">
        <v>0.26988626253963949</v>
      </c>
      <c r="AJ84">
        <v>0.54690161297444906</v>
      </c>
      <c r="AK84">
        <v>1.9988385585380231</v>
      </c>
      <c r="AL84">
        <v>20.9796064630636</v>
      </c>
    </row>
    <row r="85" spans="1:38" x14ac:dyDescent="0.35">
      <c r="A85" t="s">
        <v>136</v>
      </c>
      <c r="B85" t="s">
        <v>73</v>
      </c>
      <c r="C85">
        <v>1</v>
      </c>
      <c r="D85" t="s">
        <v>134</v>
      </c>
      <c r="E85">
        <v>0</v>
      </c>
      <c r="F85" t="s">
        <v>6</v>
      </c>
      <c r="G85" t="s">
        <v>6</v>
      </c>
      <c r="H85">
        <v>26</v>
      </c>
      <c r="I85">
        <v>31</v>
      </c>
      <c r="J85">
        <v>0.2029</v>
      </c>
      <c r="K85">
        <v>3.7456875308025013</v>
      </c>
      <c r="L85">
        <v>3.123087025021604E-2</v>
      </c>
      <c r="M85">
        <v>2.20258852312273</v>
      </c>
      <c r="N85">
        <v>0.28341518982709313</v>
      </c>
      <c r="O85">
        <v>18.436846802976753</v>
      </c>
      <c r="P85">
        <v>0.50623312807425469</v>
      </c>
      <c r="Q85">
        <v>4.3967211148844596</v>
      </c>
      <c r="R85">
        <v>0.19586665310911805</v>
      </c>
      <c r="S85">
        <v>0.34433998341231242</v>
      </c>
      <c r="T85">
        <v>6.0241537991286522</v>
      </c>
      <c r="U85">
        <v>15.618569179714925</v>
      </c>
      <c r="V85">
        <v>4.6906191343320316</v>
      </c>
      <c r="W85">
        <v>4.0842715420867526</v>
      </c>
      <c r="X85">
        <v>0.44961688590099524</v>
      </c>
      <c r="Y85">
        <v>1.7875177871339375E-2</v>
      </c>
      <c r="Z85">
        <v>0.13482772735123227</v>
      </c>
      <c r="AA85">
        <v>4.6991102213731155</v>
      </c>
      <c r="AB85">
        <v>5.6064644601240395E-2</v>
      </c>
      <c r="AC85">
        <v>0.35053951429244162</v>
      </c>
      <c r="AD85">
        <v>2.8682395388907733</v>
      </c>
      <c r="AE85">
        <v>8.8687135117308691E-2</v>
      </c>
      <c r="AF85">
        <v>0.51661717518520311</v>
      </c>
      <c r="AG85">
        <v>7.5254496362586645</v>
      </c>
      <c r="AH85">
        <v>7.437827817277981E-2</v>
      </c>
      <c r="AI85">
        <v>0.27601813764720806</v>
      </c>
      <c r="AJ85">
        <v>0.46623215351919056</v>
      </c>
      <c r="AK85">
        <v>2.075332883626166</v>
      </c>
      <c r="AL85">
        <v>23.586154969273093</v>
      </c>
    </row>
    <row r="86" spans="1:38" x14ac:dyDescent="0.35">
      <c r="A86" t="s">
        <v>137</v>
      </c>
      <c r="B86" t="s">
        <v>73</v>
      </c>
      <c r="C86">
        <v>1</v>
      </c>
      <c r="D86" t="s">
        <v>134</v>
      </c>
      <c r="E86">
        <v>0</v>
      </c>
      <c r="F86" t="s">
        <v>6</v>
      </c>
      <c r="G86" t="s">
        <v>6</v>
      </c>
      <c r="H86">
        <v>22</v>
      </c>
      <c r="I86">
        <v>25</v>
      </c>
      <c r="J86">
        <v>7.7499999999999999E-2</v>
      </c>
      <c r="K86">
        <v>6.5806451612910308</v>
      </c>
      <c r="L86">
        <v>6.4906104425779584E-2</v>
      </c>
      <c r="M86">
        <v>1.3960052262238574</v>
      </c>
      <c r="N86">
        <v>0.30972299079748361</v>
      </c>
      <c r="O86">
        <v>19.386073092676583</v>
      </c>
      <c r="P86">
        <v>0.74354843724431208</v>
      </c>
      <c r="Q86">
        <v>3.5886015995144565</v>
      </c>
      <c r="R86">
        <v>8.1383041374876938E-2</v>
      </c>
      <c r="S86">
        <v>0.49989048506153144</v>
      </c>
      <c r="T86">
        <v>6.5926217405361935</v>
      </c>
      <c r="U86">
        <v>16.889936319219998</v>
      </c>
      <c r="V86">
        <v>4.6842875099375467</v>
      </c>
      <c r="W86">
        <v>2.3903746202174592</v>
      </c>
      <c r="X86">
        <v>0.59699488847299353</v>
      </c>
      <c r="Y86">
        <v>0.59699488847299353</v>
      </c>
      <c r="Z86">
        <v>0.15930664972120251</v>
      </c>
      <c r="AA86">
        <v>1.9628485262979347</v>
      </c>
      <c r="AB86">
        <v>0</v>
      </c>
      <c r="AC86">
        <v>0</v>
      </c>
      <c r="AD86">
        <v>4.9260000738398375</v>
      </c>
      <c r="AE86">
        <v>0.20378617720182879</v>
      </c>
      <c r="AF86">
        <v>0.58212752873215945</v>
      </c>
      <c r="AG86">
        <v>6.4348175558709046</v>
      </c>
      <c r="AH86">
        <v>1.2747311103811188E-3</v>
      </c>
      <c r="AI86">
        <v>0.64743699243435038</v>
      </c>
      <c r="AJ86">
        <v>0.70332251667856838</v>
      </c>
      <c r="AK86">
        <v>2.3031689236419473</v>
      </c>
      <c r="AL86">
        <v>24.254569380294829</v>
      </c>
    </row>
    <row r="87" spans="1:38" x14ac:dyDescent="0.35">
      <c r="A87" t="s">
        <v>138</v>
      </c>
      <c r="B87" t="s">
        <v>73</v>
      </c>
      <c r="C87">
        <v>1</v>
      </c>
      <c r="D87" t="s">
        <v>134</v>
      </c>
      <c r="E87">
        <v>0</v>
      </c>
      <c r="F87" t="s">
        <v>6</v>
      </c>
      <c r="G87" t="s">
        <v>6</v>
      </c>
      <c r="H87">
        <v>27</v>
      </c>
      <c r="I87">
        <v>31</v>
      </c>
      <c r="J87">
        <v>0.15310000000000001</v>
      </c>
      <c r="K87">
        <v>3.7230568256036247</v>
      </c>
      <c r="L87">
        <v>4.647355742827005E-2</v>
      </c>
      <c r="M87">
        <v>1.9781067464148132</v>
      </c>
      <c r="N87">
        <v>0.26590338877464625</v>
      </c>
      <c r="O87">
        <v>20.131832155771445</v>
      </c>
      <c r="P87">
        <v>0.67624636554568751</v>
      </c>
      <c r="Q87">
        <v>4.0904254970950742</v>
      </c>
      <c r="R87">
        <v>0.14154799919552907</v>
      </c>
      <c r="S87">
        <v>0.39020690834575511</v>
      </c>
      <c r="T87">
        <v>6.2449060287151212</v>
      </c>
      <c r="U87">
        <v>14.055837196932165</v>
      </c>
      <c r="V87">
        <v>4.182928105680455</v>
      </c>
      <c r="W87">
        <v>3.095323030422096</v>
      </c>
      <c r="X87">
        <v>0.38677035616961225</v>
      </c>
      <c r="Y87">
        <v>0.38704086811011112</v>
      </c>
      <c r="Z87">
        <v>0.26118584437541309</v>
      </c>
      <c r="AA87">
        <v>3.0301703608694304</v>
      </c>
      <c r="AB87">
        <v>8.0681499418533947E-2</v>
      </c>
      <c r="AC87">
        <v>0.23403616296855295</v>
      </c>
      <c r="AD87">
        <v>4.31596023140931</v>
      </c>
      <c r="AE87">
        <v>0.12150188255628246</v>
      </c>
      <c r="AF87">
        <v>0.42468930177079689</v>
      </c>
      <c r="AG87">
        <v>6.6842732295874985</v>
      </c>
      <c r="AH87">
        <v>4.8786040570107089E-2</v>
      </c>
      <c r="AI87">
        <v>0.1955361419611997</v>
      </c>
      <c r="AJ87">
        <v>0.50455138637927621</v>
      </c>
      <c r="AK87">
        <v>1.915582376128693</v>
      </c>
      <c r="AL87">
        <v>26.109497337404164</v>
      </c>
    </row>
    <row r="88" spans="1:38" x14ac:dyDescent="0.35">
      <c r="A88" t="s">
        <v>139</v>
      </c>
      <c r="B88" t="s">
        <v>73</v>
      </c>
      <c r="C88">
        <v>1</v>
      </c>
      <c r="D88" t="s">
        <v>134</v>
      </c>
      <c r="E88">
        <v>0</v>
      </c>
      <c r="F88" t="s">
        <v>6</v>
      </c>
      <c r="G88" t="s">
        <v>6</v>
      </c>
      <c r="H88">
        <v>25</v>
      </c>
      <c r="I88">
        <v>29</v>
      </c>
      <c r="J88">
        <v>0.1452</v>
      </c>
      <c r="K88">
        <v>3.5003431708982653</v>
      </c>
      <c r="L88">
        <v>7.6450718127712022E-2</v>
      </c>
      <c r="M88">
        <v>1.9159420221149581</v>
      </c>
      <c r="N88">
        <v>0.28674201094282742</v>
      </c>
      <c r="O88">
        <v>20.574978575973553</v>
      </c>
      <c r="P88">
        <v>0.52101235443364025</v>
      </c>
      <c r="Q88">
        <v>4.8302275381890531</v>
      </c>
      <c r="R88">
        <v>0.22555429622845058</v>
      </c>
      <c r="S88">
        <v>0.39960667384054066</v>
      </c>
      <c r="T88">
        <v>6.6391613016827051</v>
      </c>
      <c r="U88">
        <v>16.840164016309799</v>
      </c>
      <c r="V88">
        <v>4.9933930058730702</v>
      </c>
      <c r="W88">
        <v>4.34889516607275</v>
      </c>
      <c r="X88">
        <v>0.49102135701209876</v>
      </c>
      <c r="Y88">
        <v>2.5663798835556646E-2</v>
      </c>
      <c r="Z88">
        <v>0.16854496953704284</v>
      </c>
      <c r="AA88">
        <v>4.3653181832558801</v>
      </c>
      <c r="AB88">
        <v>6.7226589085909505E-2</v>
      </c>
      <c r="AC88">
        <v>0.33405880962979667</v>
      </c>
      <c r="AD88">
        <v>2.5009691376494145</v>
      </c>
      <c r="AE88">
        <v>9.0774443439725169E-2</v>
      </c>
      <c r="AF88">
        <v>0.43892951080663928</v>
      </c>
      <c r="AG88">
        <v>6.3372356529601497</v>
      </c>
      <c r="AH88">
        <v>5.8976106299268437E-2</v>
      </c>
      <c r="AI88">
        <v>0.22531513639503212</v>
      </c>
      <c r="AJ88">
        <v>0.37815031651882763</v>
      </c>
      <c r="AK88">
        <v>1.7000579323064939</v>
      </c>
      <c r="AL88">
        <v>21.165630376479143</v>
      </c>
    </row>
    <row r="89" spans="1:38" x14ac:dyDescent="0.35">
      <c r="A89" t="s">
        <v>140</v>
      </c>
      <c r="B89" t="s">
        <v>73</v>
      </c>
      <c r="C89">
        <v>1</v>
      </c>
      <c r="D89" t="s">
        <v>134</v>
      </c>
      <c r="E89">
        <v>0</v>
      </c>
      <c r="F89" t="s">
        <v>6</v>
      </c>
      <c r="G89" t="s">
        <v>6</v>
      </c>
      <c r="H89">
        <v>30</v>
      </c>
      <c r="I89">
        <v>34</v>
      </c>
      <c r="J89">
        <v>0.21920000000000001</v>
      </c>
      <c r="K89">
        <v>2.7372262773723666</v>
      </c>
      <c r="L89">
        <v>2.7438894986078013E-2</v>
      </c>
      <c r="M89">
        <v>2.7857537408746502</v>
      </c>
      <c r="N89">
        <v>0.2895613692703588</v>
      </c>
      <c r="O89">
        <v>17.424051368984255</v>
      </c>
      <c r="P89">
        <v>0.4623384223897728</v>
      </c>
      <c r="Q89">
        <v>5.9542099503082389</v>
      </c>
      <c r="R89">
        <v>0.26274994076226504</v>
      </c>
      <c r="S89">
        <v>0.33127553835398937</v>
      </c>
      <c r="T89">
        <v>5.585465934682281</v>
      </c>
      <c r="U89">
        <v>16.175173011632534</v>
      </c>
      <c r="V89">
        <v>4.8746732259366272</v>
      </c>
      <c r="W89">
        <v>4.5969120554800931</v>
      </c>
      <c r="X89">
        <v>0.66066435417821312</v>
      </c>
      <c r="Y89">
        <v>0.72797310322946363</v>
      </c>
      <c r="Z89">
        <v>0.20411167501801633</v>
      </c>
      <c r="AA89">
        <v>5.3319964454600459</v>
      </c>
      <c r="AB89">
        <v>4.6124756121298856E-2</v>
      </c>
      <c r="AC89">
        <v>0.29736970375524824</v>
      </c>
      <c r="AD89">
        <v>2.5179521597241781</v>
      </c>
      <c r="AE89">
        <v>8.8672870973405288E-2</v>
      </c>
      <c r="AF89">
        <v>0.60308442346129953</v>
      </c>
      <c r="AG89">
        <v>7.0170552017463041</v>
      </c>
      <c r="AH89">
        <v>8.7813810076873694E-2</v>
      </c>
      <c r="AI89">
        <v>0.17824288725883664</v>
      </c>
      <c r="AJ89">
        <v>0.44504480396800589</v>
      </c>
      <c r="AK89">
        <v>1.9376733018460721</v>
      </c>
      <c r="AL89">
        <v>21.086617049521617</v>
      </c>
    </row>
    <row r="90" spans="1:38" x14ac:dyDescent="0.35">
      <c r="A90" t="s">
        <v>141</v>
      </c>
      <c r="B90" t="s">
        <v>73</v>
      </c>
      <c r="C90">
        <v>1</v>
      </c>
      <c r="D90" t="s">
        <v>134</v>
      </c>
      <c r="E90">
        <v>0</v>
      </c>
      <c r="F90" t="s">
        <v>6</v>
      </c>
      <c r="G90" t="s">
        <v>6</v>
      </c>
      <c r="H90">
        <v>27</v>
      </c>
      <c r="I90">
        <v>29</v>
      </c>
      <c r="J90">
        <v>0.15790000000000001</v>
      </c>
      <c r="K90">
        <v>3.2932235592148924</v>
      </c>
      <c r="L90">
        <v>3.5995821978397742E-2</v>
      </c>
      <c r="M90">
        <v>2.1361256334095677</v>
      </c>
      <c r="N90">
        <v>0.23914762156602098</v>
      </c>
      <c r="O90">
        <v>17.201230308686295</v>
      </c>
      <c r="P90">
        <v>0.4468668171737622</v>
      </c>
      <c r="Q90">
        <v>5.864653196613471</v>
      </c>
      <c r="R90">
        <v>0.31074631886259563</v>
      </c>
      <c r="S90">
        <v>0.34622984881082947</v>
      </c>
      <c r="T90">
        <v>5.6282042417800398</v>
      </c>
      <c r="U90">
        <v>17.017481468256975</v>
      </c>
      <c r="V90">
        <v>5.1642669773380909</v>
      </c>
      <c r="W90">
        <v>5.1657287551515783</v>
      </c>
      <c r="X90">
        <v>0.61194196360500042</v>
      </c>
      <c r="Y90">
        <v>1.4541056111331859E-2</v>
      </c>
      <c r="Z90">
        <v>0.13588708474750241</v>
      </c>
      <c r="AA90">
        <v>5.3275783291012928</v>
      </c>
      <c r="AB90">
        <v>6.7965767404378374E-2</v>
      </c>
      <c r="AC90">
        <v>0.37375823857275448</v>
      </c>
      <c r="AD90">
        <v>2.7704032453740712</v>
      </c>
      <c r="AE90">
        <v>0.11668161376089466</v>
      </c>
      <c r="AF90">
        <v>0.68846568709489009</v>
      </c>
      <c r="AG90">
        <v>7.460570740613222</v>
      </c>
      <c r="AH90">
        <v>7.6075163511021865E-2</v>
      </c>
      <c r="AI90">
        <v>0.20234033225933665</v>
      </c>
      <c r="AJ90">
        <v>0.43183437476883818</v>
      </c>
      <c r="AK90">
        <v>2.0976188903910913</v>
      </c>
      <c r="AL90">
        <v>20.067660503056775</v>
      </c>
    </row>
    <row r="91" spans="1:38" x14ac:dyDescent="0.35">
      <c r="A91" t="s">
        <v>142</v>
      </c>
      <c r="B91" t="s">
        <v>73</v>
      </c>
      <c r="C91">
        <v>1</v>
      </c>
      <c r="D91" t="s">
        <v>134</v>
      </c>
      <c r="E91">
        <v>0</v>
      </c>
      <c r="F91" t="s">
        <v>6</v>
      </c>
      <c r="G91" t="s">
        <v>6</v>
      </c>
      <c r="H91">
        <v>28</v>
      </c>
      <c r="I91">
        <v>31</v>
      </c>
      <c r="J91">
        <v>0.15740000000000001</v>
      </c>
      <c r="K91">
        <v>2.795425667090472</v>
      </c>
      <c r="L91">
        <v>3.8656705055671342E-2</v>
      </c>
      <c r="M91">
        <v>2.9383404242483433</v>
      </c>
      <c r="N91">
        <v>0.307711054199375</v>
      </c>
      <c r="O91">
        <v>19.323711217453219</v>
      </c>
      <c r="P91">
        <v>0.61434027806445402</v>
      </c>
      <c r="Q91">
        <v>6.469733282951557</v>
      </c>
      <c r="R91">
        <v>0.29992857490725294</v>
      </c>
      <c r="S91">
        <v>0.34101511538405765</v>
      </c>
      <c r="T91">
        <v>5.2423539403823831</v>
      </c>
      <c r="U91">
        <v>16.421945403150133</v>
      </c>
      <c r="V91">
        <v>4.9707258015565658</v>
      </c>
      <c r="W91">
        <v>4.9109581913435276</v>
      </c>
      <c r="X91">
        <v>0.6705571017371067</v>
      </c>
      <c r="Y91">
        <v>0.62453137039109941</v>
      </c>
      <c r="Z91">
        <v>0.14993769554751285</v>
      </c>
      <c r="AA91">
        <v>5.1846303272604262</v>
      </c>
      <c r="AB91">
        <v>6.8397450821126984E-2</v>
      </c>
      <c r="AC91">
        <v>0.32548339668245563</v>
      </c>
      <c r="AD91">
        <v>2.3978829447151688</v>
      </c>
      <c r="AE91">
        <v>0.10301832274124442</v>
      </c>
      <c r="AF91">
        <v>0.62457995175803771</v>
      </c>
      <c r="AG91">
        <v>7.4595124102469779</v>
      </c>
      <c r="AH91">
        <v>6.9659543595904858E-2</v>
      </c>
      <c r="AI91">
        <v>0.15508322938050109</v>
      </c>
      <c r="AJ91">
        <v>0.4533096666050766</v>
      </c>
      <c r="AK91">
        <v>1.8655531278707833</v>
      </c>
      <c r="AL91">
        <v>17.968443471950025</v>
      </c>
    </row>
    <row r="92" spans="1:38" x14ac:dyDescent="0.35">
      <c r="A92" t="s">
        <v>143</v>
      </c>
      <c r="B92" t="s">
        <v>73</v>
      </c>
      <c r="C92">
        <v>1</v>
      </c>
      <c r="D92" t="s">
        <v>134</v>
      </c>
      <c r="E92">
        <v>0</v>
      </c>
      <c r="F92" t="s">
        <v>6</v>
      </c>
      <c r="G92" t="s">
        <v>6</v>
      </c>
      <c r="H92">
        <v>29</v>
      </c>
      <c r="I92">
        <v>33</v>
      </c>
      <c r="J92">
        <v>0.18160000000000001</v>
      </c>
      <c r="K92">
        <v>2.3678414096919802</v>
      </c>
      <c r="L92">
        <v>3.4532494125502897E-2</v>
      </c>
      <c r="M92">
        <v>2.3415956893971912</v>
      </c>
      <c r="N92">
        <v>0.26817601105297312</v>
      </c>
      <c r="O92">
        <v>19.111502901101304</v>
      </c>
      <c r="P92">
        <v>0.58833475583160511</v>
      </c>
      <c r="Q92">
        <v>4.706668772010481</v>
      </c>
      <c r="R92">
        <v>0.19733983889482479</v>
      </c>
      <c r="S92">
        <v>0.32312935816978883</v>
      </c>
      <c r="T92">
        <v>5.5093522424741748</v>
      </c>
      <c r="U92">
        <v>16.795553234530836</v>
      </c>
      <c r="V92">
        <v>4.8547973585436637</v>
      </c>
      <c r="W92">
        <v>4.3845967230697207</v>
      </c>
      <c r="X92">
        <v>0.40575496468536693</v>
      </c>
      <c r="Y92">
        <v>9.0239542325860136E-3</v>
      </c>
      <c r="Z92">
        <v>0.12397141658882441</v>
      </c>
      <c r="AA92">
        <v>4.0720576425569455</v>
      </c>
      <c r="AB92">
        <v>5.7760835915877939E-2</v>
      </c>
      <c r="AC92">
        <v>0.27454468973463891</v>
      </c>
      <c r="AD92">
        <v>2.9699325232942524</v>
      </c>
      <c r="AE92">
        <v>8.6581787049274009E-2</v>
      </c>
      <c r="AF92">
        <v>0.40652066824725652</v>
      </c>
      <c r="AG92">
        <v>6.5211682595933098</v>
      </c>
      <c r="AH92">
        <v>5.4330582160708234E-2</v>
      </c>
      <c r="AI92">
        <v>0.24769623680431491</v>
      </c>
      <c r="AJ92">
        <v>0.47460008935572323</v>
      </c>
      <c r="AK92">
        <v>1.7581407593648886</v>
      </c>
      <c r="AL92">
        <v>23.422336211213931</v>
      </c>
    </row>
    <row r="93" spans="1:38" x14ac:dyDescent="0.35">
      <c r="A93" t="s">
        <v>144</v>
      </c>
      <c r="B93" t="s">
        <v>73</v>
      </c>
      <c r="C93">
        <v>1</v>
      </c>
      <c r="D93" t="s">
        <v>134</v>
      </c>
      <c r="E93">
        <v>0</v>
      </c>
      <c r="F93" t="s">
        <v>6</v>
      </c>
      <c r="G93" t="s">
        <v>6</v>
      </c>
      <c r="H93">
        <v>25</v>
      </c>
      <c r="I93">
        <v>29</v>
      </c>
      <c r="J93">
        <v>0.13109999999999999</v>
      </c>
      <c r="K93">
        <v>2.1357742181545234</v>
      </c>
      <c r="L93">
        <v>2.9951597457377289E-2</v>
      </c>
      <c r="M93">
        <v>2.0512518952348229</v>
      </c>
      <c r="N93">
        <v>0.30541856524481398</v>
      </c>
      <c r="O93">
        <v>21.907262001472663</v>
      </c>
      <c r="P93">
        <v>0.7062720260569878</v>
      </c>
      <c r="Q93">
        <v>4.4662192267567997</v>
      </c>
      <c r="R93">
        <v>0.14943549981107351</v>
      </c>
      <c r="S93">
        <v>0.46198470637534422</v>
      </c>
      <c r="T93">
        <v>5.7127655253552128</v>
      </c>
      <c r="U93">
        <v>15.543126032346789</v>
      </c>
      <c r="V93">
        <v>4.2405811591124536</v>
      </c>
      <c r="W93">
        <v>3.3878211076382563</v>
      </c>
      <c r="X93">
        <v>0.45049284224909941</v>
      </c>
      <c r="Y93">
        <v>0.45049284224909941</v>
      </c>
      <c r="Z93">
        <v>0.12857468674296396</v>
      </c>
      <c r="AA93">
        <v>3.2742581364755527</v>
      </c>
      <c r="AB93">
        <v>0</v>
      </c>
      <c r="AC93">
        <v>0.28536397086623683</v>
      </c>
      <c r="AD93">
        <v>3.5087493259381293</v>
      </c>
      <c r="AE93">
        <v>0.12656716399661169</v>
      </c>
      <c r="AF93">
        <v>0.50207173367089042</v>
      </c>
      <c r="AG93">
        <v>6.5217108388537337</v>
      </c>
      <c r="AH93">
        <v>6.3841057385996741E-2</v>
      </c>
      <c r="AI93">
        <v>0.28268319820000021</v>
      </c>
      <c r="AJ93">
        <v>0.5937101416083006</v>
      </c>
      <c r="AK93">
        <v>2.0274313807595488</v>
      </c>
      <c r="AL93">
        <v>22.82196333814122</v>
      </c>
    </row>
    <row r="94" spans="1:38" x14ac:dyDescent="0.35">
      <c r="A94" t="s">
        <v>145</v>
      </c>
      <c r="B94" t="s">
        <v>73</v>
      </c>
      <c r="C94">
        <v>1</v>
      </c>
      <c r="D94" t="s">
        <v>134</v>
      </c>
      <c r="E94">
        <v>0</v>
      </c>
      <c r="F94" t="s">
        <v>6</v>
      </c>
      <c r="G94" t="s">
        <v>6</v>
      </c>
      <c r="H94">
        <v>30</v>
      </c>
      <c r="I94">
        <v>35</v>
      </c>
      <c r="J94">
        <v>0.2432</v>
      </c>
      <c r="K94">
        <v>3.7006578947369824</v>
      </c>
      <c r="L94">
        <v>2.3780056788598462E-2</v>
      </c>
      <c r="M94">
        <v>2.7039536415600698</v>
      </c>
      <c r="N94">
        <v>0.3080094902376368</v>
      </c>
      <c r="O94">
        <v>19.149917251048247</v>
      </c>
      <c r="P94">
        <v>0.53126636659440363</v>
      </c>
      <c r="Q94">
        <v>5.4414657399063335</v>
      </c>
      <c r="R94">
        <v>0.25973418113545793</v>
      </c>
      <c r="S94">
        <v>0.31328182143829197</v>
      </c>
      <c r="T94">
        <v>5.8040398012349543</v>
      </c>
      <c r="U94">
        <v>17.076116968794604</v>
      </c>
      <c r="V94">
        <v>5.2293811041915372</v>
      </c>
      <c r="W94">
        <v>4.6761251322369697</v>
      </c>
      <c r="X94">
        <v>0.57260254231193541</v>
      </c>
      <c r="Y94">
        <v>0.78145104140698751</v>
      </c>
      <c r="Z94">
        <v>0.11780195721615344</v>
      </c>
      <c r="AA94">
        <v>5.1118539230741433</v>
      </c>
      <c r="AB94">
        <v>4.3969360256410475E-2</v>
      </c>
      <c r="AC94">
        <v>0.30802374748804423</v>
      </c>
      <c r="AD94">
        <v>3.1673399428511857</v>
      </c>
      <c r="AE94">
        <v>0.12654476238870357</v>
      </c>
      <c r="AF94">
        <v>0.61012425548865179</v>
      </c>
      <c r="AG94">
        <v>7.279464061558369</v>
      </c>
      <c r="AH94">
        <v>5.8492313966853803E-2</v>
      </c>
      <c r="AI94">
        <v>0.222770056061038</v>
      </c>
      <c r="AJ94">
        <v>0.38989043466372231</v>
      </c>
      <c r="AK94">
        <v>1.9264129751057284</v>
      </c>
      <c r="AL94">
        <v>17.766187070994956</v>
      </c>
    </row>
    <row r="95" spans="1:38" x14ac:dyDescent="0.35">
      <c r="A95" t="s">
        <v>146</v>
      </c>
      <c r="B95" t="s">
        <v>73</v>
      </c>
      <c r="C95">
        <v>1</v>
      </c>
      <c r="D95" t="s">
        <v>134</v>
      </c>
      <c r="E95">
        <v>0</v>
      </c>
      <c r="F95" t="s">
        <v>6</v>
      </c>
      <c r="G95" t="s">
        <v>6</v>
      </c>
      <c r="H95">
        <v>27</v>
      </c>
      <c r="I95">
        <v>31</v>
      </c>
      <c r="J95">
        <v>0.1386</v>
      </c>
      <c r="K95">
        <v>1.8037518037514448</v>
      </c>
      <c r="L95">
        <v>3.9342035989444593E-2</v>
      </c>
      <c r="M95">
        <v>1.701408342584581</v>
      </c>
      <c r="N95">
        <v>0.21626605978618943</v>
      </c>
      <c r="O95">
        <v>18.28775884812287</v>
      </c>
      <c r="P95">
        <v>0.58269497797620251</v>
      </c>
      <c r="Q95">
        <v>3.5219886147036279</v>
      </c>
      <c r="R95">
        <v>0.11813360113588035</v>
      </c>
      <c r="S95">
        <v>0.3372945631239288</v>
      </c>
      <c r="T95">
        <v>5.7231396432017316</v>
      </c>
      <c r="U95">
        <v>12.684176163861776</v>
      </c>
      <c r="V95">
        <v>3.810856579182567</v>
      </c>
      <c r="W95">
        <v>3.0240844326212479</v>
      </c>
      <c r="X95">
        <v>0.42281974121844668</v>
      </c>
      <c r="Y95">
        <v>7.2808087708086363E-3</v>
      </c>
      <c r="Z95">
        <v>0.14692231006838793</v>
      </c>
      <c r="AA95">
        <v>3.5849777575554733</v>
      </c>
      <c r="AB95">
        <v>0</v>
      </c>
      <c r="AC95">
        <v>0.30735586263171988</v>
      </c>
      <c r="AD95">
        <v>4.1656141487066343</v>
      </c>
      <c r="AE95">
        <v>0.1005635649008139</v>
      </c>
      <c r="AF95">
        <v>0.5135013480268712</v>
      </c>
      <c r="AG95">
        <v>7.8392987894494821</v>
      </c>
      <c r="AH95">
        <v>4.7550899995580299E-2</v>
      </c>
      <c r="AI95">
        <v>0.31542387352176005</v>
      </c>
      <c r="AJ95">
        <v>0.56035910242482334</v>
      </c>
      <c r="AK95">
        <v>2.1724633260764801</v>
      </c>
      <c r="AL95">
        <v>29.768724604362731</v>
      </c>
    </row>
    <row r="96" spans="1:38" x14ac:dyDescent="0.35">
      <c r="A96" t="s">
        <v>147</v>
      </c>
      <c r="B96" t="s">
        <v>73</v>
      </c>
      <c r="C96">
        <v>1</v>
      </c>
      <c r="D96" t="s">
        <v>134</v>
      </c>
      <c r="E96">
        <v>0</v>
      </c>
      <c r="F96" t="s">
        <v>6</v>
      </c>
      <c r="G96" t="s">
        <v>6</v>
      </c>
      <c r="H96">
        <v>25</v>
      </c>
      <c r="I96">
        <v>30</v>
      </c>
      <c r="J96">
        <v>0.1447</v>
      </c>
      <c r="K96">
        <v>2.7643400138226233</v>
      </c>
      <c r="L96">
        <v>4.0743811259668757E-2</v>
      </c>
      <c r="M96">
        <v>2.8884920106904217</v>
      </c>
      <c r="N96">
        <v>0.36622217182462241</v>
      </c>
      <c r="O96">
        <v>18.17051004057268</v>
      </c>
      <c r="P96">
        <v>0.46212553432030912</v>
      </c>
      <c r="Q96">
        <v>6.0204397315102556</v>
      </c>
      <c r="R96">
        <v>0.31141443406716185</v>
      </c>
      <c r="S96">
        <v>0.37146387946805498</v>
      </c>
      <c r="T96">
        <v>5.6058593877160892</v>
      </c>
      <c r="U96">
        <v>17.254212096659128</v>
      </c>
      <c r="V96">
        <v>5.1811975520452771</v>
      </c>
      <c r="W96">
        <v>4.8126771090840252</v>
      </c>
      <c r="X96">
        <v>0.72369337485397034</v>
      </c>
      <c r="Y96">
        <v>5.1486910827813273E-2</v>
      </c>
      <c r="Z96">
        <v>0.31722666416172685</v>
      </c>
      <c r="AA96">
        <v>5.2911883300692235</v>
      </c>
      <c r="AB96">
        <v>0.31967317717952892</v>
      </c>
      <c r="AC96">
        <v>0.34605475125446888</v>
      </c>
      <c r="AD96">
        <v>2.5288185805601331</v>
      </c>
      <c r="AE96">
        <v>0.10623122820301162</v>
      </c>
      <c r="AF96">
        <v>0.73360809461429488</v>
      </c>
      <c r="AG96">
        <v>6.8597581198296389</v>
      </c>
      <c r="AH96">
        <v>7.737939109057472E-2</v>
      </c>
      <c r="AI96">
        <v>0.28175353034973388</v>
      </c>
      <c r="AJ96">
        <v>0.45218602058337998</v>
      </c>
      <c r="AK96">
        <v>2.1538772806259812</v>
      </c>
      <c r="AL96">
        <v>18.271706786578825</v>
      </c>
    </row>
    <row r="97" spans="1:38" x14ac:dyDescent="0.35">
      <c r="A97" t="s">
        <v>148</v>
      </c>
      <c r="B97" t="s">
        <v>73</v>
      </c>
      <c r="C97">
        <v>1</v>
      </c>
      <c r="D97" t="s">
        <v>134</v>
      </c>
      <c r="E97">
        <v>0</v>
      </c>
      <c r="F97" t="s">
        <v>6</v>
      </c>
      <c r="G97" t="s">
        <v>6</v>
      </c>
      <c r="H97">
        <v>27</v>
      </c>
      <c r="I97">
        <v>31</v>
      </c>
      <c r="J97">
        <v>0.1883</v>
      </c>
      <c r="K97">
        <v>2.5491237387154793</v>
      </c>
      <c r="L97">
        <v>3.2323648539086904E-2</v>
      </c>
      <c r="M97">
        <v>2.1312141655119361</v>
      </c>
      <c r="N97">
        <v>0.32550259654146657</v>
      </c>
      <c r="O97">
        <v>17.867694630842582</v>
      </c>
      <c r="P97">
        <v>0.55882553006202196</v>
      </c>
      <c r="Q97">
        <v>4.6891418347579235</v>
      </c>
      <c r="R97">
        <v>0.25422514921527667</v>
      </c>
      <c r="S97">
        <v>0.42208725393564389</v>
      </c>
      <c r="T97">
        <v>6.0330014850116456</v>
      </c>
      <c r="U97">
        <v>15.888730370430123</v>
      </c>
      <c r="V97">
        <v>4.8293632480426307</v>
      </c>
      <c r="W97">
        <v>4.085445559073916</v>
      </c>
      <c r="X97">
        <v>0.49550116109539899</v>
      </c>
      <c r="Y97">
        <v>1.9656109017748561E-2</v>
      </c>
      <c r="Z97">
        <v>0.16121886817119277</v>
      </c>
      <c r="AA97">
        <v>4.5557740081965665</v>
      </c>
      <c r="AB97">
        <v>5.0427576836102148E-2</v>
      </c>
      <c r="AC97">
        <v>0.37155498669027454</v>
      </c>
      <c r="AD97">
        <v>3.9844629351348719</v>
      </c>
      <c r="AE97">
        <v>0.12556911808767732</v>
      </c>
      <c r="AF97">
        <v>0.46750713952846218</v>
      </c>
      <c r="AG97">
        <v>6.991005002459147</v>
      </c>
      <c r="AH97">
        <v>7.8959833122906012E-2</v>
      </c>
      <c r="AI97">
        <v>0.19963176651041489</v>
      </c>
      <c r="AJ97">
        <v>0.47765241567097261</v>
      </c>
      <c r="AK97">
        <v>2.0863230634214815</v>
      </c>
      <c r="AL97">
        <v>22.81720054409254</v>
      </c>
    </row>
    <row r="98" spans="1:38" x14ac:dyDescent="0.35">
      <c r="A98" t="s">
        <v>149</v>
      </c>
      <c r="B98" t="s">
        <v>73</v>
      </c>
      <c r="C98">
        <v>1</v>
      </c>
      <c r="D98" t="s">
        <v>134</v>
      </c>
      <c r="E98">
        <v>0</v>
      </c>
      <c r="F98" t="s">
        <v>6</v>
      </c>
      <c r="G98" t="s">
        <v>6</v>
      </c>
      <c r="H98">
        <v>23</v>
      </c>
      <c r="I98">
        <v>25</v>
      </c>
      <c r="J98">
        <v>0.10780000000000001</v>
      </c>
      <c r="K98">
        <v>2.2263450834876952</v>
      </c>
      <c r="L98">
        <v>4.4471693931813619E-2</v>
      </c>
      <c r="M98">
        <v>1.8052935623824733</v>
      </c>
      <c r="N98">
        <v>0.30059762837170417</v>
      </c>
      <c r="O98">
        <v>21.523512980042394</v>
      </c>
      <c r="P98">
        <v>0.51875660913180255</v>
      </c>
      <c r="Q98">
        <v>3.2830097161519598</v>
      </c>
      <c r="R98">
        <v>0.12320168652427262</v>
      </c>
      <c r="S98">
        <v>0.46799997798395626</v>
      </c>
      <c r="T98">
        <v>6.5357956213472068</v>
      </c>
      <c r="U98">
        <v>13.624162970381779</v>
      </c>
      <c r="V98">
        <v>4.0542509156613269</v>
      </c>
      <c r="W98">
        <v>3.0897510240379233</v>
      </c>
      <c r="X98">
        <v>0.34135054085723865</v>
      </c>
      <c r="Y98">
        <v>0.34135054085723865</v>
      </c>
      <c r="Z98">
        <v>0.47781427289167633</v>
      </c>
      <c r="AA98">
        <v>2.8484311174097758</v>
      </c>
      <c r="AB98">
        <v>0</v>
      </c>
      <c r="AC98">
        <v>0.18372912851038856</v>
      </c>
      <c r="AD98">
        <v>3.6265511393028738</v>
      </c>
      <c r="AE98">
        <v>0.1290559527510918</v>
      </c>
      <c r="AF98">
        <v>0.50010432602635002</v>
      </c>
      <c r="AG98">
        <v>7.1910189408743683</v>
      </c>
      <c r="AH98">
        <v>7.4130807657856776E-2</v>
      </c>
      <c r="AI98">
        <v>0.21471123015765331</v>
      </c>
      <c r="AJ98">
        <v>0.55724418030063028</v>
      </c>
      <c r="AK98">
        <v>1.799636463648641</v>
      </c>
      <c r="AL98">
        <v>26.344066972805642</v>
      </c>
    </row>
    <row r="99" spans="1:38" x14ac:dyDescent="0.35">
      <c r="A99" t="s">
        <v>150</v>
      </c>
      <c r="B99" t="s">
        <v>73</v>
      </c>
      <c r="C99">
        <v>1</v>
      </c>
      <c r="D99" t="s">
        <v>134</v>
      </c>
      <c r="E99">
        <v>0</v>
      </c>
      <c r="F99" t="s">
        <v>6</v>
      </c>
      <c r="G99" t="s">
        <v>6</v>
      </c>
      <c r="H99">
        <v>27</v>
      </c>
      <c r="I99">
        <v>32</v>
      </c>
      <c r="J99">
        <v>0.1862</v>
      </c>
      <c r="K99">
        <v>1.0741138560691019</v>
      </c>
      <c r="L99">
        <v>2.9512359881309728E-2</v>
      </c>
      <c r="M99">
        <v>1.7188629090728282</v>
      </c>
      <c r="N99">
        <v>0.27569991727214371</v>
      </c>
      <c r="O99">
        <v>20.272784656995359</v>
      </c>
      <c r="P99">
        <v>0.54922341076074144</v>
      </c>
      <c r="Q99">
        <v>3.4003703261796314</v>
      </c>
      <c r="R99">
        <v>0.12558832597988104</v>
      </c>
      <c r="S99">
        <v>0.37259601216125299</v>
      </c>
      <c r="T99">
        <v>6.4103118430437789</v>
      </c>
      <c r="U99">
        <v>13.405757422071481</v>
      </c>
      <c r="V99">
        <v>4.2952111681781329</v>
      </c>
      <c r="W99">
        <v>2.9547113272492234</v>
      </c>
      <c r="X99">
        <v>0.37680847972710085</v>
      </c>
      <c r="Y99">
        <v>0.37680847972710085</v>
      </c>
      <c r="Z99">
        <v>0.12731398584308254</v>
      </c>
      <c r="AA99">
        <v>3.0409908509415877</v>
      </c>
      <c r="AB99">
        <v>0</v>
      </c>
      <c r="AC99">
        <v>0.23888726356188042</v>
      </c>
      <c r="AD99">
        <v>4.2838214394460179</v>
      </c>
      <c r="AE99">
        <v>0.11846791070765461</v>
      </c>
      <c r="AF99">
        <v>0.3977101545130915</v>
      </c>
      <c r="AG99">
        <v>7.1562975748257909</v>
      </c>
      <c r="AH99">
        <v>5.2208817002597309E-2</v>
      </c>
      <c r="AI99">
        <v>0.37979702583723546</v>
      </c>
      <c r="AJ99">
        <v>0.52508392195366205</v>
      </c>
      <c r="AK99">
        <v>2.1348750395275791</v>
      </c>
      <c r="AL99">
        <v>26.980299377539861</v>
      </c>
    </row>
    <row r="100" spans="1:38" x14ac:dyDescent="0.35">
      <c r="A100" t="s">
        <v>151</v>
      </c>
      <c r="B100" t="s">
        <v>73</v>
      </c>
      <c r="C100">
        <v>1</v>
      </c>
      <c r="D100" t="s">
        <v>134</v>
      </c>
      <c r="E100">
        <v>0</v>
      </c>
      <c r="F100" t="s">
        <v>6</v>
      </c>
      <c r="G100" t="s">
        <v>6</v>
      </c>
      <c r="H100">
        <v>28</v>
      </c>
      <c r="I100">
        <v>31</v>
      </c>
      <c r="J100">
        <v>0.1489</v>
      </c>
      <c r="K100">
        <v>1.8132975151101656</v>
      </c>
      <c r="L100">
        <v>3.6900452910632875E-2</v>
      </c>
      <c r="M100">
        <v>1.9222538390955701</v>
      </c>
      <c r="N100">
        <v>0.27790650338747347</v>
      </c>
      <c r="O100">
        <v>20.554079365913154</v>
      </c>
      <c r="P100">
        <v>0.5560922000708477</v>
      </c>
      <c r="Q100">
        <v>3.7202652707641621</v>
      </c>
      <c r="R100">
        <v>0.15350624570353505</v>
      </c>
      <c r="S100">
        <v>0.40906442097069723</v>
      </c>
      <c r="T100">
        <v>6.5897614651752647</v>
      </c>
      <c r="U100">
        <v>14.525096932226848</v>
      </c>
      <c r="V100">
        <v>4.2827114652093377</v>
      </c>
      <c r="W100">
        <v>3.2498749819011126</v>
      </c>
      <c r="X100">
        <v>0.34854414568930625</v>
      </c>
      <c r="Y100">
        <v>0.34854414568930625</v>
      </c>
      <c r="Z100">
        <v>0.16052467144581617</v>
      </c>
      <c r="AA100">
        <v>3.3016721182026116</v>
      </c>
      <c r="AB100">
        <v>0</v>
      </c>
      <c r="AC100">
        <v>0.329219658284373</v>
      </c>
      <c r="AD100">
        <v>3.6358115587248365</v>
      </c>
      <c r="AE100">
        <v>7.9083326424776945E-2</v>
      </c>
      <c r="AF100">
        <v>0.39786852642362536</v>
      </c>
      <c r="AG100">
        <v>7.1023474920007121</v>
      </c>
      <c r="AH100">
        <v>6.9593535866478096E-2</v>
      </c>
      <c r="AI100">
        <v>0.30314168323364221</v>
      </c>
      <c r="AJ100">
        <v>0.54970239385408148</v>
      </c>
      <c r="AK100">
        <v>1.8723950622270051</v>
      </c>
      <c r="AL100">
        <v>25.224038538604802</v>
      </c>
    </row>
    <row r="101" spans="1:38" x14ac:dyDescent="0.35">
      <c r="A101" t="s">
        <v>152</v>
      </c>
      <c r="B101" t="s">
        <v>73</v>
      </c>
      <c r="C101">
        <v>1</v>
      </c>
      <c r="D101" t="s">
        <v>134</v>
      </c>
      <c r="E101">
        <v>0</v>
      </c>
      <c r="F101" t="s">
        <v>6</v>
      </c>
      <c r="G101" t="s">
        <v>6</v>
      </c>
      <c r="H101">
        <v>27</v>
      </c>
      <c r="I101">
        <v>31</v>
      </c>
      <c r="J101">
        <v>0.1724</v>
      </c>
      <c r="K101">
        <v>1.7401392111369569</v>
      </c>
      <c r="L101">
        <v>2.6563916613266656E-2</v>
      </c>
      <c r="M101">
        <v>1.5252521826126577</v>
      </c>
      <c r="N101">
        <v>0.23887944502667705</v>
      </c>
      <c r="O101">
        <v>19.117635660682488</v>
      </c>
      <c r="P101">
        <v>0.53247793171381741</v>
      </c>
      <c r="Q101">
        <v>3.3040606634760219</v>
      </c>
      <c r="R101">
        <v>0.12072857080339314</v>
      </c>
      <c r="S101">
        <v>0.35770799961732241</v>
      </c>
      <c r="T101">
        <v>6.2294537628831845</v>
      </c>
      <c r="U101">
        <v>14.152610618882814</v>
      </c>
      <c r="V101">
        <v>4.2812574283541487</v>
      </c>
      <c r="W101">
        <v>3.1381891462983824</v>
      </c>
      <c r="X101">
        <v>0.40491690396678021</v>
      </c>
      <c r="Y101">
        <v>1.8928220095489053E-2</v>
      </c>
      <c r="Z101">
        <v>0.13263938863715505</v>
      </c>
      <c r="AA101">
        <v>3.3649680772843094</v>
      </c>
      <c r="AB101">
        <v>0</v>
      </c>
      <c r="AC101">
        <v>0.24728682164229149</v>
      </c>
      <c r="AD101">
        <v>4.1286456421100519</v>
      </c>
      <c r="AE101">
        <v>0.14618077941291599</v>
      </c>
      <c r="AF101">
        <v>0.44151605534400046</v>
      </c>
      <c r="AG101">
        <v>7.0837341726172181</v>
      </c>
      <c r="AH101">
        <v>5.5738107330561816E-2</v>
      </c>
      <c r="AI101">
        <v>0.44614308178815393</v>
      </c>
      <c r="AJ101">
        <v>0.56526720953852472</v>
      </c>
      <c r="AK101">
        <v>2.2356553153542307</v>
      </c>
      <c r="AL101">
        <v>27.703562897914075</v>
      </c>
    </row>
    <row r="102" spans="1:38" x14ac:dyDescent="0.35">
      <c r="A102" t="s">
        <v>153</v>
      </c>
      <c r="B102" t="s">
        <v>73</v>
      </c>
      <c r="C102">
        <v>1</v>
      </c>
      <c r="D102" t="s">
        <v>134</v>
      </c>
      <c r="E102">
        <v>0</v>
      </c>
      <c r="F102" t="s">
        <v>6</v>
      </c>
      <c r="G102" t="s">
        <v>6</v>
      </c>
      <c r="H102">
        <v>24</v>
      </c>
      <c r="I102">
        <v>28</v>
      </c>
      <c r="J102">
        <v>8.7499999999999994E-2</v>
      </c>
      <c r="K102">
        <v>2.628571428571393</v>
      </c>
      <c r="L102">
        <v>5.7021983110093093E-2</v>
      </c>
      <c r="M102">
        <v>1.4607727639155601</v>
      </c>
      <c r="N102">
        <v>0.25295364714813084</v>
      </c>
      <c r="O102">
        <v>20.155298315712365</v>
      </c>
      <c r="P102">
        <v>0.55916269833121268</v>
      </c>
      <c r="Q102">
        <v>3.0686689841878203</v>
      </c>
      <c r="R102">
        <v>9.8764853519900872E-2</v>
      </c>
      <c r="S102">
        <v>0.51284180732205098</v>
      </c>
      <c r="T102">
        <v>6.7182572355743932</v>
      </c>
      <c r="U102">
        <v>14.251050237172768</v>
      </c>
      <c r="V102">
        <v>4.2779379316786121</v>
      </c>
      <c r="W102">
        <v>2.7498254572721392</v>
      </c>
      <c r="X102">
        <v>0.34457367524719168</v>
      </c>
      <c r="Y102">
        <v>1.7085812093989444E-2</v>
      </c>
      <c r="Z102">
        <v>0.34300875230764044</v>
      </c>
      <c r="AA102">
        <v>2.5075687622171636</v>
      </c>
      <c r="AB102">
        <v>0</v>
      </c>
      <c r="AC102">
        <v>0.41866573842172311</v>
      </c>
      <c r="AD102">
        <v>4.048354628429335</v>
      </c>
      <c r="AE102">
        <v>0.13254234896754832</v>
      </c>
      <c r="AF102">
        <v>0.54133996485299007</v>
      </c>
      <c r="AG102">
        <v>7.1201857505569155</v>
      </c>
      <c r="AH102">
        <v>0.13547595847804045</v>
      </c>
      <c r="AI102">
        <v>0.36690818920034263</v>
      </c>
      <c r="AJ102">
        <v>0.6515933399529299</v>
      </c>
      <c r="AK102">
        <v>2.2485673917089888</v>
      </c>
      <c r="AL102">
        <v>26.961573772620181</v>
      </c>
    </row>
    <row r="103" spans="1:38" x14ac:dyDescent="0.35">
      <c r="A103" t="s">
        <v>154</v>
      </c>
      <c r="B103" t="s">
        <v>73</v>
      </c>
      <c r="C103">
        <v>1</v>
      </c>
      <c r="D103" t="s">
        <v>134</v>
      </c>
      <c r="E103">
        <v>0</v>
      </c>
      <c r="F103" t="s">
        <v>6</v>
      </c>
      <c r="G103" t="s">
        <v>6</v>
      </c>
      <c r="H103">
        <v>25</v>
      </c>
      <c r="I103">
        <v>29</v>
      </c>
      <c r="J103">
        <v>0.13350000000000001</v>
      </c>
      <c r="K103">
        <v>2.3970037453180879</v>
      </c>
      <c r="L103">
        <v>4.0563251299499441E-2</v>
      </c>
      <c r="M103">
        <v>1.2490515637911279</v>
      </c>
      <c r="N103">
        <v>0.25069405757493879</v>
      </c>
      <c r="O103">
        <v>19.885497039963493</v>
      </c>
      <c r="P103">
        <v>0.65405306877526559</v>
      </c>
      <c r="Q103">
        <v>2.9697618127828451</v>
      </c>
      <c r="R103">
        <v>8.8537542500814123E-2</v>
      </c>
      <c r="S103">
        <v>0.42645755007880437</v>
      </c>
      <c r="T103">
        <v>6.9236495864960617</v>
      </c>
      <c r="U103">
        <v>13.586878312542417</v>
      </c>
      <c r="V103">
        <v>4.272212058304957</v>
      </c>
      <c r="W103">
        <v>2.4693176552789193</v>
      </c>
      <c r="X103">
        <v>0.42382651123598691</v>
      </c>
      <c r="Y103">
        <v>0.28696162839844663</v>
      </c>
      <c r="Z103">
        <v>0.29663831624763759</v>
      </c>
      <c r="AA103">
        <v>2.1376638958617544</v>
      </c>
      <c r="AB103">
        <v>0.42852086796022915</v>
      </c>
      <c r="AC103">
        <v>0.16032208074235221</v>
      </c>
      <c r="AD103">
        <v>5.2160474086346786</v>
      </c>
      <c r="AE103">
        <v>0.13348548454561443</v>
      </c>
      <c r="AF103">
        <v>0.43341792874315055</v>
      </c>
      <c r="AG103">
        <v>6.34837471997949</v>
      </c>
      <c r="AH103">
        <v>6.4571714485663623E-2</v>
      </c>
      <c r="AI103">
        <v>0.28193254818247426</v>
      </c>
      <c r="AJ103">
        <v>0.57196727482845899</v>
      </c>
      <c r="AK103">
        <v>2.3375413175011337</v>
      </c>
      <c r="AL103">
        <v>28.062054803263777</v>
      </c>
    </row>
    <row r="104" spans="1:38" x14ac:dyDescent="0.35">
      <c r="A104" t="s">
        <v>155</v>
      </c>
      <c r="B104" t="s">
        <v>73</v>
      </c>
      <c r="C104">
        <v>1</v>
      </c>
      <c r="D104" t="s">
        <v>134</v>
      </c>
      <c r="E104">
        <v>0</v>
      </c>
      <c r="F104" t="s">
        <v>6</v>
      </c>
      <c r="G104" t="s">
        <v>6</v>
      </c>
      <c r="H104">
        <v>27</v>
      </c>
      <c r="I104">
        <v>31</v>
      </c>
      <c r="J104">
        <v>0.17530000000000001</v>
      </c>
      <c r="K104">
        <v>2.5099828864805493</v>
      </c>
      <c r="L104">
        <v>2.7312070658552279E-2</v>
      </c>
      <c r="M104">
        <v>1.1021143188937772</v>
      </c>
      <c r="N104">
        <v>0.23626815901199205</v>
      </c>
      <c r="O104">
        <v>20.009757860207898</v>
      </c>
      <c r="P104">
        <v>0.6034807605436685</v>
      </c>
      <c r="Q104">
        <v>2.6026364095361654</v>
      </c>
      <c r="R104">
        <v>7.7263138860058367E-2</v>
      </c>
      <c r="S104">
        <v>0.38655114015586789</v>
      </c>
      <c r="T104">
        <v>6.592982257956467</v>
      </c>
      <c r="U104">
        <v>12.698772923320373</v>
      </c>
      <c r="V104">
        <v>4.0813881924191584</v>
      </c>
      <c r="W104">
        <v>2.2867956338091204</v>
      </c>
      <c r="X104">
        <v>0.33930629364658804</v>
      </c>
      <c r="Y104">
        <v>0.25746847695385855</v>
      </c>
      <c r="Z104">
        <v>0.2541729377992426</v>
      </c>
      <c r="AA104">
        <v>1.9979309791317763</v>
      </c>
      <c r="AB104">
        <v>0</v>
      </c>
      <c r="AC104">
        <v>0.26597966892707214</v>
      </c>
      <c r="AD104">
        <v>4.9972743276688085</v>
      </c>
      <c r="AE104">
        <v>0.13375854761140582</v>
      </c>
      <c r="AF104">
        <v>0.42310990752751559</v>
      </c>
      <c r="AG104">
        <v>7.0174465062711322</v>
      </c>
      <c r="AH104">
        <v>7.6572614820943376E-4</v>
      </c>
      <c r="AI104">
        <v>0.37279266830882996</v>
      </c>
      <c r="AJ104">
        <v>0.61427085755182387</v>
      </c>
      <c r="AK104">
        <v>2.4949392582549601</v>
      </c>
      <c r="AL104">
        <v>30.125460978825654</v>
      </c>
    </row>
    <row r="105" spans="1:38" x14ac:dyDescent="0.35">
      <c r="A105" t="s">
        <v>156</v>
      </c>
      <c r="B105" t="s">
        <v>73</v>
      </c>
      <c r="C105">
        <v>1</v>
      </c>
      <c r="D105" t="s">
        <v>134</v>
      </c>
      <c r="E105">
        <v>0</v>
      </c>
      <c r="F105" t="s">
        <v>6</v>
      </c>
      <c r="G105" t="s">
        <v>6</v>
      </c>
      <c r="H105">
        <v>29</v>
      </c>
      <c r="I105">
        <v>33</v>
      </c>
      <c r="J105">
        <v>0.16889999999999999</v>
      </c>
      <c r="K105">
        <v>1.420959147424355</v>
      </c>
      <c r="L105">
        <v>2.7922932594924073E-2</v>
      </c>
      <c r="M105">
        <v>1.181543947929564</v>
      </c>
      <c r="N105">
        <v>0.22042187747879566</v>
      </c>
      <c r="O105">
        <v>19.29244080888105</v>
      </c>
      <c r="P105">
        <v>0.54050779839482332</v>
      </c>
      <c r="Q105">
        <v>2.549768041916336</v>
      </c>
      <c r="R105">
        <v>8.4265635821393847E-2</v>
      </c>
      <c r="S105">
        <v>0.36624146021429138</v>
      </c>
      <c r="T105">
        <v>6.6330084294327012</v>
      </c>
      <c r="U105">
        <v>12.602582123626963</v>
      </c>
      <c r="V105">
        <v>3.9302722102188081</v>
      </c>
      <c r="W105">
        <v>2.3028605699964846</v>
      </c>
      <c r="X105">
        <v>0.32544478740687321</v>
      </c>
      <c r="Y105">
        <v>0.3078237041974905</v>
      </c>
      <c r="Z105">
        <v>0.15338604507117043</v>
      </c>
      <c r="AA105">
        <v>2.400342415060408</v>
      </c>
      <c r="AB105">
        <v>0</v>
      </c>
      <c r="AC105">
        <v>0.20333771269077799</v>
      </c>
      <c r="AD105">
        <v>4.9663541241916267</v>
      </c>
      <c r="AE105">
        <v>0.10618127273071218</v>
      </c>
      <c r="AF105">
        <v>0.36573232027740199</v>
      </c>
      <c r="AG105">
        <v>7.2489701315377495</v>
      </c>
      <c r="AH105">
        <v>7.2446684347989482E-2</v>
      </c>
      <c r="AI105">
        <v>0.54046732117458729</v>
      </c>
      <c r="AJ105">
        <v>0.59237737194972839</v>
      </c>
      <c r="AK105">
        <v>2.3014089457648859</v>
      </c>
      <c r="AL105">
        <v>30.68389132709245</v>
      </c>
    </row>
    <row r="106" spans="1:38" x14ac:dyDescent="0.35">
      <c r="A106" t="s">
        <v>157</v>
      </c>
      <c r="B106" t="s">
        <v>73</v>
      </c>
      <c r="C106">
        <v>1</v>
      </c>
      <c r="D106" t="s">
        <v>134</v>
      </c>
      <c r="E106">
        <v>0</v>
      </c>
      <c r="F106" t="s">
        <v>6</v>
      </c>
      <c r="G106" t="s">
        <v>6</v>
      </c>
      <c r="H106">
        <v>25</v>
      </c>
      <c r="I106">
        <v>29</v>
      </c>
      <c r="J106">
        <v>0.12889999999999999</v>
      </c>
      <c r="K106">
        <v>1.7843289371605655</v>
      </c>
      <c r="L106">
        <v>3.5072402649487654E-2</v>
      </c>
      <c r="M106">
        <v>2.1934519095875373</v>
      </c>
      <c r="N106">
        <v>0.26312496772106125</v>
      </c>
      <c r="O106">
        <v>18.231174433333386</v>
      </c>
      <c r="P106">
        <v>0.42865111046445864</v>
      </c>
      <c r="Q106">
        <v>4.6716553566146519</v>
      </c>
      <c r="R106">
        <v>0.20946253568222237</v>
      </c>
      <c r="S106">
        <v>0.35160054921151018</v>
      </c>
      <c r="T106">
        <v>5.6631298343590881</v>
      </c>
      <c r="U106">
        <v>16.573045469707452</v>
      </c>
      <c r="V106">
        <v>4.6222529356614626</v>
      </c>
      <c r="W106">
        <v>4.5330272652799453</v>
      </c>
      <c r="X106">
        <v>0.59313172635401823</v>
      </c>
      <c r="Y106">
        <v>0.68210240056882121</v>
      </c>
      <c r="Z106">
        <v>0.13333064175442949</v>
      </c>
      <c r="AA106">
        <v>4.7223434009793186</v>
      </c>
      <c r="AB106">
        <v>0</v>
      </c>
      <c r="AC106">
        <v>0.39369577617197643</v>
      </c>
      <c r="AD106">
        <v>2.7255999617071534</v>
      </c>
      <c r="AE106">
        <v>0.1435998780309487</v>
      </c>
      <c r="AF106">
        <v>0.62539619124784029</v>
      </c>
      <c r="AG106">
        <v>7.5067648907927635</v>
      </c>
      <c r="AH106">
        <v>7.6658914385875673E-2</v>
      </c>
      <c r="AI106">
        <v>0.31021752356475352</v>
      </c>
      <c r="AJ106">
        <v>0.44292110462875001</v>
      </c>
      <c r="AK106">
        <v>1.8277695269891776</v>
      </c>
      <c r="AL106">
        <v>22.040819292551923</v>
      </c>
    </row>
    <row r="107" spans="1:38" x14ac:dyDescent="0.35">
      <c r="A107" t="s">
        <v>158</v>
      </c>
      <c r="B107" t="s">
        <v>73</v>
      </c>
      <c r="C107">
        <v>1</v>
      </c>
      <c r="D107" t="s">
        <v>134</v>
      </c>
      <c r="E107">
        <v>0</v>
      </c>
      <c r="F107" t="s">
        <v>6</v>
      </c>
      <c r="G107" t="s">
        <v>6</v>
      </c>
      <c r="H107">
        <v>28</v>
      </c>
      <c r="I107">
        <v>32</v>
      </c>
      <c r="J107">
        <v>0.1993</v>
      </c>
      <c r="K107">
        <v>3.5624686402405619</v>
      </c>
      <c r="L107">
        <v>3.242948706192466E-2</v>
      </c>
      <c r="M107">
        <v>2.005108056132233</v>
      </c>
      <c r="N107">
        <v>0.28171655845590926</v>
      </c>
      <c r="O107">
        <v>19.292245854101314</v>
      </c>
      <c r="P107">
        <v>0.59331270200724817</v>
      </c>
      <c r="Q107">
        <v>4.1049011287863202</v>
      </c>
      <c r="R107">
        <v>0.17631775857683296</v>
      </c>
      <c r="S107">
        <v>0.34464578752621033</v>
      </c>
      <c r="T107">
        <v>5.9700471938858772</v>
      </c>
      <c r="U107">
        <v>14.864479223922338</v>
      </c>
      <c r="V107">
        <v>4.6223970952479467</v>
      </c>
      <c r="W107">
        <v>3.5554067767750173</v>
      </c>
      <c r="X107">
        <v>0.474279833815059</v>
      </c>
      <c r="Y107">
        <v>0.55448955448901649</v>
      </c>
      <c r="Z107">
        <v>0.12982696559554641</v>
      </c>
      <c r="AA107">
        <v>3.7299040836394353</v>
      </c>
      <c r="AB107">
        <v>0</v>
      </c>
      <c r="AC107">
        <v>0.23248432416785855</v>
      </c>
      <c r="AD107">
        <v>4.0313146949823642</v>
      </c>
      <c r="AE107">
        <v>0.13457736202885207</v>
      </c>
      <c r="AF107">
        <v>0.43636994807917717</v>
      </c>
      <c r="AG107">
        <v>7.1674655913305898</v>
      </c>
      <c r="AH107">
        <v>6.7126810952368526E-2</v>
      </c>
      <c r="AI107">
        <v>0.20890676975788672</v>
      </c>
      <c r="AJ107">
        <v>0.46077023847379256</v>
      </c>
      <c r="AK107">
        <v>2.2129870268942078</v>
      </c>
      <c r="AL107">
        <v>24.316489173314693</v>
      </c>
    </row>
    <row r="108" spans="1:38" x14ac:dyDescent="0.35">
      <c r="A108" t="s">
        <v>159</v>
      </c>
      <c r="B108" t="s">
        <v>73</v>
      </c>
      <c r="C108">
        <v>1</v>
      </c>
      <c r="D108" t="s">
        <v>134</v>
      </c>
      <c r="E108">
        <v>0</v>
      </c>
      <c r="F108" t="s">
        <v>6</v>
      </c>
      <c r="G108" t="s">
        <v>6</v>
      </c>
      <c r="H108">
        <v>26</v>
      </c>
      <c r="I108">
        <v>30</v>
      </c>
      <c r="J108">
        <v>0.19309999999999999</v>
      </c>
      <c r="K108">
        <v>2.9000517866387279</v>
      </c>
      <c r="L108">
        <v>2.2859973151697899E-2</v>
      </c>
      <c r="M108">
        <v>2.0294698928121502</v>
      </c>
      <c r="N108">
        <v>0.27136877806210746</v>
      </c>
      <c r="O108">
        <v>18.746781324689458</v>
      </c>
      <c r="P108">
        <v>0.52639600270690845</v>
      </c>
      <c r="Q108">
        <v>4.2543984955514071</v>
      </c>
      <c r="R108">
        <v>0.1790647869004115</v>
      </c>
      <c r="S108">
        <v>0.33785742573742705</v>
      </c>
      <c r="T108">
        <v>5.9054970025535578</v>
      </c>
      <c r="U108">
        <v>15.893721727815322</v>
      </c>
      <c r="V108">
        <v>4.5243922520401894</v>
      </c>
      <c r="W108">
        <v>3.9664205681410949</v>
      </c>
      <c r="X108">
        <v>0.48049531738574613</v>
      </c>
      <c r="Y108">
        <v>0.56252560462765711</v>
      </c>
      <c r="Z108">
        <v>0.12576146569610325</v>
      </c>
      <c r="AA108">
        <v>4.1929769269112773</v>
      </c>
      <c r="AB108">
        <v>0.51756948823680049</v>
      </c>
      <c r="AC108">
        <v>0.31632872637560216</v>
      </c>
      <c r="AD108">
        <v>3.1775065706855625</v>
      </c>
      <c r="AE108">
        <v>0.10583674528523351</v>
      </c>
      <c r="AF108">
        <v>0.49828725352159514</v>
      </c>
      <c r="AG108">
        <v>7.3034098430654266</v>
      </c>
      <c r="AH108">
        <v>7.6521259795787319E-2</v>
      </c>
      <c r="AI108">
        <v>0.21832123769389619</v>
      </c>
      <c r="AJ108">
        <v>0.60418978014545033</v>
      </c>
      <c r="AK108">
        <v>1.9708379638525986</v>
      </c>
      <c r="AL108">
        <v>23.191203586559521</v>
      </c>
    </row>
    <row r="109" spans="1:38" x14ac:dyDescent="0.35">
      <c r="A109" t="s">
        <v>160</v>
      </c>
      <c r="B109" t="s">
        <v>73</v>
      </c>
      <c r="C109">
        <v>1</v>
      </c>
      <c r="D109" t="s">
        <v>134</v>
      </c>
      <c r="E109">
        <v>0</v>
      </c>
      <c r="F109" t="s">
        <v>6</v>
      </c>
      <c r="G109" t="s">
        <v>6</v>
      </c>
      <c r="H109">
        <v>25</v>
      </c>
      <c r="I109">
        <v>28</v>
      </c>
      <c r="J109">
        <v>0.1285</v>
      </c>
      <c r="K109">
        <v>2.023346303501377</v>
      </c>
      <c r="L109">
        <v>3.4607736909164057E-2</v>
      </c>
      <c r="M109">
        <v>2.150045767006052</v>
      </c>
      <c r="N109">
        <v>0.26002510323426015</v>
      </c>
      <c r="O109">
        <v>18.703598907732243</v>
      </c>
      <c r="P109">
        <v>0.43700136189240157</v>
      </c>
      <c r="Q109">
        <v>4.486413210583188</v>
      </c>
      <c r="R109">
        <v>0.18937631094995544</v>
      </c>
      <c r="S109">
        <v>0.3038550873152846</v>
      </c>
      <c r="T109">
        <v>5.6667208228967212</v>
      </c>
      <c r="U109">
        <v>16.525002811210101</v>
      </c>
      <c r="V109">
        <v>4.6042033350824889</v>
      </c>
      <c r="W109">
        <v>4.2451541421535834</v>
      </c>
      <c r="X109">
        <v>0.48398386867810461</v>
      </c>
      <c r="Y109">
        <v>0.63182570920059644</v>
      </c>
      <c r="Z109">
        <v>0.20080850052367666</v>
      </c>
      <c r="AA109">
        <v>4.5915737962520247</v>
      </c>
      <c r="AB109">
        <v>0</v>
      </c>
      <c r="AC109">
        <v>0.29380241004169833</v>
      </c>
      <c r="AD109">
        <v>3.0872169294890428</v>
      </c>
      <c r="AE109">
        <v>0.14280415721217785</v>
      </c>
      <c r="AF109">
        <v>0.55902337374850597</v>
      </c>
      <c r="AG109">
        <v>7.3335055389947108</v>
      </c>
      <c r="AH109">
        <v>8.1922156428734128E-2</v>
      </c>
      <c r="AI109">
        <v>0.23278686624423772</v>
      </c>
      <c r="AJ109">
        <v>0.5058453786863043</v>
      </c>
      <c r="AK109">
        <v>1.9120435922775165</v>
      </c>
      <c r="AL109">
        <v>22.336853125257246</v>
      </c>
    </row>
    <row r="110" spans="1:38" x14ac:dyDescent="0.35">
      <c r="A110" t="s">
        <v>161</v>
      </c>
      <c r="B110" t="s">
        <v>73</v>
      </c>
      <c r="C110">
        <v>1</v>
      </c>
      <c r="D110" t="s">
        <v>134</v>
      </c>
      <c r="E110">
        <v>0</v>
      </c>
      <c r="F110" t="s">
        <v>6</v>
      </c>
      <c r="G110" t="s">
        <v>6</v>
      </c>
      <c r="H110">
        <v>25</v>
      </c>
      <c r="I110">
        <v>30</v>
      </c>
      <c r="J110">
        <v>0.1522</v>
      </c>
      <c r="K110">
        <v>2.8252299605786049</v>
      </c>
      <c r="L110">
        <v>3.3516610843951369E-2</v>
      </c>
      <c r="M110">
        <v>2.0678011375873355</v>
      </c>
      <c r="N110">
        <v>0.25799569985279619</v>
      </c>
      <c r="O110">
        <v>20.378459270833716</v>
      </c>
      <c r="P110">
        <v>0.55275322359512846</v>
      </c>
      <c r="Q110">
        <v>4.1276938046281746</v>
      </c>
      <c r="R110">
        <v>0.17629462029037513</v>
      </c>
      <c r="S110">
        <v>0.32760425695177675</v>
      </c>
      <c r="T110">
        <v>6.223129130891035</v>
      </c>
      <c r="U110">
        <v>15.237260808857611</v>
      </c>
      <c r="V110">
        <v>4.3854697896677681</v>
      </c>
      <c r="W110">
        <v>3.5224356856859895</v>
      </c>
      <c r="X110">
        <v>0.42883533167744137</v>
      </c>
      <c r="Y110">
        <v>0.53777978534822435</v>
      </c>
      <c r="Z110">
        <v>0.20377033650005519</v>
      </c>
      <c r="AA110">
        <v>3.4628961281300024</v>
      </c>
      <c r="AB110">
        <v>0.43032850849705379</v>
      </c>
      <c r="AC110">
        <v>0.20762923574803455</v>
      </c>
      <c r="AD110">
        <v>3.4442708781602067</v>
      </c>
      <c r="AE110">
        <v>0.10604838514158119</v>
      </c>
      <c r="AF110">
        <v>0.47899597098592656</v>
      </c>
      <c r="AG110">
        <v>6.8216404897933138</v>
      </c>
      <c r="AH110">
        <v>3.7769481481122316E-2</v>
      </c>
      <c r="AI110">
        <v>0.26403280630063297</v>
      </c>
      <c r="AJ110">
        <v>0.54562322536092844</v>
      </c>
      <c r="AK110">
        <v>1.9064376541286789</v>
      </c>
      <c r="AL110">
        <v>23.833527743061158</v>
      </c>
    </row>
    <row r="111" spans="1:38" x14ac:dyDescent="0.35">
      <c r="A111" t="s">
        <v>162</v>
      </c>
      <c r="B111" t="s">
        <v>73</v>
      </c>
      <c r="C111">
        <v>1</v>
      </c>
      <c r="D111" t="s">
        <v>134</v>
      </c>
      <c r="E111">
        <v>0</v>
      </c>
      <c r="F111" t="s">
        <v>6</v>
      </c>
      <c r="G111" t="s">
        <v>6</v>
      </c>
      <c r="H111">
        <v>27</v>
      </c>
      <c r="I111">
        <v>30</v>
      </c>
      <c r="J111">
        <v>0.151</v>
      </c>
      <c r="K111">
        <v>2.119205298014188</v>
      </c>
      <c r="L111">
        <v>3.1119871311272005E-2</v>
      </c>
      <c r="M111">
        <v>1.2309218499310275</v>
      </c>
      <c r="N111">
        <v>0.22560721788813545</v>
      </c>
      <c r="O111">
        <v>20.048895510424536</v>
      </c>
      <c r="P111">
        <v>0.66756299755504478</v>
      </c>
      <c r="Q111">
        <v>2.8726131441961953</v>
      </c>
      <c r="R111">
        <v>0.30903699805288193</v>
      </c>
      <c r="S111">
        <v>0.73870837427113001</v>
      </c>
      <c r="T111">
        <v>6.5613946662088853</v>
      </c>
      <c r="U111">
        <v>13.296639055532745</v>
      </c>
      <c r="V111">
        <v>4.0200458321727783</v>
      </c>
      <c r="W111">
        <v>2.3266929256572624</v>
      </c>
      <c r="X111">
        <v>0.31871241626425384</v>
      </c>
      <c r="Y111">
        <v>0.29154933338030126</v>
      </c>
      <c r="Z111">
        <v>0.1564998895689387</v>
      </c>
      <c r="AA111">
        <v>2.2984059470655365</v>
      </c>
      <c r="AB111">
        <v>0.44083406310738138</v>
      </c>
      <c r="AC111">
        <v>0.19251303826616459</v>
      </c>
      <c r="AD111">
        <v>4.6901971130567768</v>
      </c>
      <c r="AE111">
        <v>9.6634328960198662E-2</v>
      </c>
      <c r="AF111">
        <v>0.3744953426344792</v>
      </c>
      <c r="AG111">
        <v>6.6097358013196894</v>
      </c>
      <c r="AH111">
        <v>4.4997232127616242E-2</v>
      </c>
      <c r="AI111">
        <v>0.23807684893768999</v>
      </c>
      <c r="AJ111">
        <v>0.51977261873752489</v>
      </c>
      <c r="AK111">
        <v>2.1405571647324448</v>
      </c>
      <c r="AL111">
        <v>29.257780418639108</v>
      </c>
    </row>
    <row r="112" spans="1:38" x14ac:dyDescent="0.35">
      <c r="A112" t="s">
        <v>163</v>
      </c>
      <c r="B112" t="s">
        <v>73</v>
      </c>
      <c r="C112">
        <v>1</v>
      </c>
      <c r="D112" t="s">
        <v>134</v>
      </c>
      <c r="E112">
        <v>0</v>
      </c>
      <c r="F112" t="s">
        <v>6</v>
      </c>
      <c r="G112" t="s">
        <v>6</v>
      </c>
      <c r="H112">
        <v>30</v>
      </c>
      <c r="I112">
        <v>35</v>
      </c>
      <c r="J112">
        <v>0.24729999999999999</v>
      </c>
      <c r="K112">
        <v>2.426202992317116</v>
      </c>
      <c r="L112">
        <v>2.677304445200716E-2</v>
      </c>
      <c r="M112">
        <v>2.3373709797175262</v>
      </c>
      <c r="N112">
        <v>0.28783548267242004</v>
      </c>
      <c r="O112">
        <v>18.984444569884865</v>
      </c>
      <c r="P112">
        <v>0.57683832618296016</v>
      </c>
      <c r="Q112">
        <v>4.540692842903101</v>
      </c>
      <c r="R112">
        <v>0.21393867286877807</v>
      </c>
      <c r="S112">
        <v>0.30507642883777403</v>
      </c>
      <c r="T112">
        <v>5.8996646469730427</v>
      </c>
      <c r="U112">
        <v>15.269555926178525</v>
      </c>
      <c r="V112">
        <v>4.774924126081582</v>
      </c>
      <c r="W112">
        <v>4.1607513396219593</v>
      </c>
      <c r="X112">
        <v>0.49888113085542235</v>
      </c>
      <c r="Y112">
        <v>0.60941409308717265</v>
      </c>
      <c r="Z112">
        <v>0.13952597833432229</v>
      </c>
      <c r="AA112">
        <v>4.3869854287033752</v>
      </c>
      <c r="AB112">
        <v>0</v>
      </c>
      <c r="AC112">
        <v>0.25021512810101959</v>
      </c>
      <c r="AD112">
        <v>3.353730591743374</v>
      </c>
      <c r="AE112">
        <v>0.11460756891267433</v>
      </c>
      <c r="AF112">
        <v>0.47971959291418209</v>
      </c>
      <c r="AG112">
        <v>7.0266074856649636</v>
      </c>
      <c r="AH112">
        <v>5.6861334838108298E-2</v>
      </c>
      <c r="AI112">
        <v>0.19359530774002703</v>
      </c>
      <c r="AJ112">
        <v>0.43633844378457298</v>
      </c>
      <c r="AK112">
        <v>2.150355654219001</v>
      </c>
      <c r="AL112">
        <v>22.925295874727265</v>
      </c>
    </row>
    <row r="113" spans="1:38" x14ac:dyDescent="0.35">
      <c r="A113" t="s">
        <v>164</v>
      </c>
      <c r="B113" t="s">
        <v>73</v>
      </c>
      <c r="C113">
        <v>1</v>
      </c>
      <c r="D113" t="s">
        <v>45</v>
      </c>
      <c r="E113">
        <v>8</v>
      </c>
      <c r="F113">
        <v>22</v>
      </c>
      <c r="G113" t="s">
        <v>12</v>
      </c>
      <c r="H113">
        <v>28</v>
      </c>
      <c r="I113">
        <v>34</v>
      </c>
      <c r="J113">
        <v>0.34010000000000001</v>
      </c>
      <c r="K113">
        <v>1.0879153190233701</v>
      </c>
      <c r="L113">
        <v>4.730920069561613E-2</v>
      </c>
      <c r="M113">
        <v>0.7580072388208775</v>
      </c>
      <c r="N113">
        <v>0.41402789472544632</v>
      </c>
      <c r="O113">
        <v>18.546340522449739</v>
      </c>
      <c r="P113">
        <v>0.6874039475330872</v>
      </c>
      <c r="Q113">
        <v>2.415484884510414</v>
      </c>
      <c r="R113">
        <v>2.0656563950556785E-2</v>
      </c>
      <c r="S113">
        <v>0.9512763038005535</v>
      </c>
      <c r="T113">
        <v>9.356562689847717</v>
      </c>
      <c r="U113">
        <v>15.061449676238947</v>
      </c>
      <c r="V113">
        <v>4.7210207440251946</v>
      </c>
      <c r="W113">
        <v>1.4170692424637175</v>
      </c>
      <c r="X113">
        <v>0.38523370102246524</v>
      </c>
      <c r="Y113">
        <v>7.7434341945739407E-2</v>
      </c>
      <c r="Z113">
        <v>0.21203850728692353</v>
      </c>
      <c r="AA113">
        <v>0.73552160748189488</v>
      </c>
      <c r="AB113">
        <v>0</v>
      </c>
      <c r="AC113">
        <v>0.52191563531311891</v>
      </c>
      <c r="AD113">
        <v>8.0116498691697196</v>
      </c>
      <c r="AE113">
        <v>0.13652640622510184</v>
      </c>
      <c r="AF113">
        <v>0.14971260599479561</v>
      </c>
      <c r="AG113">
        <v>5.7493472282823816</v>
      </c>
      <c r="AH113">
        <v>0.10052058397104678</v>
      </c>
      <c r="AI113">
        <v>0.83390421809100035</v>
      </c>
      <c r="AJ113">
        <v>1.266911553848149</v>
      </c>
      <c r="AK113">
        <v>1.8944536806852716</v>
      </c>
      <c r="AL113">
        <v>25.528221151620535</v>
      </c>
    </row>
    <row r="114" spans="1:38" x14ac:dyDescent="0.35">
      <c r="A114" t="s">
        <v>165</v>
      </c>
      <c r="B114" t="s">
        <v>73</v>
      </c>
      <c r="C114">
        <v>1</v>
      </c>
      <c r="D114" t="s">
        <v>45</v>
      </c>
      <c r="E114">
        <v>8</v>
      </c>
      <c r="F114">
        <v>22</v>
      </c>
      <c r="G114" t="s">
        <v>12</v>
      </c>
      <c r="H114">
        <v>30</v>
      </c>
      <c r="I114">
        <v>35</v>
      </c>
      <c r="J114">
        <v>0.36830000000000002</v>
      </c>
      <c r="K114">
        <v>1.2489818083084272</v>
      </c>
      <c r="L114">
        <v>7.4422028473292948E-2</v>
      </c>
      <c r="M114">
        <v>1.0678246118945136</v>
      </c>
      <c r="N114">
        <v>0.58264145681252932</v>
      </c>
      <c r="O114">
        <v>18.851335207607324</v>
      </c>
      <c r="P114">
        <v>0.77128610845675505</v>
      </c>
      <c r="Q114">
        <v>3.1524127636705619</v>
      </c>
      <c r="R114">
        <v>2.7155343521241333E-2</v>
      </c>
      <c r="S114">
        <v>1.2305549056029159</v>
      </c>
      <c r="T114">
        <v>9.4121096449517978</v>
      </c>
      <c r="U114">
        <v>14.806936978157706</v>
      </c>
      <c r="V114">
        <v>5.7752444953227142</v>
      </c>
      <c r="W114">
        <v>1.9098932820348093</v>
      </c>
      <c r="X114">
        <v>0.56613386701913404</v>
      </c>
      <c r="Y114">
        <v>0.128841716305375</v>
      </c>
      <c r="Z114">
        <v>0.28034376910217096</v>
      </c>
      <c r="AA114">
        <v>0.86006238133742086</v>
      </c>
      <c r="AB114">
        <v>7.4724911518435091E-2</v>
      </c>
      <c r="AC114">
        <v>0.3894600531552323</v>
      </c>
      <c r="AD114">
        <v>7.5574324522628666</v>
      </c>
      <c r="AE114">
        <v>0.16872881588497354</v>
      </c>
      <c r="AF114">
        <v>0.15654647018951204</v>
      </c>
      <c r="AG114">
        <v>6.1281387261490998</v>
      </c>
      <c r="AH114">
        <v>0.14542630240121063</v>
      </c>
      <c r="AI114">
        <v>0.90482552687729056</v>
      </c>
      <c r="AJ114">
        <v>1.3687301044134565</v>
      </c>
      <c r="AK114">
        <v>2.0947681297749114</v>
      </c>
      <c r="AL114">
        <v>21.514019947102753</v>
      </c>
    </row>
    <row r="115" spans="1:38" x14ac:dyDescent="0.35">
      <c r="A115" t="s">
        <v>166</v>
      </c>
      <c r="B115" t="s">
        <v>73</v>
      </c>
      <c r="C115">
        <v>1</v>
      </c>
      <c r="D115" t="s">
        <v>45</v>
      </c>
      <c r="E115">
        <v>8</v>
      </c>
      <c r="F115">
        <v>22</v>
      </c>
      <c r="G115" t="s">
        <v>12</v>
      </c>
      <c r="H115">
        <v>30</v>
      </c>
      <c r="I115">
        <v>35</v>
      </c>
      <c r="J115">
        <v>0.30349999999999999</v>
      </c>
      <c r="K115">
        <v>1.5485996705106111</v>
      </c>
      <c r="L115">
        <v>6.7549865406999907E-2</v>
      </c>
      <c r="M115">
        <v>0.89630905774610103</v>
      </c>
      <c r="N115">
        <v>0.52746731065746288</v>
      </c>
      <c r="O115">
        <v>19.5890296370717</v>
      </c>
      <c r="P115">
        <v>0.74719550606808371</v>
      </c>
      <c r="Q115">
        <v>3.0706434286983537</v>
      </c>
      <c r="R115">
        <v>2.7111202044202712E-2</v>
      </c>
      <c r="S115">
        <v>1.0972294492642138</v>
      </c>
      <c r="T115">
        <v>8.9900387829734232</v>
      </c>
      <c r="U115">
        <v>14.226591214278479</v>
      </c>
      <c r="V115">
        <v>5.4500052602418156</v>
      </c>
      <c r="W115">
        <v>1.8450009872932782</v>
      </c>
      <c r="X115">
        <v>0.53202012534810306</v>
      </c>
      <c r="Y115">
        <v>0.14710270670931871</v>
      </c>
      <c r="Z115">
        <v>0.22490971100958856</v>
      </c>
      <c r="AA115">
        <v>0.73637342341327428</v>
      </c>
      <c r="AB115">
        <v>0</v>
      </c>
      <c r="AC115">
        <v>0.46272442293905408</v>
      </c>
      <c r="AD115">
        <v>7.7280946854171386</v>
      </c>
      <c r="AE115">
        <v>0.16940107578598043</v>
      </c>
      <c r="AF115">
        <v>0.17181719444426213</v>
      </c>
      <c r="AG115">
        <v>6.4455753249773853</v>
      </c>
      <c r="AH115">
        <v>0.10467260272684552</v>
      </c>
      <c r="AI115">
        <v>0.85534315049986509</v>
      </c>
      <c r="AJ115">
        <v>1.4270357446293642</v>
      </c>
      <c r="AK115">
        <v>2.2691357041263895</v>
      </c>
      <c r="AL115">
        <v>22.191622426229326</v>
      </c>
    </row>
    <row r="116" spans="1:38" x14ac:dyDescent="0.35">
      <c r="A116" t="s">
        <v>167</v>
      </c>
      <c r="B116" t="s">
        <v>73</v>
      </c>
      <c r="C116">
        <v>1</v>
      </c>
      <c r="D116" t="s">
        <v>49</v>
      </c>
      <c r="E116">
        <v>8</v>
      </c>
      <c r="F116">
        <v>23</v>
      </c>
      <c r="G116" t="s">
        <v>13</v>
      </c>
      <c r="H116">
        <v>31</v>
      </c>
      <c r="I116">
        <v>37</v>
      </c>
      <c r="J116">
        <v>0.26340000000000002</v>
      </c>
      <c r="K116">
        <v>1.5945330296130864</v>
      </c>
      <c r="L116">
        <v>5.9936490004088384E-2</v>
      </c>
      <c r="M116">
        <v>1.2716511933206256</v>
      </c>
      <c r="N116">
        <v>0.78393267856473858</v>
      </c>
      <c r="O116">
        <v>19.631398559028892</v>
      </c>
      <c r="P116">
        <v>3.8007286517997687</v>
      </c>
      <c r="Q116">
        <v>0.41047797911664718</v>
      </c>
      <c r="R116">
        <v>0.95529574558482944</v>
      </c>
      <c r="S116">
        <v>0.65686683329514806</v>
      </c>
      <c r="T116">
        <v>8.7183896003014603</v>
      </c>
      <c r="U116">
        <v>16.953353253067352</v>
      </c>
      <c r="V116">
        <v>5.7915271893865281</v>
      </c>
      <c r="W116">
        <v>1.7107560464863147</v>
      </c>
      <c r="X116">
        <v>0.45432972878100947</v>
      </c>
      <c r="Y116">
        <v>0.17105632638241641</v>
      </c>
      <c r="Z116">
        <v>0.29706051572983572</v>
      </c>
      <c r="AA116">
        <v>0.85588835678571995</v>
      </c>
      <c r="AB116">
        <v>0</v>
      </c>
      <c r="AC116">
        <v>0.40837718861134104</v>
      </c>
      <c r="AD116">
        <v>6.1836268549959916</v>
      </c>
      <c r="AE116">
        <v>9.4874744104663483E-2</v>
      </c>
      <c r="AF116">
        <v>0.17850098021425603</v>
      </c>
      <c r="AG116">
        <v>5.2613820753004967</v>
      </c>
      <c r="AH116">
        <v>0.12287192151425057</v>
      </c>
      <c r="AI116">
        <v>0.35180899007352184</v>
      </c>
      <c r="AJ116">
        <v>1.009150573195555</v>
      </c>
      <c r="AK116">
        <v>1.8777513250137052</v>
      </c>
      <c r="AL116">
        <v>21.989006199340906</v>
      </c>
    </row>
    <row r="117" spans="1:38" x14ac:dyDescent="0.35">
      <c r="A117" t="s">
        <v>168</v>
      </c>
      <c r="B117" t="s">
        <v>73</v>
      </c>
      <c r="C117">
        <v>1</v>
      </c>
      <c r="D117" t="s">
        <v>49</v>
      </c>
      <c r="E117">
        <v>8</v>
      </c>
      <c r="F117">
        <v>23</v>
      </c>
      <c r="G117" t="s">
        <v>13</v>
      </c>
      <c r="H117">
        <v>30</v>
      </c>
      <c r="I117">
        <v>36</v>
      </c>
      <c r="J117">
        <v>0.3261</v>
      </c>
      <c r="K117">
        <v>1.1346212818154733</v>
      </c>
      <c r="L117">
        <v>4.277702506819895E-2</v>
      </c>
      <c r="M117">
        <v>0.91356346727176241</v>
      </c>
      <c r="N117">
        <v>0.68998785348258074</v>
      </c>
      <c r="O117">
        <v>18.140109100804068</v>
      </c>
      <c r="P117">
        <v>3.3546189177512211</v>
      </c>
      <c r="Q117">
        <v>3.4601212782290776</v>
      </c>
      <c r="R117">
        <v>0.89241800838318908</v>
      </c>
      <c r="S117">
        <v>0.59439425070784846</v>
      </c>
      <c r="T117">
        <v>8.2756725527636554</v>
      </c>
      <c r="U117">
        <v>17.016701405218299</v>
      </c>
      <c r="V117">
        <v>6.1817364467226543</v>
      </c>
      <c r="W117">
        <v>1.7029925439639058</v>
      </c>
      <c r="X117">
        <v>0.42156748832461516</v>
      </c>
      <c r="Y117">
        <v>0.2101012361962504</v>
      </c>
      <c r="Z117">
        <v>0.18818350402780509</v>
      </c>
      <c r="AA117">
        <v>0.90678004204915541</v>
      </c>
      <c r="AB117">
        <v>9.3911596569703715E-2</v>
      </c>
      <c r="AC117">
        <v>0.54646415511899438</v>
      </c>
      <c r="AD117">
        <v>6.0135616519713579</v>
      </c>
      <c r="AE117">
        <v>8.3658773208988513E-2</v>
      </c>
      <c r="AF117">
        <v>0.16043456708863366</v>
      </c>
      <c r="AG117">
        <v>4.8917101661879627</v>
      </c>
      <c r="AH117">
        <v>0.1020766994996111</v>
      </c>
      <c r="AI117">
        <v>0.49137324509956998</v>
      </c>
      <c r="AJ117">
        <v>1.3275860872477698</v>
      </c>
      <c r="AK117">
        <v>2.2923907613822272</v>
      </c>
      <c r="AL117">
        <v>21.005107175660907</v>
      </c>
    </row>
    <row r="118" spans="1:38" x14ac:dyDescent="0.35">
      <c r="A118" t="s">
        <v>169</v>
      </c>
      <c r="B118" t="s">
        <v>73</v>
      </c>
      <c r="C118">
        <v>1</v>
      </c>
      <c r="D118" t="s">
        <v>49</v>
      </c>
      <c r="E118">
        <v>8</v>
      </c>
      <c r="F118">
        <v>23</v>
      </c>
      <c r="G118" t="s">
        <v>13</v>
      </c>
      <c r="H118">
        <v>32</v>
      </c>
      <c r="I118">
        <v>38</v>
      </c>
      <c r="J118">
        <v>0.34360000000000002</v>
      </c>
      <c r="K118">
        <v>1.7462165308498914</v>
      </c>
      <c r="L118">
        <v>5.3580391367362576E-2</v>
      </c>
      <c r="M118">
        <v>1.1579667990359799</v>
      </c>
      <c r="N118">
        <v>0.78275970553292706</v>
      </c>
      <c r="O118">
        <v>17.836720633315714</v>
      </c>
      <c r="P118">
        <v>4.2079104490455128</v>
      </c>
      <c r="Q118">
        <v>4.1831043520800986</v>
      </c>
      <c r="R118">
        <v>0.90993270378399727</v>
      </c>
      <c r="S118">
        <v>0.75416866895892865</v>
      </c>
      <c r="T118">
        <v>7.9514990549194176</v>
      </c>
      <c r="U118">
        <v>17.804493106211638</v>
      </c>
      <c r="V118">
        <v>6.425175575460166</v>
      </c>
      <c r="W118">
        <v>1.7330646718973604</v>
      </c>
      <c r="X118">
        <v>0.40740365105799176</v>
      </c>
      <c r="Y118">
        <v>0.28787014952297962</v>
      </c>
      <c r="Z118">
        <v>0.21203161046011726</v>
      </c>
      <c r="AA118">
        <v>1.0460684431233456</v>
      </c>
      <c r="AB118">
        <v>0.3840945862653285</v>
      </c>
      <c r="AC118">
        <v>0.72216227979249259</v>
      </c>
      <c r="AD118">
        <v>5.7658553738538263</v>
      </c>
      <c r="AE118">
        <v>7.0012424624788419E-2</v>
      </c>
      <c r="AF118">
        <v>0.15779266826688973</v>
      </c>
      <c r="AG118">
        <v>5.2260481980475335</v>
      </c>
      <c r="AH118">
        <v>0.10629081994532949</v>
      </c>
      <c r="AI118">
        <v>0.53986066866389382</v>
      </c>
      <c r="AJ118">
        <v>1.1987506238892458</v>
      </c>
      <c r="AK118">
        <v>2.3356279278029475</v>
      </c>
      <c r="AL118">
        <v>17.739754463074199</v>
      </c>
    </row>
    <row r="119" spans="1:38" x14ac:dyDescent="0.35">
      <c r="A119" t="s">
        <v>170</v>
      </c>
      <c r="B119" t="s">
        <v>73</v>
      </c>
      <c r="C119">
        <v>1</v>
      </c>
      <c r="D119" t="s">
        <v>53</v>
      </c>
      <c r="E119">
        <v>8</v>
      </c>
      <c r="F119">
        <v>24</v>
      </c>
      <c r="G119" t="s">
        <v>10</v>
      </c>
      <c r="H119">
        <v>31</v>
      </c>
      <c r="I119">
        <v>36</v>
      </c>
      <c r="J119">
        <v>0.35649999999999998</v>
      </c>
      <c r="K119">
        <v>1.4866760168303177</v>
      </c>
      <c r="L119">
        <v>4.7075160992582125E-2</v>
      </c>
      <c r="M119">
        <v>1.3521826396770034</v>
      </c>
      <c r="N119">
        <v>0.65822392057710399</v>
      </c>
      <c r="O119">
        <v>17.036653040273265</v>
      </c>
      <c r="P119">
        <v>2.576830866600814</v>
      </c>
      <c r="Q119">
        <v>5.1863731745312336</v>
      </c>
      <c r="R119">
        <v>3.3367848938243079E-2</v>
      </c>
      <c r="S119">
        <v>0.79459666172878096</v>
      </c>
      <c r="T119">
        <v>7.6779142315080033</v>
      </c>
      <c r="U119">
        <v>21.91884407673858</v>
      </c>
      <c r="V119">
        <v>7.696677110189631</v>
      </c>
      <c r="W119">
        <v>1.8593294171561554</v>
      </c>
      <c r="X119">
        <v>0.31889644356693858</v>
      </c>
      <c r="Y119">
        <v>0.28403355400407626</v>
      </c>
      <c r="Z119">
        <v>0.26357439446536762</v>
      </c>
      <c r="AA119">
        <v>1.5242739375216905</v>
      </c>
      <c r="AB119">
        <v>0.76511774066862148</v>
      </c>
      <c r="AC119">
        <v>1.0642035094616902</v>
      </c>
      <c r="AD119">
        <v>5.2851944090773122</v>
      </c>
      <c r="AE119">
        <v>5.7195405517528664E-2</v>
      </c>
      <c r="AF119">
        <v>0.15135087735116137</v>
      </c>
      <c r="AG119">
        <v>4.1743411953349741</v>
      </c>
      <c r="AH119">
        <v>0.13623726052273694</v>
      </c>
      <c r="AI119">
        <v>0.48377716127137127</v>
      </c>
      <c r="AJ119">
        <v>1.0891862166666753</v>
      </c>
      <c r="AK119">
        <v>2.3129981874276422</v>
      </c>
      <c r="AL119">
        <v>15.251551558230856</v>
      </c>
    </row>
    <row r="120" spans="1:38" x14ac:dyDescent="0.35">
      <c r="A120" t="s">
        <v>171</v>
      </c>
      <c r="B120" t="s">
        <v>73</v>
      </c>
      <c r="C120">
        <v>1</v>
      </c>
      <c r="D120" t="s">
        <v>53</v>
      </c>
      <c r="E120">
        <v>8</v>
      </c>
      <c r="F120">
        <v>24</v>
      </c>
      <c r="G120" t="s">
        <v>10</v>
      </c>
      <c r="H120">
        <v>32</v>
      </c>
      <c r="I120">
        <v>38</v>
      </c>
      <c r="J120">
        <v>0.3639</v>
      </c>
      <c r="K120">
        <v>1.5663643858200467</v>
      </c>
      <c r="L120">
        <v>4.6603046575978545E-2</v>
      </c>
      <c r="M120">
        <v>1.2946631714498005</v>
      </c>
      <c r="N120">
        <v>0.64617189293489186</v>
      </c>
      <c r="O120">
        <v>18.676476360777521</v>
      </c>
      <c r="P120">
        <v>1.8063172119524957</v>
      </c>
      <c r="Q120">
        <v>4.0456870125197524</v>
      </c>
      <c r="R120">
        <v>1.276894547811434E-2</v>
      </c>
      <c r="S120">
        <v>0.8521907240947838</v>
      </c>
      <c r="T120">
        <v>8.4754102340574899</v>
      </c>
      <c r="U120">
        <v>19.483301167962022</v>
      </c>
      <c r="V120">
        <v>6.6877829817838697</v>
      </c>
      <c r="W120">
        <v>1.6757591046232188</v>
      </c>
      <c r="X120">
        <v>0.28777496369536021</v>
      </c>
      <c r="Y120">
        <v>0.1752319757649089</v>
      </c>
      <c r="Z120">
        <v>0.2258738321216904</v>
      </c>
      <c r="AA120">
        <v>1.198066133789341</v>
      </c>
      <c r="AB120">
        <v>0.437285804485888</v>
      </c>
      <c r="AC120">
        <v>0.91538014483160701</v>
      </c>
      <c r="AD120">
        <v>5.195241385391749</v>
      </c>
      <c r="AE120">
        <v>7.9760447048431854E-2</v>
      </c>
      <c r="AF120">
        <v>0.16171377619226743</v>
      </c>
      <c r="AG120">
        <v>4.0397018164040039</v>
      </c>
      <c r="AH120">
        <v>0.13139572782849698</v>
      </c>
      <c r="AI120">
        <v>0.38832244473192978</v>
      </c>
      <c r="AJ120">
        <v>1.0560380671309344</v>
      </c>
      <c r="AK120">
        <v>2.061797510337009</v>
      </c>
      <c r="AL120">
        <v>19.943284116036438</v>
      </c>
    </row>
    <row r="121" spans="1:38" x14ac:dyDescent="0.35">
      <c r="A121" t="s">
        <v>172</v>
      </c>
      <c r="B121" t="s">
        <v>73</v>
      </c>
      <c r="C121">
        <v>1</v>
      </c>
      <c r="D121" t="s">
        <v>53</v>
      </c>
      <c r="E121">
        <v>8</v>
      </c>
      <c r="F121">
        <v>24</v>
      </c>
      <c r="G121" t="s">
        <v>10</v>
      </c>
      <c r="H121">
        <v>33</v>
      </c>
      <c r="I121">
        <v>38</v>
      </c>
      <c r="J121">
        <v>0.44240000000000002</v>
      </c>
      <c r="K121">
        <v>1.5822784810129857</v>
      </c>
      <c r="L121">
        <v>4.4452568945151004E-2</v>
      </c>
      <c r="M121">
        <v>1.2902954645440967</v>
      </c>
      <c r="N121">
        <v>0.68440787497558442</v>
      </c>
      <c r="O121">
        <v>17.62835244272323</v>
      </c>
      <c r="P121">
        <v>2.6623406470487079</v>
      </c>
      <c r="Q121">
        <v>4.939981326790579</v>
      </c>
      <c r="R121">
        <v>0.27685768219650697</v>
      </c>
      <c r="S121">
        <v>1.3477932413038107E-2</v>
      </c>
      <c r="T121">
        <v>7.9579704951694463</v>
      </c>
      <c r="U121">
        <v>20.369170344765237</v>
      </c>
      <c r="V121">
        <v>7.1181050307262828</v>
      </c>
      <c r="W121">
        <v>1.5983356739592429</v>
      </c>
      <c r="X121">
        <v>0.271582960288557</v>
      </c>
      <c r="Y121">
        <v>0.26232523570601657</v>
      </c>
      <c r="Z121">
        <v>0.19557780256634408</v>
      </c>
      <c r="AA121">
        <v>1.4045872018582981</v>
      </c>
      <c r="AB121">
        <v>0.45415293771230081</v>
      </c>
      <c r="AC121">
        <v>0.92544892333050366</v>
      </c>
      <c r="AD121">
        <v>5.2413988865864303</v>
      </c>
      <c r="AE121">
        <v>4.8083529047085107E-2</v>
      </c>
      <c r="AF121">
        <v>0.12231368220128339</v>
      </c>
      <c r="AG121">
        <v>4.0163638854461636</v>
      </c>
      <c r="AH121">
        <v>8.3334044007510752E-2</v>
      </c>
      <c r="AI121">
        <v>0.41007446442686307</v>
      </c>
      <c r="AJ121">
        <v>1.2347405109661003</v>
      </c>
      <c r="AK121">
        <v>2.0263495178868407</v>
      </c>
      <c r="AL121">
        <v>18.719918933712584</v>
      </c>
    </row>
    <row r="122" spans="1:38" x14ac:dyDescent="0.35">
      <c r="A122" t="s">
        <v>173</v>
      </c>
      <c r="B122" t="s">
        <v>73</v>
      </c>
      <c r="C122">
        <v>1</v>
      </c>
      <c r="D122" t="s">
        <v>57</v>
      </c>
      <c r="E122">
        <v>8</v>
      </c>
      <c r="F122">
        <v>25</v>
      </c>
      <c r="G122" t="s">
        <v>9</v>
      </c>
      <c r="H122">
        <v>35</v>
      </c>
      <c r="I122">
        <v>43</v>
      </c>
      <c r="J122">
        <v>0.6411</v>
      </c>
      <c r="K122">
        <v>1.9341756356261928</v>
      </c>
      <c r="L122">
        <v>7.1747963400414672E-2</v>
      </c>
      <c r="M122">
        <v>1.6607001336967051</v>
      </c>
      <c r="N122">
        <v>0.48707710646362118</v>
      </c>
      <c r="O122">
        <v>17.141966026092543</v>
      </c>
      <c r="P122">
        <v>2.0452016358995739</v>
      </c>
      <c r="Q122">
        <v>5.92175766883223</v>
      </c>
      <c r="R122">
        <v>5.6072675519657431E-2</v>
      </c>
      <c r="S122">
        <v>0.86906257956439725</v>
      </c>
      <c r="T122">
        <v>7.6768959227175158</v>
      </c>
      <c r="U122">
        <v>23.359655716724046</v>
      </c>
      <c r="V122">
        <v>7.5782716572275257</v>
      </c>
      <c r="W122">
        <v>2.2461208042503391</v>
      </c>
      <c r="X122">
        <v>0.4086877174701482</v>
      </c>
      <c r="Y122">
        <v>0.35878856839854134</v>
      </c>
      <c r="Z122">
        <v>0.28756563468587043</v>
      </c>
      <c r="AA122">
        <v>2.5922467687217345</v>
      </c>
      <c r="AB122">
        <v>0.89068915608196209</v>
      </c>
      <c r="AC122">
        <v>0.91066104164675032</v>
      </c>
      <c r="AD122">
        <v>4.8622355711163125</v>
      </c>
      <c r="AE122">
        <v>6.5860470536328916E-2</v>
      </c>
      <c r="AF122">
        <v>0.10913057229913692</v>
      </c>
      <c r="AG122">
        <v>3.528291100941225</v>
      </c>
      <c r="AH122">
        <v>0.13588747155439326</v>
      </c>
      <c r="AI122">
        <v>0.43689916034346277</v>
      </c>
      <c r="AJ122">
        <v>1.377659809300952</v>
      </c>
      <c r="AK122">
        <v>1.7578300546238632</v>
      </c>
      <c r="AL122">
        <v>13.163037011890705</v>
      </c>
    </row>
    <row r="123" spans="1:38" x14ac:dyDescent="0.35">
      <c r="A123" t="s">
        <v>174</v>
      </c>
      <c r="B123" t="s">
        <v>73</v>
      </c>
      <c r="C123">
        <v>1</v>
      </c>
      <c r="D123" t="s">
        <v>57</v>
      </c>
      <c r="E123">
        <v>8</v>
      </c>
      <c r="F123">
        <v>25</v>
      </c>
      <c r="G123" t="s">
        <v>9</v>
      </c>
      <c r="H123">
        <v>38</v>
      </c>
      <c r="I123">
        <v>45</v>
      </c>
      <c r="J123">
        <v>0.8861</v>
      </c>
      <c r="K123">
        <v>1.850806906669773</v>
      </c>
      <c r="L123">
        <v>7.5308504465258094E-2</v>
      </c>
      <c r="M123">
        <v>1.8057299729288776</v>
      </c>
      <c r="N123">
        <v>0.50584210934575502</v>
      </c>
      <c r="O123">
        <v>17.259784749955795</v>
      </c>
      <c r="P123">
        <v>1.8399916115569745</v>
      </c>
      <c r="Q123">
        <v>6.051587968440181</v>
      </c>
      <c r="R123">
        <v>5.9702904218980953E-2</v>
      </c>
      <c r="S123">
        <v>0.94085195387167875</v>
      </c>
      <c r="T123">
        <v>8.2139117436602547</v>
      </c>
      <c r="U123">
        <v>23.875131087793822</v>
      </c>
      <c r="V123">
        <v>7.3457508335199302</v>
      </c>
      <c r="W123">
        <v>2.1915868308059951</v>
      </c>
      <c r="X123">
        <v>0.40768209487569412</v>
      </c>
      <c r="Y123">
        <v>0.33946712185593853</v>
      </c>
      <c r="Z123">
        <v>0.35322644429397809</v>
      </c>
      <c r="AA123">
        <v>2.5624378035268927</v>
      </c>
      <c r="AB123">
        <v>0.87121675415836908</v>
      </c>
      <c r="AC123">
        <v>0.9264170650547261</v>
      </c>
      <c r="AD123">
        <v>4.3159589457889194</v>
      </c>
      <c r="AE123">
        <v>7.8369078630491903E-2</v>
      </c>
      <c r="AF123">
        <v>0.13202229352832764</v>
      </c>
      <c r="AG123">
        <v>3.3923314850390183</v>
      </c>
      <c r="AH123">
        <v>0.17894890125547952</v>
      </c>
      <c r="AI123">
        <v>0.35999190624514454</v>
      </c>
      <c r="AJ123">
        <v>1.2251844800904244</v>
      </c>
      <c r="AK123">
        <v>1.5324043302855479</v>
      </c>
      <c r="AL123">
        <v>13.159161024807538</v>
      </c>
    </row>
    <row r="124" spans="1:38" x14ac:dyDescent="0.35">
      <c r="A124" t="s">
        <v>175</v>
      </c>
      <c r="B124" t="s">
        <v>73</v>
      </c>
      <c r="C124">
        <v>1</v>
      </c>
      <c r="D124" t="s">
        <v>61</v>
      </c>
      <c r="E124">
        <v>8</v>
      </c>
      <c r="F124">
        <v>26</v>
      </c>
      <c r="G124" t="s">
        <v>11</v>
      </c>
      <c r="H124">
        <v>29</v>
      </c>
      <c r="I124">
        <v>34</v>
      </c>
      <c r="J124">
        <v>0.217</v>
      </c>
      <c r="K124">
        <v>1.0138248847927198</v>
      </c>
      <c r="L124">
        <v>5.6325410374768098E-2</v>
      </c>
      <c r="M124">
        <v>1.1331098227310348</v>
      </c>
      <c r="N124">
        <v>0.82166862217095316</v>
      </c>
      <c r="O124">
        <v>19.363223681588305</v>
      </c>
      <c r="P124">
        <v>2.374996997375455</v>
      </c>
      <c r="Q124">
        <v>3.5123845203908624</v>
      </c>
      <c r="R124">
        <v>0.72814809629611499</v>
      </c>
      <c r="S124">
        <v>0.50784694752689841</v>
      </c>
      <c r="T124">
        <v>8.4192361203389314</v>
      </c>
      <c r="U124">
        <v>20.692812445457854</v>
      </c>
      <c r="V124">
        <v>6.5098937892682525</v>
      </c>
      <c r="W124">
        <v>1.078137672780664</v>
      </c>
      <c r="X124">
        <v>0.21945442528302345</v>
      </c>
      <c r="Y124">
        <v>0.11675801188393871</v>
      </c>
      <c r="Z124">
        <v>0.15527478123426525</v>
      </c>
      <c r="AA124">
        <v>1.189559995898464</v>
      </c>
      <c r="AB124">
        <v>0.23338127995180349</v>
      </c>
      <c r="AC124">
        <v>0.55793338651666169</v>
      </c>
      <c r="AD124">
        <v>3.6979650157144541</v>
      </c>
      <c r="AE124">
        <v>5.9876991205853318E-2</v>
      </c>
      <c r="AF124">
        <v>0.13756095993224604</v>
      </c>
      <c r="AG124">
        <v>3.4965853920802155</v>
      </c>
      <c r="AH124">
        <v>7.2616104088499958E-2</v>
      </c>
      <c r="AI124">
        <v>0.25829807315012193</v>
      </c>
      <c r="AJ124">
        <v>0.47025508634616597</v>
      </c>
      <c r="AK124">
        <v>1.3729596376063395</v>
      </c>
      <c r="AL124">
        <v>22.763736732807789</v>
      </c>
    </row>
    <row r="125" spans="1:38" x14ac:dyDescent="0.35">
      <c r="A125" t="s">
        <v>176</v>
      </c>
      <c r="B125" t="s">
        <v>73</v>
      </c>
      <c r="C125">
        <v>1</v>
      </c>
      <c r="D125" t="s">
        <v>61</v>
      </c>
      <c r="E125">
        <v>8</v>
      </c>
      <c r="F125">
        <v>26</v>
      </c>
      <c r="G125" t="s">
        <v>11</v>
      </c>
      <c r="H125">
        <v>25</v>
      </c>
      <c r="I125">
        <v>30</v>
      </c>
      <c r="J125">
        <v>0.2175</v>
      </c>
      <c r="K125">
        <v>1.6091954022991839</v>
      </c>
      <c r="L125">
        <v>6.0561178490932226E-2</v>
      </c>
      <c r="M125">
        <v>1.1340722383512951</v>
      </c>
      <c r="N125">
        <v>0.84525880921391949</v>
      </c>
      <c r="O125">
        <v>18.262880559093144</v>
      </c>
      <c r="P125">
        <v>2.9565574267135104</v>
      </c>
      <c r="Q125">
        <v>3.758410707864932</v>
      </c>
      <c r="R125">
        <v>0.7824104505738726</v>
      </c>
      <c r="S125">
        <v>0.30716073692378915</v>
      </c>
      <c r="T125">
        <v>8.1933481233879686</v>
      </c>
      <c r="U125">
        <v>22.112393420566701</v>
      </c>
      <c r="V125">
        <v>7.2386290569185654</v>
      </c>
      <c r="W125">
        <v>1.1563626056440495</v>
      </c>
      <c r="X125">
        <v>0.27268955451457644</v>
      </c>
      <c r="Y125">
        <v>0.13399667760993347</v>
      </c>
      <c r="Z125">
        <v>0.46160066151275042</v>
      </c>
      <c r="AA125">
        <v>1.4216348899425264</v>
      </c>
      <c r="AB125">
        <v>0.35755889802478019</v>
      </c>
      <c r="AC125">
        <v>0.84199794527014926</v>
      </c>
      <c r="AD125">
        <v>4.2938231813465721</v>
      </c>
      <c r="AE125">
        <v>6.3256030894092305E-2</v>
      </c>
      <c r="AF125">
        <v>0.22495797094414463</v>
      </c>
      <c r="AG125">
        <v>3.4812609207197154</v>
      </c>
      <c r="AH125">
        <v>0.10742343825103526</v>
      </c>
      <c r="AI125">
        <v>0.30963144670051312</v>
      </c>
      <c r="AJ125">
        <v>0.64091990354752082</v>
      </c>
      <c r="AK125">
        <v>1.4830828712559407</v>
      </c>
      <c r="AL125">
        <v>19.098120295723096</v>
      </c>
    </row>
    <row r="126" spans="1:38" x14ac:dyDescent="0.35">
      <c r="A126" t="s">
        <v>177</v>
      </c>
      <c r="B126" t="s">
        <v>73</v>
      </c>
      <c r="C126">
        <v>1</v>
      </c>
      <c r="D126" t="s">
        <v>61</v>
      </c>
      <c r="E126">
        <v>8</v>
      </c>
      <c r="F126">
        <v>26</v>
      </c>
      <c r="G126" t="s">
        <v>11</v>
      </c>
      <c r="H126">
        <v>24</v>
      </c>
      <c r="I126">
        <v>24</v>
      </c>
      <c r="J126">
        <v>0.13539999999999999</v>
      </c>
      <c r="K126">
        <v>2.2156573116692124</v>
      </c>
      <c r="L126">
        <v>7.9780685828765352E-2</v>
      </c>
      <c r="M126">
        <v>0.69434438151579403</v>
      </c>
      <c r="N126">
        <v>0.54443547816364912</v>
      </c>
      <c r="O126">
        <v>18.66325901861282</v>
      </c>
      <c r="P126">
        <v>2.0112296075182359</v>
      </c>
      <c r="Q126">
        <v>2.271654411255541</v>
      </c>
      <c r="R126">
        <v>0.65517738243507817</v>
      </c>
      <c r="S126">
        <v>0.79987505664222425</v>
      </c>
      <c r="T126">
        <v>8.7990303276980182</v>
      </c>
      <c r="U126">
        <v>18.141180843500649</v>
      </c>
      <c r="V126">
        <v>5.1238103161996733</v>
      </c>
      <c r="W126">
        <v>0.89367980920436596</v>
      </c>
      <c r="X126">
        <v>0.17649720939073485</v>
      </c>
      <c r="Y126">
        <v>9.8412866685064118E-2</v>
      </c>
      <c r="Z126">
        <v>0.19758783949824202</v>
      </c>
      <c r="AA126">
        <v>0.85201888351820176</v>
      </c>
      <c r="AB126">
        <v>0.24570958558429493</v>
      </c>
      <c r="AC126">
        <v>1.0137102104062021</v>
      </c>
      <c r="AD126">
        <v>5.1512671604290974</v>
      </c>
      <c r="AE126">
        <v>1.5662594908820971E-3</v>
      </c>
      <c r="AF126">
        <v>0.18953973599014398</v>
      </c>
      <c r="AG126">
        <v>4.2335494727631566</v>
      </c>
      <c r="AH126">
        <v>3.0799599384460029E-3</v>
      </c>
      <c r="AI126">
        <v>0.24228142198386585</v>
      </c>
      <c r="AJ126">
        <v>0.73786195540717336</v>
      </c>
      <c r="AK126">
        <v>1.8482781775666814</v>
      </c>
      <c r="AL126">
        <v>26.331181942773039</v>
      </c>
    </row>
    <row r="127" spans="1:38" x14ac:dyDescent="0.35">
      <c r="A127" t="s">
        <v>178</v>
      </c>
      <c r="B127" t="s">
        <v>73</v>
      </c>
      <c r="C127">
        <v>1</v>
      </c>
      <c r="D127" t="s">
        <v>53</v>
      </c>
      <c r="E127">
        <v>8</v>
      </c>
      <c r="F127">
        <v>27</v>
      </c>
      <c r="G127" t="s">
        <v>10</v>
      </c>
      <c r="H127">
        <v>31</v>
      </c>
      <c r="I127">
        <v>37</v>
      </c>
      <c r="J127">
        <v>0.34860000000000002</v>
      </c>
      <c r="K127">
        <v>1.8072289156625152</v>
      </c>
      <c r="L127">
        <v>4.2632733053464239E-2</v>
      </c>
      <c r="M127">
        <v>1.151212334023588</v>
      </c>
      <c r="N127">
        <v>0.64417334157798622</v>
      </c>
      <c r="O127">
        <v>18.493567182053244</v>
      </c>
      <c r="P127">
        <v>1.9309980520465744</v>
      </c>
      <c r="Q127">
        <v>3.9711484318315908</v>
      </c>
      <c r="R127">
        <v>0.79383847578786304</v>
      </c>
      <c r="S127">
        <v>0.13605991650120675</v>
      </c>
      <c r="T127">
        <v>8.4218585791391352</v>
      </c>
      <c r="U127">
        <v>19.870891221812396</v>
      </c>
      <c r="V127">
        <v>6.4991252122959295</v>
      </c>
      <c r="W127">
        <v>1.662628470116656</v>
      </c>
      <c r="X127">
        <v>0.25012172500660329</v>
      </c>
      <c r="Y127">
        <v>0.17332755282072174</v>
      </c>
      <c r="Z127">
        <v>0.17861693789102709</v>
      </c>
      <c r="AA127">
        <v>1.2499696185918618</v>
      </c>
      <c r="AB127">
        <v>0.33656324562213386</v>
      </c>
      <c r="AC127">
        <v>0.85189047801090556</v>
      </c>
      <c r="AD127">
        <v>5.3765662097505924</v>
      </c>
      <c r="AE127">
        <v>7.2920090481293137E-2</v>
      </c>
      <c r="AF127">
        <v>0.1139712910053067</v>
      </c>
      <c r="AG127">
        <v>3.8697180207922623</v>
      </c>
      <c r="AH127">
        <v>7.1782733045220093E-2</v>
      </c>
      <c r="AI127">
        <v>0.40750440146391659</v>
      </c>
      <c r="AJ127">
        <v>1.0700349612571478</v>
      </c>
      <c r="AK127">
        <v>1.9652937531958536</v>
      </c>
      <c r="AL127">
        <v>20.393585030825573</v>
      </c>
    </row>
    <row r="128" spans="1:38" x14ac:dyDescent="0.35">
      <c r="A128" t="s">
        <v>179</v>
      </c>
      <c r="B128" t="s">
        <v>73</v>
      </c>
      <c r="C128">
        <v>1</v>
      </c>
      <c r="D128" t="s">
        <v>53</v>
      </c>
      <c r="E128">
        <v>8</v>
      </c>
      <c r="F128">
        <v>27</v>
      </c>
      <c r="G128" t="s">
        <v>10</v>
      </c>
      <c r="H128">
        <v>28</v>
      </c>
      <c r="I128">
        <v>35</v>
      </c>
      <c r="J128">
        <v>0.4365</v>
      </c>
      <c r="K128">
        <v>1.7640320733103823</v>
      </c>
      <c r="L128">
        <v>4.0504868535847248E-2</v>
      </c>
      <c r="M128">
        <v>1.2133052700957525</v>
      </c>
      <c r="N128">
        <v>0.69063739039335992</v>
      </c>
      <c r="O128">
        <v>18.055748967406615</v>
      </c>
      <c r="P128">
        <v>1.9851674996956363</v>
      </c>
      <c r="Q128">
        <v>3.971377255527941</v>
      </c>
      <c r="R128">
        <v>0.81728876968255026</v>
      </c>
      <c r="S128">
        <v>8.2004426591463023E-2</v>
      </c>
      <c r="T128">
        <v>8.083284397948443</v>
      </c>
      <c r="U128">
        <v>20.771742176510145</v>
      </c>
      <c r="V128">
        <v>7.1068655103915237</v>
      </c>
      <c r="W128">
        <v>1.6381122020386072</v>
      </c>
      <c r="X128">
        <v>0.2204817929176304</v>
      </c>
      <c r="Y128">
        <v>0.16619060340762359</v>
      </c>
      <c r="Z128">
        <v>0.26036071845055941</v>
      </c>
      <c r="AA128">
        <v>1.4570231448970996</v>
      </c>
      <c r="AB128">
        <v>0.39254245360547918</v>
      </c>
      <c r="AC128">
        <v>1.2668833812957772</v>
      </c>
      <c r="AD128">
        <v>5.6588261419357693</v>
      </c>
      <c r="AE128">
        <v>9.5556282029223505E-2</v>
      </c>
      <c r="AF128">
        <v>0.10673233228307644</v>
      </c>
      <c r="AG128">
        <v>3.9253967537829744</v>
      </c>
      <c r="AH128">
        <v>0.12476008008803911</v>
      </c>
      <c r="AI128">
        <v>0.473730249782913</v>
      </c>
      <c r="AJ128">
        <v>1.3743847773759832</v>
      </c>
      <c r="AK128">
        <v>2.045817461903749</v>
      </c>
      <c r="AL128">
        <v>17.975275091426187</v>
      </c>
    </row>
    <row r="129" spans="1:38" x14ac:dyDescent="0.35">
      <c r="A129" t="s">
        <v>180</v>
      </c>
      <c r="B129" t="s">
        <v>73</v>
      </c>
      <c r="C129">
        <v>1</v>
      </c>
      <c r="D129" t="s">
        <v>53</v>
      </c>
      <c r="E129">
        <v>8</v>
      </c>
      <c r="F129">
        <v>27</v>
      </c>
      <c r="G129" t="s">
        <v>10</v>
      </c>
      <c r="H129">
        <v>30</v>
      </c>
      <c r="I129">
        <v>36</v>
      </c>
      <c r="J129">
        <v>0.34200000000000003</v>
      </c>
      <c r="K129">
        <v>1.6666666666669374</v>
      </c>
      <c r="L129">
        <v>5.4015569726934075E-2</v>
      </c>
      <c r="M129">
        <v>1.2830611165653174</v>
      </c>
      <c r="N129">
        <v>0.69651847750101381</v>
      </c>
      <c r="O129">
        <v>18.024127450359899</v>
      </c>
      <c r="P129">
        <v>1.8299898116392257</v>
      </c>
      <c r="Q129">
        <v>4.1543850723577478</v>
      </c>
      <c r="R129">
        <v>0.85141793841146263</v>
      </c>
      <c r="S129">
        <v>0.12326640810294547</v>
      </c>
      <c r="T129">
        <v>7.9784108379304648</v>
      </c>
      <c r="U129">
        <v>21.527583365706384</v>
      </c>
      <c r="V129">
        <v>7.6502965661270688</v>
      </c>
      <c r="W129">
        <v>1.6800234396809222</v>
      </c>
      <c r="X129">
        <v>0.24920870703626286</v>
      </c>
      <c r="Y129">
        <v>0.15526201604917919</v>
      </c>
      <c r="Z129">
        <v>0.26130027177273535</v>
      </c>
      <c r="AA129">
        <v>1.7242925916526173</v>
      </c>
      <c r="AB129">
        <v>0.40653845690891116</v>
      </c>
      <c r="AC129">
        <v>1.0435768400694292</v>
      </c>
      <c r="AD129">
        <v>5.148067775954714</v>
      </c>
      <c r="AE129">
        <v>6.5824575361737969E-2</v>
      </c>
      <c r="AF129">
        <v>0.10245153282207693</v>
      </c>
      <c r="AG129">
        <v>3.8262567661618849</v>
      </c>
      <c r="AH129">
        <v>0.16234657736651348</v>
      </c>
      <c r="AI129">
        <v>0.39195999782728885</v>
      </c>
      <c r="AJ129">
        <v>1.1719774967498802</v>
      </c>
      <c r="AK129">
        <v>1.8904990947606339</v>
      </c>
      <c r="AL129">
        <v>17.54734124539673</v>
      </c>
    </row>
    <row r="130" spans="1:38" x14ac:dyDescent="0.35">
      <c r="A130" t="s">
        <v>181</v>
      </c>
      <c r="B130" t="s">
        <v>73</v>
      </c>
      <c r="C130">
        <v>1</v>
      </c>
      <c r="D130" t="s">
        <v>65</v>
      </c>
      <c r="E130">
        <v>8</v>
      </c>
      <c r="F130">
        <v>28</v>
      </c>
      <c r="G130" t="s">
        <v>7</v>
      </c>
      <c r="H130">
        <v>34</v>
      </c>
      <c r="I130">
        <v>40</v>
      </c>
      <c r="J130">
        <v>0.57769999999999999</v>
      </c>
      <c r="K130">
        <v>2.5272632854422232</v>
      </c>
      <c r="L130">
        <v>3.6829904852923527E-2</v>
      </c>
      <c r="M130">
        <v>1.8505694326427065</v>
      </c>
      <c r="N130">
        <v>0.38124631607423165</v>
      </c>
      <c r="O130">
        <v>17.18351061128714</v>
      </c>
      <c r="P130">
        <v>2.8551353115637856</v>
      </c>
      <c r="Q130">
        <v>6.6954188189094257</v>
      </c>
      <c r="R130">
        <v>0.84284678901985566</v>
      </c>
      <c r="S130">
        <v>1.0410787932143648</v>
      </c>
      <c r="T130">
        <v>7.6625580890899387</v>
      </c>
      <c r="U130">
        <v>27.552153280801203</v>
      </c>
      <c r="V130">
        <v>7.9930078747990905</v>
      </c>
      <c r="W130">
        <v>2.0344408526684541</v>
      </c>
      <c r="X130">
        <v>0.220829783827966</v>
      </c>
      <c r="Y130">
        <v>0.30687502078909634</v>
      </c>
      <c r="Z130">
        <v>0.33469134466958261</v>
      </c>
      <c r="AA130">
        <v>3.4340212188492445</v>
      </c>
      <c r="AB130">
        <v>1.0992696245188087</v>
      </c>
      <c r="AC130">
        <v>1.1413387235959971</v>
      </c>
      <c r="AD130">
        <v>4.033925852963467</v>
      </c>
      <c r="AE130">
        <v>4.1691767674979924E-2</v>
      </c>
      <c r="AF130">
        <v>9.9192031558893556E-2</v>
      </c>
      <c r="AG130">
        <v>2.0040751952347402</v>
      </c>
      <c r="AH130">
        <v>0.11968941350784791</v>
      </c>
      <c r="AI130">
        <v>0.32619294040193708</v>
      </c>
      <c r="AJ130">
        <v>1.2344293573356724</v>
      </c>
      <c r="AK130">
        <v>1.0039946522780772</v>
      </c>
      <c r="AL130">
        <v>8.4709869978705612</v>
      </c>
    </row>
    <row r="131" spans="1:38" x14ac:dyDescent="0.35">
      <c r="A131" t="s">
        <v>182</v>
      </c>
      <c r="B131" t="s">
        <v>73</v>
      </c>
      <c r="C131">
        <v>1</v>
      </c>
      <c r="D131" t="s">
        <v>65</v>
      </c>
      <c r="E131">
        <v>8</v>
      </c>
      <c r="F131">
        <v>28</v>
      </c>
      <c r="G131" t="s">
        <v>7</v>
      </c>
      <c r="H131">
        <v>37</v>
      </c>
      <c r="I131">
        <v>42</v>
      </c>
      <c r="J131">
        <v>0.8054</v>
      </c>
      <c r="K131">
        <v>2.4335733796871746</v>
      </c>
      <c r="L131">
        <v>4.9206619604366807E-2</v>
      </c>
      <c r="M131">
        <v>2.1267764279959231</v>
      </c>
      <c r="N131">
        <v>0.40108614272695808</v>
      </c>
      <c r="O131">
        <v>15.694266135032429</v>
      </c>
      <c r="P131">
        <v>2.8425146918720077</v>
      </c>
      <c r="Q131">
        <v>6.6651513912195188</v>
      </c>
      <c r="R131">
        <v>0.85536229458072122</v>
      </c>
      <c r="S131">
        <v>1.0927150042380538</v>
      </c>
      <c r="T131">
        <v>7.8773497420754239</v>
      </c>
      <c r="U131">
        <v>26.847456037352583</v>
      </c>
      <c r="V131">
        <v>7.9772573942220069</v>
      </c>
      <c r="W131">
        <v>2.1570402706053504</v>
      </c>
      <c r="X131">
        <v>0.27514818220760484</v>
      </c>
      <c r="Y131">
        <v>0.43868663444133776</v>
      </c>
      <c r="Z131">
        <v>0.39783411472967012</v>
      </c>
      <c r="AA131">
        <v>4.0745940457917262</v>
      </c>
      <c r="AB131">
        <v>1.2637244941739385</v>
      </c>
      <c r="AC131">
        <v>1.0001021881503513</v>
      </c>
      <c r="AD131">
        <v>3.9138862634208316</v>
      </c>
      <c r="AE131">
        <v>4.5523403738991275E-2</v>
      </c>
      <c r="AF131">
        <v>8.6552711943699193E-2</v>
      </c>
      <c r="AG131">
        <v>2.1097199328723693</v>
      </c>
      <c r="AH131">
        <v>0.13800373849124525</v>
      </c>
      <c r="AI131">
        <v>0.34943470698315221</v>
      </c>
      <c r="AJ131">
        <v>1.2283587263815423</v>
      </c>
      <c r="AK131">
        <v>1.1134789227799724</v>
      </c>
      <c r="AL131">
        <v>8.9787697823682944</v>
      </c>
    </row>
    <row r="132" spans="1:38" x14ac:dyDescent="0.35">
      <c r="A132" t="s">
        <v>183</v>
      </c>
      <c r="B132" t="s">
        <v>73</v>
      </c>
      <c r="C132">
        <v>1</v>
      </c>
      <c r="D132" t="s">
        <v>65</v>
      </c>
      <c r="E132">
        <v>8</v>
      </c>
      <c r="F132">
        <v>28</v>
      </c>
      <c r="G132" t="s">
        <v>7</v>
      </c>
      <c r="H132">
        <v>37</v>
      </c>
      <c r="I132">
        <v>44</v>
      </c>
      <c r="J132">
        <v>0.74590000000000001</v>
      </c>
      <c r="K132">
        <v>2.0378066764982039</v>
      </c>
      <c r="L132">
        <v>4.8068752373408616E-2</v>
      </c>
      <c r="M132">
        <v>2.0888829289331805</v>
      </c>
      <c r="N132">
        <v>0.38635729545778585</v>
      </c>
      <c r="O132">
        <v>16.981439401039935</v>
      </c>
      <c r="P132">
        <v>2.5955768547599587</v>
      </c>
      <c r="Q132">
        <v>7.2299466009203845</v>
      </c>
      <c r="R132">
        <v>0.7831474110082588</v>
      </c>
      <c r="S132">
        <v>1.0330843089733843</v>
      </c>
      <c r="T132">
        <v>7.4105829734732724</v>
      </c>
      <c r="U132">
        <v>26.402061936047652</v>
      </c>
      <c r="V132">
        <v>7.3840305801610189</v>
      </c>
      <c r="W132">
        <v>2.2821342237121369</v>
      </c>
      <c r="X132">
        <v>0.29201320008076115</v>
      </c>
      <c r="Y132">
        <v>0.42844642981588255</v>
      </c>
      <c r="Z132">
        <v>0.34687372723429016</v>
      </c>
      <c r="AA132">
        <v>3.4095731836168284</v>
      </c>
      <c r="AB132">
        <v>1.104172655520792</v>
      </c>
      <c r="AC132">
        <v>1.2322150474877933</v>
      </c>
      <c r="AD132">
        <v>3.5659947007019461</v>
      </c>
      <c r="AE132">
        <v>6.2036441320877933E-2</v>
      </c>
      <c r="AF132">
        <v>0.10870937686914159</v>
      </c>
      <c r="AG132">
        <v>2.2532196629287395</v>
      </c>
      <c r="AH132">
        <v>0.1100319257292656</v>
      </c>
      <c r="AI132">
        <v>0.2796350534252719</v>
      </c>
      <c r="AJ132">
        <v>1.0537363544132741</v>
      </c>
      <c r="AK132">
        <v>1.1811876353404456</v>
      </c>
      <c r="AL132">
        <v>9.946841338654318</v>
      </c>
    </row>
    <row r="133" spans="1:38" x14ac:dyDescent="0.35">
      <c r="A133" t="s">
        <v>184</v>
      </c>
      <c r="B133" t="s">
        <v>73</v>
      </c>
      <c r="C133">
        <v>1</v>
      </c>
      <c r="D133" t="s">
        <v>69</v>
      </c>
      <c r="E133">
        <v>8</v>
      </c>
      <c r="F133">
        <v>29</v>
      </c>
      <c r="G133" t="s">
        <v>8</v>
      </c>
      <c r="H133">
        <v>30</v>
      </c>
      <c r="I133">
        <v>35</v>
      </c>
      <c r="J133">
        <v>0.31459999999999999</v>
      </c>
      <c r="K133">
        <v>2.2250476795930303</v>
      </c>
      <c r="L133">
        <v>5.9152010017899465E-2</v>
      </c>
      <c r="M133">
        <v>1.6394053610117121</v>
      </c>
      <c r="N133">
        <v>0.68719482978469848</v>
      </c>
      <c r="O133">
        <v>17.849028133367778</v>
      </c>
      <c r="P133">
        <v>2.8641170353123191</v>
      </c>
      <c r="Q133">
        <v>5.1521910808668689</v>
      </c>
      <c r="R133">
        <v>0.6812456966904451</v>
      </c>
      <c r="S133">
        <v>0.7254786029375333</v>
      </c>
      <c r="T133">
        <v>7.6234918155765445</v>
      </c>
      <c r="U133">
        <v>23.46692065792675</v>
      </c>
      <c r="V133">
        <v>7.453615972607107</v>
      </c>
      <c r="W133">
        <v>1.454146051382718</v>
      </c>
      <c r="X133">
        <v>0.1939604676249968</v>
      </c>
      <c r="Y133">
        <v>0.17558370566597922</v>
      </c>
      <c r="Z133">
        <v>0.28994422164420769</v>
      </c>
      <c r="AA133">
        <v>2.1409888907926731</v>
      </c>
      <c r="AB133">
        <v>0.4934100819242449</v>
      </c>
      <c r="AC133">
        <v>1.3272951101348414</v>
      </c>
      <c r="AD133">
        <v>3.9173923208975618</v>
      </c>
      <c r="AE133">
        <v>0.15476394321871953</v>
      </c>
      <c r="AF133">
        <v>0.13817632795323301</v>
      </c>
      <c r="AG133">
        <v>3.1763881331209975</v>
      </c>
      <c r="AH133">
        <v>9.9337302378267892E-2</v>
      </c>
      <c r="AI133">
        <v>0.28682257930669525</v>
      </c>
      <c r="AJ133">
        <v>0.62411804446156238</v>
      </c>
      <c r="AK133">
        <v>1.5236594682064419</v>
      </c>
      <c r="AL133">
        <v>15.802172155187215</v>
      </c>
    </row>
    <row r="134" spans="1:38" x14ac:dyDescent="0.35">
      <c r="A134" t="s">
        <v>185</v>
      </c>
      <c r="B134" t="s">
        <v>73</v>
      </c>
      <c r="C134">
        <v>1</v>
      </c>
      <c r="D134" t="s">
        <v>69</v>
      </c>
      <c r="E134">
        <v>8</v>
      </c>
      <c r="F134">
        <v>29</v>
      </c>
      <c r="G134" t="s">
        <v>8</v>
      </c>
      <c r="H134">
        <v>32</v>
      </c>
      <c r="I134">
        <v>38</v>
      </c>
      <c r="J134">
        <v>0.43909999999999999</v>
      </c>
      <c r="K134">
        <v>1.8674561603280413</v>
      </c>
      <c r="L134">
        <v>4.7448245618496997E-2</v>
      </c>
      <c r="M134">
        <v>1.7476613585826515</v>
      </c>
      <c r="N134">
        <v>0.71527279024634827</v>
      </c>
      <c r="O134">
        <v>18.013341730571387</v>
      </c>
      <c r="P134">
        <v>3.7744735350291765</v>
      </c>
      <c r="Q134">
        <v>6.1386673221545598</v>
      </c>
      <c r="R134">
        <v>0.63035365742794469</v>
      </c>
      <c r="S134">
        <v>0.89117516148708387</v>
      </c>
      <c r="T134">
        <v>7.1028605551050124</v>
      </c>
      <c r="U134">
        <v>24.657282245964417</v>
      </c>
      <c r="V134">
        <v>8.0243323806194198</v>
      </c>
      <c r="W134">
        <v>1.410165731051596</v>
      </c>
      <c r="X134">
        <v>0.17825916144520682</v>
      </c>
      <c r="Y134">
        <v>0.19001748077210751</v>
      </c>
      <c r="Z134">
        <v>0.25746021654831852</v>
      </c>
      <c r="AA134">
        <v>2.2157235169820306</v>
      </c>
      <c r="AB134">
        <v>0.49639357846659005</v>
      </c>
      <c r="AC134">
        <v>0.79905573187485945</v>
      </c>
      <c r="AD134">
        <v>3.4271879256118183</v>
      </c>
      <c r="AE134">
        <v>3.6948972849357026E-2</v>
      </c>
      <c r="AF134">
        <v>0.16541237891305344</v>
      </c>
      <c r="AG134">
        <v>2.9129060752726277</v>
      </c>
      <c r="AH134">
        <v>7.9554153804287847E-2</v>
      </c>
      <c r="AI134">
        <v>0.29025110969884405</v>
      </c>
      <c r="AJ134">
        <v>0.62479334721743363</v>
      </c>
      <c r="AK134">
        <v>1.4990122583097398</v>
      </c>
      <c r="AL134">
        <v>13.673989378375662</v>
      </c>
    </row>
    <row r="135" spans="1:38" x14ac:dyDescent="0.35">
      <c r="A135" t="s">
        <v>186</v>
      </c>
      <c r="B135" t="s">
        <v>73</v>
      </c>
      <c r="C135">
        <v>1</v>
      </c>
      <c r="D135" t="s">
        <v>69</v>
      </c>
      <c r="E135">
        <v>8</v>
      </c>
      <c r="F135">
        <v>29</v>
      </c>
      <c r="G135" t="s">
        <v>8</v>
      </c>
      <c r="H135">
        <v>30</v>
      </c>
      <c r="I135">
        <v>35</v>
      </c>
      <c r="J135">
        <v>0.29380000000000001</v>
      </c>
      <c r="K135">
        <v>1.8039482641252833</v>
      </c>
      <c r="L135">
        <v>5.4685935136353302E-2</v>
      </c>
      <c r="M135">
        <v>1.6489172217891737</v>
      </c>
      <c r="N135">
        <v>0.71881230500493409</v>
      </c>
      <c r="O135">
        <v>16.917284356259895</v>
      </c>
      <c r="P135">
        <v>4.0606610529930967</v>
      </c>
      <c r="Q135">
        <v>6.18617990500013</v>
      </c>
      <c r="R135">
        <v>0.67607290412382148</v>
      </c>
      <c r="S135">
        <v>0.97574133083777281</v>
      </c>
      <c r="T135">
        <v>7.1690819245503539</v>
      </c>
      <c r="U135">
        <v>25.511152818354656</v>
      </c>
      <c r="V135">
        <v>8.2008812962130406</v>
      </c>
      <c r="W135">
        <v>1.4920776487712006</v>
      </c>
      <c r="X135">
        <v>0.1727294044943502</v>
      </c>
      <c r="Y135">
        <v>0.23997891319672546</v>
      </c>
      <c r="Z135">
        <v>0.18706827830802655</v>
      </c>
      <c r="AA135">
        <v>2.094239585773229</v>
      </c>
      <c r="AB135">
        <v>0.66011464232690376</v>
      </c>
      <c r="AC135">
        <v>1.0129312660082481</v>
      </c>
      <c r="AD135">
        <v>3.9673582549795468</v>
      </c>
      <c r="AE135">
        <v>4.2526722555342442E-2</v>
      </c>
      <c r="AF135">
        <v>0.10305684035102407</v>
      </c>
      <c r="AG135">
        <v>2.9718872185423488</v>
      </c>
      <c r="AH135">
        <v>7.5830126566038089E-2</v>
      </c>
      <c r="AI135">
        <v>0.33238784014821759</v>
      </c>
      <c r="AJ135">
        <v>0.61969604021457092</v>
      </c>
      <c r="AK135">
        <v>1.5221784360188808</v>
      </c>
      <c r="AL135">
        <v>12.38646773148211</v>
      </c>
    </row>
    <row r="136" spans="1:38" x14ac:dyDescent="0.35">
      <c r="A136" t="s">
        <v>187</v>
      </c>
      <c r="B136" t="s">
        <v>73</v>
      </c>
      <c r="C136">
        <v>1</v>
      </c>
      <c r="D136" t="s">
        <v>61</v>
      </c>
      <c r="E136">
        <v>8</v>
      </c>
      <c r="F136">
        <v>30</v>
      </c>
      <c r="G136" t="s">
        <v>11</v>
      </c>
      <c r="H136">
        <v>27</v>
      </c>
      <c r="I136">
        <v>31</v>
      </c>
      <c r="J136">
        <v>0.182</v>
      </c>
      <c r="K136">
        <v>0.98901098901063611</v>
      </c>
      <c r="L136">
        <v>7.1254380001799553E-2</v>
      </c>
      <c r="M136">
        <v>0.95777346853235079</v>
      </c>
      <c r="N136">
        <v>0.72045766235745679</v>
      </c>
      <c r="O136">
        <v>19.069644870430718</v>
      </c>
      <c r="P136">
        <v>2.4380795907526127</v>
      </c>
      <c r="Q136">
        <v>3.1605449373855472</v>
      </c>
      <c r="R136">
        <v>0.73546646318717179</v>
      </c>
      <c r="S136">
        <v>0.69227883692640513</v>
      </c>
      <c r="T136">
        <v>8.3215471272663706</v>
      </c>
      <c r="U136">
        <v>19.901539416734096</v>
      </c>
      <c r="V136">
        <v>6.4382752359029016</v>
      </c>
      <c r="W136">
        <v>1.1473755531938672</v>
      </c>
      <c r="X136">
        <v>0.22747591179125462</v>
      </c>
      <c r="Y136">
        <v>0.12528814432015872</v>
      </c>
      <c r="Z136">
        <v>0.281485660747467</v>
      </c>
      <c r="AA136">
        <v>1.0490758728543477</v>
      </c>
      <c r="AB136">
        <v>0.1680322868932799</v>
      </c>
      <c r="AC136">
        <v>0.56001422990258409</v>
      </c>
      <c r="AD136">
        <v>4.6093765259761366</v>
      </c>
      <c r="AE136">
        <v>5.0038408569193546E-2</v>
      </c>
      <c r="AF136">
        <v>0.16274410414854176</v>
      </c>
      <c r="AG136">
        <v>3.6508313638068004</v>
      </c>
      <c r="AH136">
        <v>8.5694016748633764E-2</v>
      </c>
      <c r="AI136">
        <v>0.23411455840071779</v>
      </c>
      <c r="AJ136">
        <v>0.49885911019560997</v>
      </c>
      <c r="AK136">
        <v>1.6745839978917716</v>
      </c>
      <c r="AL136">
        <v>22.96814826508221</v>
      </c>
    </row>
    <row r="137" spans="1:38" x14ac:dyDescent="0.35">
      <c r="A137" t="s">
        <v>188</v>
      </c>
      <c r="B137" t="s">
        <v>73</v>
      </c>
      <c r="C137">
        <v>1</v>
      </c>
      <c r="D137" t="s">
        <v>61</v>
      </c>
      <c r="E137">
        <v>8</v>
      </c>
      <c r="F137">
        <v>30</v>
      </c>
      <c r="G137" t="s">
        <v>11</v>
      </c>
      <c r="H137">
        <v>25</v>
      </c>
      <c r="I137">
        <v>30</v>
      </c>
      <c r="J137">
        <v>0.21049999999999999</v>
      </c>
      <c r="K137">
        <v>1.3301662707841235</v>
      </c>
      <c r="L137">
        <v>6.3996710221533512E-2</v>
      </c>
      <c r="M137">
        <v>0.91524747815303953</v>
      </c>
      <c r="N137">
        <v>0.6920265363358209</v>
      </c>
      <c r="O137">
        <v>17.721585548505864</v>
      </c>
      <c r="P137">
        <v>2.52359152285181</v>
      </c>
      <c r="Q137">
        <v>2.6649893373397506</v>
      </c>
      <c r="R137">
        <v>0.69583802210210177</v>
      </c>
      <c r="S137">
        <v>0.56432169016184563</v>
      </c>
      <c r="T137">
        <v>8.405210916747107</v>
      </c>
      <c r="U137">
        <v>19.504101653951093</v>
      </c>
      <c r="V137">
        <v>6.3867702418811225</v>
      </c>
      <c r="W137">
        <v>1.1148017525377698</v>
      </c>
      <c r="X137">
        <v>0.16285804146901281</v>
      </c>
      <c r="Y137">
        <v>0.12348514308764337</v>
      </c>
      <c r="Z137">
        <v>0.17105140429103255</v>
      </c>
      <c r="AA137">
        <v>1.132764904560897</v>
      </c>
      <c r="AB137">
        <v>0.25889086789713089</v>
      </c>
      <c r="AC137">
        <v>0.89763411312275077</v>
      </c>
      <c r="AD137">
        <v>5.2662935928697685</v>
      </c>
      <c r="AE137">
        <v>5.7404020376968443E-2</v>
      </c>
      <c r="AF137">
        <v>0.12065306090130994</v>
      </c>
      <c r="AG137">
        <v>4.2609855037061077</v>
      </c>
      <c r="AH137">
        <v>5.1005700804560149E-2</v>
      </c>
      <c r="AI137">
        <v>0.30964615301363624</v>
      </c>
      <c r="AJ137">
        <v>0.62174439234411327</v>
      </c>
      <c r="AK137">
        <v>2.2048075821354902</v>
      </c>
      <c r="AL137">
        <v>23.108294108630684</v>
      </c>
    </row>
    <row r="138" spans="1:38" x14ac:dyDescent="0.35">
      <c r="A138" t="s">
        <v>189</v>
      </c>
      <c r="B138" t="s">
        <v>73</v>
      </c>
      <c r="C138">
        <v>1</v>
      </c>
      <c r="D138" t="s">
        <v>61</v>
      </c>
      <c r="E138">
        <v>8</v>
      </c>
      <c r="F138">
        <v>30</v>
      </c>
      <c r="G138" t="s">
        <v>11</v>
      </c>
      <c r="H138">
        <v>25</v>
      </c>
      <c r="I138">
        <v>29</v>
      </c>
      <c r="J138">
        <v>0.17330000000000001</v>
      </c>
      <c r="K138">
        <v>2.0196191575307125</v>
      </c>
      <c r="L138">
        <v>0.11258048391742426</v>
      </c>
      <c r="M138">
        <v>1.1041221973514084</v>
      </c>
      <c r="N138">
        <v>0.78600919890005805</v>
      </c>
      <c r="O138">
        <v>18.35997535593749</v>
      </c>
      <c r="P138">
        <v>2.8145182976997574</v>
      </c>
      <c r="Q138">
        <v>3.8781808342040964</v>
      </c>
      <c r="R138">
        <v>0.67778818247455808</v>
      </c>
      <c r="S138">
        <v>0.40799924569536145</v>
      </c>
      <c r="T138">
        <v>8.0714750143046601</v>
      </c>
      <c r="U138">
        <v>21.005891067560629</v>
      </c>
      <c r="V138">
        <v>6.8226244893267136</v>
      </c>
      <c r="W138">
        <v>1.256500000645808</v>
      </c>
      <c r="X138">
        <v>0.23418679114415342</v>
      </c>
      <c r="Y138">
        <v>0.20852390073660934</v>
      </c>
      <c r="Z138">
        <v>0.1416656441361209</v>
      </c>
      <c r="AA138">
        <v>0.98659430164177453</v>
      </c>
      <c r="AB138">
        <v>0.53962127190744757</v>
      </c>
      <c r="AC138">
        <v>1.0283342137859501</v>
      </c>
      <c r="AD138">
        <v>4.8043677338441233</v>
      </c>
      <c r="AE138">
        <v>3.4853007466840928E-3</v>
      </c>
      <c r="AF138">
        <v>0.15742131143094423</v>
      </c>
      <c r="AG138">
        <v>3.8895842670651715</v>
      </c>
      <c r="AH138">
        <v>9.9289222872479835E-2</v>
      </c>
      <c r="AI138">
        <v>0.25363131810860678</v>
      </c>
      <c r="AJ138">
        <v>0.47359378370314476</v>
      </c>
      <c r="AK138">
        <v>1.9441747403525846</v>
      </c>
      <c r="AL138">
        <v>19.937861830506186</v>
      </c>
    </row>
    <row r="139" spans="1:38" x14ac:dyDescent="0.35">
      <c r="A139" t="s">
        <v>190</v>
      </c>
      <c r="B139" t="s">
        <v>73</v>
      </c>
      <c r="C139">
        <v>1</v>
      </c>
      <c r="D139" t="s">
        <v>61</v>
      </c>
      <c r="E139">
        <v>8</v>
      </c>
      <c r="F139">
        <v>31</v>
      </c>
      <c r="G139" t="s">
        <v>11</v>
      </c>
      <c r="H139">
        <v>24</v>
      </c>
      <c r="I139">
        <v>27</v>
      </c>
      <c r="J139">
        <v>0.13270000000000001</v>
      </c>
      <c r="K139">
        <v>3.3911077618690055</v>
      </c>
      <c r="L139">
        <v>0.20873856326713985</v>
      </c>
      <c r="M139">
        <v>1.1591432370625463</v>
      </c>
      <c r="N139">
        <v>0.68910436521059371</v>
      </c>
      <c r="O139">
        <v>18.925774029987668</v>
      </c>
      <c r="P139">
        <v>1.9520680046390648</v>
      </c>
      <c r="Q139">
        <v>3.2347575205170624</v>
      </c>
      <c r="R139">
        <v>0.76573857745355767</v>
      </c>
      <c r="S139">
        <v>0.35674041340359786</v>
      </c>
      <c r="T139">
        <v>8.6716746618450369</v>
      </c>
      <c r="U139">
        <v>19.727535087118291</v>
      </c>
      <c r="V139">
        <v>5.8915047284682256</v>
      </c>
      <c r="W139">
        <v>1.2983532413102943</v>
      </c>
      <c r="X139">
        <v>0.3295000020088536</v>
      </c>
      <c r="Y139">
        <v>0.16050296433914951</v>
      </c>
      <c r="Z139">
        <v>0.61881759725953944</v>
      </c>
      <c r="AA139">
        <v>1.115616000046648</v>
      </c>
      <c r="AB139">
        <v>0.43828031743301343</v>
      </c>
      <c r="AC139">
        <v>1.0559894896775674</v>
      </c>
      <c r="AD139">
        <v>5.0924556238000873</v>
      </c>
      <c r="AE139">
        <v>8.5805607034159348E-2</v>
      </c>
      <c r="AF139">
        <v>0.38451237103648267</v>
      </c>
      <c r="AG139">
        <v>4.3873942049655792</v>
      </c>
      <c r="AH139">
        <v>9.0637522336052906E-2</v>
      </c>
      <c r="AI139">
        <v>0.38097554414423945</v>
      </c>
      <c r="AJ139">
        <v>0.7670807761485281</v>
      </c>
      <c r="AK139">
        <v>1.9529799886529984</v>
      </c>
      <c r="AL139">
        <v>20.258319560834003</v>
      </c>
    </row>
    <row r="140" spans="1:38" x14ac:dyDescent="0.35">
      <c r="A140" t="s">
        <v>191</v>
      </c>
      <c r="B140" t="s">
        <v>73</v>
      </c>
      <c r="C140">
        <v>1</v>
      </c>
      <c r="D140" t="s">
        <v>61</v>
      </c>
      <c r="E140">
        <v>8</v>
      </c>
      <c r="F140">
        <v>31</v>
      </c>
      <c r="G140" t="s">
        <v>11</v>
      </c>
      <c r="H140">
        <v>25</v>
      </c>
      <c r="I140">
        <v>28</v>
      </c>
      <c r="J140">
        <v>0.1923</v>
      </c>
      <c r="K140">
        <v>2.6001040041605727</v>
      </c>
      <c r="L140">
        <v>9.2515211405170633E-2</v>
      </c>
      <c r="M140">
        <v>1.2376233775602694</v>
      </c>
      <c r="N140">
        <v>0.86721911527684514</v>
      </c>
      <c r="O140">
        <v>18.342588579977452</v>
      </c>
      <c r="P140">
        <v>2.4895851742509696</v>
      </c>
      <c r="Q140">
        <v>3.9197763516000057</v>
      </c>
      <c r="R140">
        <v>0.74276847461952511</v>
      </c>
      <c r="S140">
        <v>0.41693799354591721</v>
      </c>
      <c r="T140">
        <v>7.7191031760480167</v>
      </c>
      <c r="U140">
        <v>21.302974795019132</v>
      </c>
      <c r="V140">
        <v>6.8104683206288676</v>
      </c>
      <c r="W140">
        <v>1.4184368912596439</v>
      </c>
      <c r="X140">
        <v>0.31577316831317059</v>
      </c>
      <c r="Y140">
        <v>0.17687582399212307</v>
      </c>
      <c r="Z140">
        <v>0.2053453747178155</v>
      </c>
      <c r="AA140">
        <v>1.2283503542052836</v>
      </c>
      <c r="AB140">
        <v>0.34630012517150649</v>
      </c>
      <c r="AC140">
        <v>0.82406154107036333</v>
      </c>
      <c r="AD140">
        <v>4.6849991711205732</v>
      </c>
      <c r="AE140">
        <v>9.7606131392035084E-2</v>
      </c>
      <c r="AF140">
        <v>0.20688688239539382</v>
      </c>
      <c r="AG140">
        <v>3.8141471097516133</v>
      </c>
      <c r="AH140">
        <v>7.5321947900459249E-2</v>
      </c>
      <c r="AI140">
        <v>0.31528666137428607</v>
      </c>
      <c r="AJ140">
        <v>0.83202277465055119</v>
      </c>
      <c r="AK140">
        <v>1.820670618644777</v>
      </c>
      <c r="AL140">
        <v>19.6963548541083</v>
      </c>
    </row>
    <row r="141" spans="1:38" x14ac:dyDescent="0.35">
      <c r="A141" t="s">
        <v>192</v>
      </c>
      <c r="B141" t="s">
        <v>73</v>
      </c>
      <c r="C141">
        <v>1</v>
      </c>
      <c r="D141" t="s">
        <v>61</v>
      </c>
      <c r="E141">
        <v>8</v>
      </c>
      <c r="F141">
        <v>31</v>
      </c>
      <c r="G141" t="s">
        <v>11</v>
      </c>
      <c r="H141">
        <v>27</v>
      </c>
      <c r="I141">
        <v>31</v>
      </c>
      <c r="J141">
        <v>0.25380000000000003</v>
      </c>
      <c r="K141">
        <v>0.98502758077206554</v>
      </c>
      <c r="L141">
        <v>7.9393879090431593E-2</v>
      </c>
      <c r="M141">
        <v>0.69663842681610189</v>
      </c>
      <c r="N141">
        <v>0.53037808843705148</v>
      </c>
      <c r="O141">
        <v>17.999849352895726</v>
      </c>
      <c r="P141">
        <v>2.0764560566187265</v>
      </c>
      <c r="Q141">
        <v>2.2642051615247865</v>
      </c>
      <c r="R141">
        <v>0.61746536366602689</v>
      </c>
      <c r="S141">
        <v>0.21635742742087713</v>
      </c>
      <c r="T141">
        <v>8.8268731930496251</v>
      </c>
      <c r="U141">
        <v>18.34233206344712</v>
      </c>
      <c r="V141">
        <v>5.2494686018685019</v>
      </c>
      <c r="W141">
        <v>0.99783840181748706</v>
      </c>
      <c r="X141">
        <v>0.14844597722899613</v>
      </c>
      <c r="Y141">
        <v>6.8885431330078711E-2</v>
      </c>
      <c r="Z141">
        <v>0.16651842579978571</v>
      </c>
      <c r="AA141">
        <v>0.86991283586113344</v>
      </c>
      <c r="AB141">
        <v>0.18348538819783392</v>
      </c>
      <c r="AC141">
        <v>0.73603930422472463</v>
      </c>
      <c r="AD141">
        <v>5.3614180642164975</v>
      </c>
      <c r="AE141">
        <v>9.7912178954807735E-2</v>
      </c>
      <c r="AF141">
        <v>0.15307115697334739</v>
      </c>
      <c r="AG141">
        <v>4.2128200404446208</v>
      </c>
      <c r="AH141">
        <v>6.8686415689566113E-2</v>
      </c>
      <c r="AI141">
        <v>0.29436100996963588</v>
      </c>
      <c r="AJ141">
        <v>0.77155761855465455</v>
      </c>
      <c r="AK141">
        <v>1.7200148250477769</v>
      </c>
      <c r="AL141">
        <v>27.249615310854107</v>
      </c>
    </row>
    <row r="142" spans="1:38" x14ac:dyDescent="0.35">
      <c r="A142" t="s">
        <v>193</v>
      </c>
      <c r="B142" t="s">
        <v>73</v>
      </c>
      <c r="C142">
        <v>1</v>
      </c>
      <c r="D142" t="s">
        <v>69</v>
      </c>
      <c r="E142">
        <v>8</v>
      </c>
      <c r="F142">
        <v>32</v>
      </c>
      <c r="G142" t="s">
        <v>8</v>
      </c>
      <c r="H142">
        <v>30</v>
      </c>
      <c r="I142">
        <v>36</v>
      </c>
      <c r="J142">
        <v>0.38779999999999998</v>
      </c>
      <c r="K142">
        <v>2.243424445590779</v>
      </c>
      <c r="L142">
        <v>5.1588608143874518E-2</v>
      </c>
      <c r="M142">
        <v>1.1959139842344835</v>
      </c>
      <c r="N142">
        <v>0.75347524908687158</v>
      </c>
      <c r="O142">
        <v>19.388724417236418</v>
      </c>
      <c r="P142">
        <v>1.9595184266756327</v>
      </c>
      <c r="Q142">
        <v>3.757875734292039</v>
      </c>
      <c r="R142">
        <v>0.81640458155484896</v>
      </c>
      <c r="S142">
        <v>0.58556744558533935</v>
      </c>
      <c r="T142">
        <v>8.1243609193231467</v>
      </c>
      <c r="U142">
        <v>19.970765742420301</v>
      </c>
      <c r="V142">
        <v>6.486626187680387</v>
      </c>
      <c r="W142">
        <v>1.5847367447855625</v>
      </c>
      <c r="X142">
        <v>0.20295817362729918</v>
      </c>
      <c r="Y142">
        <v>0.10647416941874915</v>
      </c>
      <c r="Z142">
        <v>0.20675318362609635</v>
      </c>
      <c r="AA142">
        <v>1.3094182416200062</v>
      </c>
      <c r="AB142">
        <v>1.1801373454452007</v>
      </c>
      <c r="AC142">
        <v>1.2112361079373566</v>
      </c>
      <c r="AD142">
        <v>4.547088855316054</v>
      </c>
      <c r="AE142">
        <v>4.9282421512157795E-2</v>
      </c>
      <c r="AF142">
        <v>0.16229778872070169</v>
      </c>
      <c r="AG142">
        <v>3.9276802789020686</v>
      </c>
      <c r="AH142">
        <v>9.8929982875246542E-2</v>
      </c>
      <c r="AI142">
        <v>0.26811577585503726</v>
      </c>
      <c r="AJ142">
        <v>0.71443278510971309</v>
      </c>
      <c r="AK142">
        <v>1.7469978667429908</v>
      </c>
      <c r="AL142">
        <v>19.592638982272433</v>
      </c>
    </row>
    <row r="143" spans="1:38" x14ac:dyDescent="0.35">
      <c r="A143" t="s">
        <v>194</v>
      </c>
      <c r="B143" t="s">
        <v>73</v>
      </c>
      <c r="C143">
        <v>1</v>
      </c>
      <c r="D143" t="s">
        <v>69</v>
      </c>
      <c r="E143">
        <v>8</v>
      </c>
      <c r="F143">
        <v>32</v>
      </c>
      <c r="G143" t="s">
        <v>8</v>
      </c>
      <c r="H143">
        <v>29</v>
      </c>
      <c r="I143">
        <v>34</v>
      </c>
      <c r="J143">
        <v>0.35570000000000002</v>
      </c>
      <c r="K143">
        <v>1.8836097835255474</v>
      </c>
      <c r="L143">
        <v>5.6389450767487033E-2</v>
      </c>
      <c r="M143">
        <v>1.3694310429573346</v>
      </c>
      <c r="N143">
        <v>0.69166898756163397</v>
      </c>
      <c r="O143">
        <v>17.234082029291969</v>
      </c>
      <c r="P143">
        <v>3.0060460205966906</v>
      </c>
      <c r="Q143">
        <v>5.0584561448323004</v>
      </c>
      <c r="R143">
        <v>0.74792634779089784</v>
      </c>
      <c r="S143">
        <v>0.73749009451677938</v>
      </c>
      <c r="T143">
        <v>7.9719397207690781</v>
      </c>
      <c r="U143">
        <v>23.266172027595101</v>
      </c>
      <c r="V143">
        <v>7.7204773120218322</v>
      </c>
      <c r="W143">
        <v>1.6300137529916514</v>
      </c>
      <c r="X143">
        <v>0.21310111493825712</v>
      </c>
      <c r="Y143">
        <v>0.19816827959212358</v>
      </c>
      <c r="Z143">
        <v>0.2109684031231949</v>
      </c>
      <c r="AA143">
        <v>1.4821791233667234</v>
      </c>
      <c r="AB143">
        <v>0.52470819837922822</v>
      </c>
      <c r="AC143">
        <v>0.91629335082813823</v>
      </c>
      <c r="AD143">
        <v>4.5756404606505621</v>
      </c>
      <c r="AE143">
        <v>5.6392202653700013E-2</v>
      </c>
      <c r="AF143">
        <v>0.13404988120685116</v>
      </c>
      <c r="AG143">
        <v>3.3362998850168375</v>
      </c>
      <c r="AH143">
        <v>7.318806496602337E-2</v>
      </c>
      <c r="AI143">
        <v>0.39026534782116307</v>
      </c>
      <c r="AJ143">
        <v>0.83850413211400632</v>
      </c>
      <c r="AK143">
        <v>1.6504343998237165</v>
      </c>
      <c r="AL143">
        <v>15.909714223826725</v>
      </c>
    </row>
    <row r="144" spans="1:38" x14ac:dyDescent="0.35">
      <c r="A144" t="s">
        <v>195</v>
      </c>
      <c r="B144" t="s">
        <v>73</v>
      </c>
      <c r="C144">
        <v>1</v>
      </c>
      <c r="D144" t="s">
        <v>69</v>
      </c>
      <c r="E144">
        <v>8</v>
      </c>
      <c r="F144">
        <v>32</v>
      </c>
      <c r="G144" t="s">
        <v>8</v>
      </c>
      <c r="H144">
        <v>30</v>
      </c>
      <c r="I144">
        <v>36</v>
      </c>
      <c r="J144">
        <v>0.3266</v>
      </c>
      <c r="K144">
        <v>2.2657685241887684</v>
      </c>
      <c r="L144">
        <v>7.9441083632263418E-2</v>
      </c>
      <c r="M144">
        <v>1.4034996922614886</v>
      </c>
      <c r="N144">
        <v>0.70249937145850461</v>
      </c>
      <c r="O144">
        <v>17.740028405658322</v>
      </c>
      <c r="P144">
        <v>3.2367317444489969</v>
      </c>
      <c r="Q144">
        <v>5.1740452182363734</v>
      </c>
      <c r="R144">
        <v>0.66611114552579198</v>
      </c>
      <c r="S144">
        <v>0.76549206033656791</v>
      </c>
      <c r="T144">
        <v>7.5134034634693032</v>
      </c>
      <c r="U144">
        <v>22.389507264691307</v>
      </c>
      <c r="V144">
        <v>7.3891524381724105</v>
      </c>
      <c r="W144">
        <v>1.2986410989078354</v>
      </c>
      <c r="X144">
        <v>0.15780334228457032</v>
      </c>
      <c r="Y144">
        <v>0.1743703094881619</v>
      </c>
      <c r="Z144">
        <v>0.23607651800857785</v>
      </c>
      <c r="AA144">
        <v>1.6165344500916679</v>
      </c>
      <c r="AB144">
        <v>0.59512986825685488</v>
      </c>
      <c r="AC144">
        <v>1.0518052062557623</v>
      </c>
      <c r="AD144">
        <v>4.4018866830378975</v>
      </c>
      <c r="AE144">
        <v>9.9597785663808183E-2</v>
      </c>
      <c r="AF144">
        <v>0.148976145637637</v>
      </c>
      <c r="AG144">
        <v>3.0561348454552197</v>
      </c>
      <c r="AH144">
        <v>6.0126676046914726E-2</v>
      </c>
      <c r="AI144">
        <v>0.29797379405107038</v>
      </c>
      <c r="AJ144">
        <v>0.66458629153931581</v>
      </c>
      <c r="AK144">
        <v>1.5686109064917211</v>
      </c>
      <c r="AL144">
        <v>17.511834190891683</v>
      </c>
    </row>
    <row r="145" spans="1:38" x14ac:dyDescent="0.35">
      <c r="A145" t="s">
        <v>196</v>
      </c>
      <c r="B145" t="s">
        <v>73</v>
      </c>
      <c r="C145">
        <v>1</v>
      </c>
      <c r="D145" t="s">
        <v>45</v>
      </c>
      <c r="E145">
        <v>8</v>
      </c>
      <c r="F145">
        <v>33</v>
      </c>
      <c r="G145" t="s">
        <v>12</v>
      </c>
      <c r="H145">
        <v>36</v>
      </c>
      <c r="I145">
        <v>44</v>
      </c>
      <c r="J145">
        <v>0.48480000000000001</v>
      </c>
      <c r="K145">
        <v>1.3820132013202089</v>
      </c>
      <c r="L145">
        <v>8.7044787086060338E-2</v>
      </c>
      <c r="M145">
        <v>0.98055515604196031</v>
      </c>
      <c r="N145">
        <v>0.50379078328440829</v>
      </c>
      <c r="O145">
        <v>17.438835651427823</v>
      </c>
      <c r="P145">
        <v>0.65143959450252009</v>
      </c>
      <c r="Q145">
        <v>2.7981412724332726</v>
      </c>
      <c r="R145">
        <v>1.1686419405308661</v>
      </c>
      <c r="S145">
        <v>0.69616871953591752</v>
      </c>
      <c r="T145">
        <v>9.6059072777388455</v>
      </c>
      <c r="U145">
        <v>14.807594604227081</v>
      </c>
      <c r="V145">
        <v>5.6818296724473401</v>
      </c>
      <c r="W145">
        <v>1.8904519907512831</v>
      </c>
      <c r="X145">
        <v>0.4776918425193325</v>
      </c>
      <c r="Y145">
        <v>0.12348559900930595</v>
      </c>
      <c r="Z145">
        <v>0.39710171999238142</v>
      </c>
      <c r="AA145">
        <v>0.85670702718551794</v>
      </c>
      <c r="AB145">
        <v>0.10192513527664167</v>
      </c>
      <c r="AC145">
        <v>0.55456887777042529</v>
      </c>
      <c r="AD145">
        <v>7.3608480148855726</v>
      </c>
      <c r="AE145">
        <v>0.20623631776118501</v>
      </c>
      <c r="AF145">
        <v>0.20085057668538583</v>
      </c>
      <c r="AG145">
        <v>5.5566238795213732</v>
      </c>
      <c r="AH145">
        <v>0.21153339506101523</v>
      </c>
      <c r="AI145">
        <v>0.804035494431111</v>
      </c>
      <c r="AJ145">
        <v>1.3900572634122119</v>
      </c>
      <c r="AK145">
        <v>2.4519281849897112</v>
      </c>
      <c r="AL145">
        <v>22.996005221491423</v>
      </c>
    </row>
    <row r="146" spans="1:38" x14ac:dyDescent="0.35">
      <c r="A146" t="s">
        <v>197</v>
      </c>
      <c r="B146" t="s">
        <v>73</v>
      </c>
      <c r="C146">
        <v>1</v>
      </c>
      <c r="D146" t="s">
        <v>45</v>
      </c>
      <c r="E146">
        <v>8</v>
      </c>
      <c r="F146">
        <v>39</v>
      </c>
      <c r="G146" t="s">
        <v>12</v>
      </c>
      <c r="H146">
        <v>35</v>
      </c>
      <c r="I146">
        <v>41</v>
      </c>
      <c r="J146">
        <v>0.43780000000000002</v>
      </c>
      <c r="K146">
        <v>1.6445865692095036</v>
      </c>
      <c r="L146">
        <v>6.790530381037517E-2</v>
      </c>
      <c r="M146">
        <v>0.89512781823004528</v>
      </c>
      <c r="N146">
        <v>0.54558357080232878</v>
      </c>
      <c r="O146">
        <v>19.315590044497334</v>
      </c>
      <c r="P146">
        <v>0.58021602955175799</v>
      </c>
      <c r="Q146">
        <v>2.9205903081913505</v>
      </c>
      <c r="R146">
        <v>1.2086499988394936</v>
      </c>
      <c r="S146">
        <v>0.65999989730871356</v>
      </c>
      <c r="T146">
        <v>9.382067734201657</v>
      </c>
      <c r="U146">
        <v>13.62498121749929</v>
      </c>
      <c r="V146">
        <v>5.4290696701849912</v>
      </c>
      <c r="W146">
        <v>2.0225743468633888</v>
      </c>
      <c r="X146">
        <v>0.55859402794443025</v>
      </c>
      <c r="Y146">
        <v>0.1441360214839012</v>
      </c>
      <c r="Z146">
        <v>0.34476803701900111</v>
      </c>
      <c r="AA146">
        <v>0.73548864873134012</v>
      </c>
      <c r="AB146">
        <v>0.84648522121429748</v>
      </c>
      <c r="AC146">
        <v>0.91598890976730185</v>
      </c>
      <c r="AD146">
        <v>7.7423006132544465</v>
      </c>
      <c r="AE146">
        <v>0.19413902151393109</v>
      </c>
      <c r="AF146">
        <v>0.23736368624651535</v>
      </c>
      <c r="AG146">
        <v>6.0937183017859073</v>
      </c>
      <c r="AH146">
        <v>0.16014631132445287</v>
      </c>
      <c r="AI146">
        <v>0.51071826094224493</v>
      </c>
      <c r="AJ146">
        <v>1.3376814818369998</v>
      </c>
      <c r="AK146">
        <v>2.0384717631147082</v>
      </c>
      <c r="AL146">
        <v>21.487643753839798</v>
      </c>
    </row>
    <row r="147" spans="1:38" x14ac:dyDescent="0.35">
      <c r="A147" t="s">
        <v>198</v>
      </c>
      <c r="B147" t="s">
        <v>73</v>
      </c>
      <c r="C147">
        <v>1</v>
      </c>
      <c r="D147" t="s">
        <v>45</v>
      </c>
      <c r="E147">
        <v>8</v>
      </c>
      <c r="F147">
        <v>39</v>
      </c>
      <c r="G147" t="s">
        <v>12</v>
      </c>
      <c r="H147">
        <v>34</v>
      </c>
      <c r="I147">
        <v>41</v>
      </c>
      <c r="J147">
        <v>0.39340000000000003</v>
      </c>
      <c r="K147">
        <v>1.9827147941025889</v>
      </c>
      <c r="L147">
        <v>3.8452543818559864E-2</v>
      </c>
      <c r="M147">
        <v>0.69901257475816903</v>
      </c>
      <c r="N147">
        <v>0.46951029825276414</v>
      </c>
      <c r="O147">
        <v>19.287556152149502</v>
      </c>
      <c r="P147">
        <v>0.80312493290167786</v>
      </c>
      <c r="Q147">
        <v>2.4260493525169315</v>
      </c>
      <c r="R147">
        <v>1.070338038280896</v>
      </c>
      <c r="S147">
        <v>0.63419908087631682</v>
      </c>
      <c r="T147">
        <v>9.1093945093696505</v>
      </c>
      <c r="U147">
        <v>13.911777537797455</v>
      </c>
      <c r="V147">
        <v>4.8503750834251624</v>
      </c>
      <c r="W147">
        <v>1.7389322817645101</v>
      </c>
      <c r="X147">
        <v>0.41189708876082332</v>
      </c>
      <c r="Y147">
        <v>9.0543166164161165E-2</v>
      </c>
      <c r="Z147">
        <v>0.25800271881718018</v>
      </c>
      <c r="AA147">
        <v>0.75497104918910274</v>
      </c>
      <c r="AB147">
        <v>0.8445957280506784</v>
      </c>
      <c r="AC147">
        <v>0.5971687344604113</v>
      </c>
      <c r="AD147">
        <v>7.6945362576379912</v>
      </c>
      <c r="AE147">
        <v>0.16299650621644779</v>
      </c>
      <c r="AF147">
        <v>0.20198191846214258</v>
      </c>
      <c r="AG147">
        <v>6.0526057114828067</v>
      </c>
      <c r="AH147">
        <v>9.0549726787751056E-2</v>
      </c>
      <c r="AI147">
        <v>0.50820522066506191</v>
      </c>
      <c r="AJ147">
        <v>1.2932454301621017</v>
      </c>
      <c r="AK147">
        <v>2.2174422976662589</v>
      </c>
      <c r="AL147">
        <v>23.782536059565476</v>
      </c>
    </row>
    <row r="148" spans="1:38" x14ac:dyDescent="0.35">
      <c r="A148" t="s">
        <v>199</v>
      </c>
      <c r="B148" t="s">
        <v>73</v>
      </c>
      <c r="C148">
        <v>1</v>
      </c>
      <c r="D148" t="s">
        <v>49</v>
      </c>
      <c r="E148">
        <v>8</v>
      </c>
      <c r="F148">
        <v>34</v>
      </c>
      <c r="G148" t="s">
        <v>13</v>
      </c>
      <c r="H148">
        <v>33</v>
      </c>
      <c r="I148">
        <v>39</v>
      </c>
      <c r="J148">
        <v>0.38529999999999998</v>
      </c>
      <c r="K148">
        <v>1.2976901116010915</v>
      </c>
      <c r="L148">
        <v>3.9608223488459403E-2</v>
      </c>
      <c r="M148">
        <v>1.095165063106996</v>
      </c>
      <c r="N148">
        <v>0.79532141833669157</v>
      </c>
      <c r="O148">
        <v>18.731426008002455</v>
      </c>
      <c r="P148">
        <v>1.9583346908312891</v>
      </c>
      <c r="Q148">
        <v>4.0276503576065057</v>
      </c>
      <c r="R148">
        <v>0.96542434664315846</v>
      </c>
      <c r="S148">
        <v>0.65788908069264973</v>
      </c>
      <c r="T148">
        <v>8.3232700562203092</v>
      </c>
      <c r="U148">
        <v>16.825656659317637</v>
      </c>
      <c r="V148">
        <v>6.2000744353685553</v>
      </c>
      <c r="W148">
        <v>1.6974701626145754</v>
      </c>
      <c r="X148">
        <v>0.45511254039909738</v>
      </c>
      <c r="Y148">
        <v>0.21363283120428142</v>
      </c>
      <c r="Z148">
        <v>0.26721803827504731</v>
      </c>
      <c r="AA148">
        <v>0.96044251798070068</v>
      </c>
      <c r="AB148">
        <v>1.0780573157709106</v>
      </c>
      <c r="AC148">
        <v>0.72335279351762061</v>
      </c>
      <c r="AD148">
        <v>5.9058105058407513</v>
      </c>
      <c r="AE148">
        <v>0.10041641071430883</v>
      </c>
      <c r="AF148">
        <v>0.18959450079970272</v>
      </c>
      <c r="AG148">
        <v>4.4670919583969653</v>
      </c>
      <c r="AH148">
        <v>8.8756111741141258E-2</v>
      </c>
      <c r="AI148">
        <v>0.41828527840927676</v>
      </c>
      <c r="AJ148">
        <v>1.2717084484814716</v>
      </c>
      <c r="AK148">
        <v>1.946410529504436</v>
      </c>
      <c r="AL148">
        <v>20.596819716735041</v>
      </c>
    </row>
    <row r="149" spans="1:38" x14ac:dyDescent="0.35">
      <c r="A149" t="s">
        <v>200</v>
      </c>
      <c r="B149" t="s">
        <v>73</v>
      </c>
      <c r="C149">
        <v>1</v>
      </c>
      <c r="D149" t="s">
        <v>49</v>
      </c>
      <c r="E149">
        <v>8</v>
      </c>
      <c r="F149">
        <v>34</v>
      </c>
      <c r="G149" t="s">
        <v>13</v>
      </c>
      <c r="H149">
        <v>34</v>
      </c>
      <c r="I149">
        <v>38</v>
      </c>
      <c r="J149">
        <v>0.38769999999999999</v>
      </c>
      <c r="K149">
        <v>1.5733814805261785</v>
      </c>
      <c r="L149">
        <v>4.8647016754471056E-2</v>
      </c>
      <c r="M149">
        <v>1.2863600750072708</v>
      </c>
      <c r="N149">
        <v>0.86560996921368294</v>
      </c>
      <c r="O149">
        <v>19.308562199603472</v>
      </c>
      <c r="P149">
        <v>2.0188137533830375</v>
      </c>
      <c r="Q149">
        <v>4.4291174571323442</v>
      </c>
      <c r="R149">
        <v>0.98862660692281012</v>
      </c>
      <c r="S149">
        <v>0.72555678053851635</v>
      </c>
      <c r="T149">
        <v>8.2302849732117913</v>
      </c>
      <c r="U149">
        <v>17.849294355452638</v>
      </c>
      <c r="V149">
        <v>6.7032889477292708</v>
      </c>
      <c r="W149">
        <v>1.7767862902600304</v>
      </c>
      <c r="X149">
        <v>0.45514217503218607</v>
      </c>
      <c r="Y149">
        <v>0.23538081006709724</v>
      </c>
      <c r="Z149">
        <v>0.26188305946672419</v>
      </c>
      <c r="AA149">
        <v>0.98238612768812927</v>
      </c>
      <c r="AB149">
        <v>1.0303961577264604</v>
      </c>
      <c r="AC149">
        <v>0.82603432578280811</v>
      </c>
      <c r="AD149">
        <v>5.5808605321803135</v>
      </c>
      <c r="AE149">
        <v>0.10999585195577503</v>
      </c>
      <c r="AF149">
        <v>0.1577328876871894</v>
      </c>
      <c r="AG149">
        <v>4.1070130858256979</v>
      </c>
      <c r="AH149">
        <v>9.7872250617342713E-2</v>
      </c>
      <c r="AI149">
        <v>0.35841924940490194</v>
      </c>
      <c r="AJ149">
        <v>1.2240131043713014</v>
      </c>
      <c r="AK149">
        <v>1.7153165982041017</v>
      </c>
      <c r="AL149">
        <v>18.626605358780601</v>
      </c>
    </row>
    <row r="150" spans="1:38" x14ac:dyDescent="0.35">
      <c r="A150" t="s">
        <v>201</v>
      </c>
      <c r="B150" t="s">
        <v>73</v>
      </c>
      <c r="C150">
        <v>1</v>
      </c>
      <c r="D150" t="s">
        <v>49</v>
      </c>
      <c r="E150">
        <v>8</v>
      </c>
      <c r="F150">
        <v>34</v>
      </c>
      <c r="G150" t="s">
        <v>13</v>
      </c>
      <c r="H150">
        <v>34</v>
      </c>
      <c r="I150">
        <v>37</v>
      </c>
      <c r="J150">
        <v>0.3972</v>
      </c>
      <c r="K150">
        <v>1.8126888217525134</v>
      </c>
      <c r="L150">
        <v>5.1675862649391786E-2</v>
      </c>
      <c r="M150">
        <v>1.2905148248475278</v>
      </c>
      <c r="N150">
        <v>0.85955385088886394</v>
      </c>
      <c r="O150">
        <v>17.888873288138857</v>
      </c>
      <c r="P150">
        <v>1.983759150909848</v>
      </c>
      <c r="Q150">
        <v>4.6883291856885316</v>
      </c>
      <c r="R150">
        <v>0.9694241691878589</v>
      </c>
      <c r="S150">
        <v>0.80096849053164598</v>
      </c>
      <c r="T150">
        <v>8.1607212059533065</v>
      </c>
      <c r="U150">
        <v>19.176373955648845</v>
      </c>
      <c r="V150">
        <v>7.011137940025554</v>
      </c>
      <c r="W150">
        <v>1.8344585936982514</v>
      </c>
      <c r="X150">
        <v>0.51920949093855862</v>
      </c>
      <c r="Y150">
        <v>0.28123603604628511</v>
      </c>
      <c r="Z150">
        <v>0.26303036757323189</v>
      </c>
      <c r="AA150">
        <v>1.1851998775242569</v>
      </c>
      <c r="AB150">
        <v>0.3329430023743678</v>
      </c>
      <c r="AC150">
        <v>0.63645691648773228</v>
      </c>
      <c r="AD150">
        <v>5.6667504893234684</v>
      </c>
      <c r="AE150">
        <v>8.2408933100934723E-2</v>
      </c>
      <c r="AF150">
        <v>0.18181444506343986</v>
      </c>
      <c r="AG150">
        <v>4.4137978375336075</v>
      </c>
      <c r="AH150">
        <v>0.11143999971089392</v>
      </c>
      <c r="AI150">
        <v>0.44275032254448898</v>
      </c>
      <c r="AJ150">
        <v>1.3343306824555403</v>
      </c>
      <c r="AK150">
        <v>2.3288702814147766</v>
      </c>
      <c r="AL150">
        <v>17.503970799739918</v>
      </c>
    </row>
    <row r="151" spans="1:38" x14ac:dyDescent="0.35">
      <c r="A151" t="s">
        <v>202</v>
      </c>
      <c r="B151" t="s">
        <v>73</v>
      </c>
      <c r="C151">
        <v>1</v>
      </c>
      <c r="D151" t="s">
        <v>49</v>
      </c>
      <c r="E151">
        <v>8</v>
      </c>
      <c r="F151">
        <v>35</v>
      </c>
      <c r="G151" t="s">
        <v>13</v>
      </c>
      <c r="H151">
        <v>32</v>
      </c>
      <c r="I151">
        <v>37</v>
      </c>
      <c r="J151">
        <v>0.38159999999999999</v>
      </c>
      <c r="K151">
        <v>1.5461215932915253</v>
      </c>
      <c r="L151">
        <v>5.1762376359694953E-2</v>
      </c>
      <c r="M151">
        <v>1.1835232586338049</v>
      </c>
      <c r="N151">
        <v>0.81980787610464334</v>
      </c>
      <c r="O151">
        <v>18.745002908462304</v>
      </c>
      <c r="P151">
        <v>1.9101281006045916</v>
      </c>
      <c r="Q151">
        <v>4.444049858842388</v>
      </c>
      <c r="R151">
        <v>0.95289152789507181</v>
      </c>
      <c r="S151">
        <v>0.65599670373167784</v>
      </c>
      <c r="T151">
        <v>8.3129768591397806</v>
      </c>
      <c r="U151">
        <v>17.903381979385667</v>
      </c>
      <c r="V151">
        <v>6.6293223708725444</v>
      </c>
      <c r="W151">
        <v>1.7271805024084843</v>
      </c>
      <c r="X151">
        <v>0.42068120691226046</v>
      </c>
      <c r="Y151">
        <v>0.26416215322788944</v>
      </c>
      <c r="Z151">
        <v>0.22905942771815788</v>
      </c>
      <c r="AA151">
        <v>1.0966833454299691</v>
      </c>
      <c r="AB151">
        <v>0.79075937894163284</v>
      </c>
      <c r="AC151">
        <v>0.98200664244997471</v>
      </c>
      <c r="AD151">
        <v>5.5390992553070468</v>
      </c>
      <c r="AE151">
        <v>0.10657423840495296</v>
      </c>
      <c r="AF151">
        <v>0.16811975990826822</v>
      </c>
      <c r="AG151">
        <v>4.6288975441415632</v>
      </c>
      <c r="AH151">
        <v>9.7479141547739456E-2</v>
      </c>
      <c r="AI151">
        <v>0.35401509483814314</v>
      </c>
      <c r="AJ151">
        <v>1.1701490714944149</v>
      </c>
      <c r="AK151">
        <v>1.9052932025303611</v>
      </c>
      <c r="AL151">
        <v>18.910996214706998</v>
      </c>
    </row>
    <row r="152" spans="1:38" x14ac:dyDescent="0.35">
      <c r="A152" t="s">
        <v>203</v>
      </c>
      <c r="B152" t="s">
        <v>73</v>
      </c>
      <c r="C152">
        <v>1</v>
      </c>
      <c r="D152" t="s">
        <v>49</v>
      </c>
      <c r="E152">
        <v>8</v>
      </c>
      <c r="F152">
        <v>35</v>
      </c>
      <c r="G152" t="s">
        <v>13</v>
      </c>
      <c r="H152">
        <v>29</v>
      </c>
      <c r="I152">
        <v>34</v>
      </c>
      <c r="J152">
        <v>0.28000000000000003</v>
      </c>
      <c r="K152">
        <v>2.6428571428566929</v>
      </c>
      <c r="L152">
        <v>7.417694885691363E-2</v>
      </c>
      <c r="M152">
        <v>0.96910729055396994</v>
      </c>
      <c r="N152">
        <v>0.71050451063698328</v>
      </c>
      <c r="O152">
        <v>18.773315376078209</v>
      </c>
      <c r="P152">
        <v>1.796772603665536</v>
      </c>
      <c r="Q152">
        <v>3.1499886579094305</v>
      </c>
      <c r="R152">
        <v>0.94006149109121251</v>
      </c>
      <c r="S152">
        <v>0.62807423058931977</v>
      </c>
      <c r="T152">
        <v>9.2807521178807786</v>
      </c>
      <c r="U152">
        <v>16.077481571963155</v>
      </c>
      <c r="V152">
        <v>5.5954654256806613</v>
      </c>
      <c r="W152">
        <v>1.5211983199529093</v>
      </c>
      <c r="X152">
        <v>0.35611604567827249</v>
      </c>
      <c r="Y152">
        <v>0.17529792710560613</v>
      </c>
      <c r="Z152">
        <v>0.34969732054985903</v>
      </c>
      <c r="AA152">
        <v>0.96303519974469165</v>
      </c>
      <c r="AB152">
        <v>0.34081821058251338</v>
      </c>
      <c r="AC152">
        <v>0.69150511620474264</v>
      </c>
      <c r="AD152">
        <v>6.0571004723687309</v>
      </c>
      <c r="AE152">
        <v>0.15277787811403662</v>
      </c>
      <c r="AF152">
        <v>0.20639198396795511</v>
      </c>
      <c r="AG152">
        <v>4.5413931914574235</v>
      </c>
      <c r="AH152">
        <v>8.6819916494594473E-2</v>
      </c>
      <c r="AI152">
        <v>0.42000498378683865</v>
      </c>
      <c r="AJ152">
        <v>1.5260272395231684</v>
      </c>
      <c r="AK152">
        <v>2.0165068141338511</v>
      </c>
      <c r="AL152">
        <v>22.599609155428638</v>
      </c>
    </row>
    <row r="153" spans="1:38" x14ac:dyDescent="0.35">
      <c r="A153" t="s">
        <v>204</v>
      </c>
      <c r="B153" t="s">
        <v>73</v>
      </c>
      <c r="C153">
        <v>1</v>
      </c>
      <c r="D153" t="s">
        <v>49</v>
      </c>
      <c r="E153">
        <v>8</v>
      </c>
      <c r="F153">
        <v>35</v>
      </c>
      <c r="G153" t="s">
        <v>13</v>
      </c>
      <c r="H153">
        <v>34</v>
      </c>
      <c r="I153">
        <v>40</v>
      </c>
      <c r="J153">
        <v>0.4758</v>
      </c>
      <c r="K153">
        <v>1.9546027742752035</v>
      </c>
      <c r="L153">
        <v>6.3708596477420748E-2</v>
      </c>
      <c r="M153">
        <v>1.3854467959617658</v>
      </c>
      <c r="N153">
        <v>0.86744033515386021</v>
      </c>
      <c r="O153">
        <v>18.150494218319945</v>
      </c>
      <c r="P153">
        <v>2.1422059935921145</v>
      </c>
      <c r="Q153">
        <v>4.8407608347201991</v>
      </c>
      <c r="R153">
        <v>0.94992830033449127</v>
      </c>
      <c r="S153">
        <v>0.84236537718490512</v>
      </c>
      <c r="T153">
        <v>8.0944564352701303</v>
      </c>
      <c r="U153">
        <v>19.032855139473966</v>
      </c>
      <c r="V153">
        <v>7.0199967617049435</v>
      </c>
      <c r="W153">
        <v>1.835664101493915</v>
      </c>
      <c r="X153">
        <v>0.5056249228808517</v>
      </c>
      <c r="Y153">
        <v>0.29922570805196397</v>
      </c>
      <c r="Z153">
        <v>0.30870231285678279</v>
      </c>
      <c r="AA153">
        <v>1.1757506716561856</v>
      </c>
      <c r="AB153">
        <v>0.43688677222061989</v>
      </c>
      <c r="AC153">
        <v>0.88146137789475854</v>
      </c>
      <c r="AD153">
        <v>5.6883114037580667</v>
      </c>
      <c r="AE153">
        <v>0.10352787244193826</v>
      </c>
      <c r="AF153">
        <v>0.20950438355014919</v>
      </c>
      <c r="AG153">
        <v>4.893730735344394</v>
      </c>
      <c r="AH153">
        <v>0.11765206685506226</v>
      </c>
      <c r="AI153">
        <v>0.46453172376434826</v>
      </c>
      <c r="AJ153">
        <v>1.2559095327554175</v>
      </c>
      <c r="AK153">
        <v>2.4177641572264603</v>
      </c>
      <c r="AL153">
        <v>16.016093469055324</v>
      </c>
    </row>
    <row r="154" spans="1:38" x14ac:dyDescent="0.35">
      <c r="A154" t="s">
        <v>205</v>
      </c>
      <c r="B154" t="s">
        <v>73</v>
      </c>
      <c r="C154">
        <v>1</v>
      </c>
      <c r="D154" t="s">
        <v>65</v>
      </c>
      <c r="E154">
        <v>8</v>
      </c>
      <c r="F154">
        <v>36</v>
      </c>
      <c r="G154" t="s">
        <v>7</v>
      </c>
      <c r="H154">
        <v>30</v>
      </c>
      <c r="I154">
        <v>35</v>
      </c>
      <c r="J154">
        <v>0.3327</v>
      </c>
      <c r="K154">
        <v>1.7433122933575875</v>
      </c>
      <c r="L154">
        <v>4.6901443975643886E-2</v>
      </c>
      <c r="M154">
        <v>1.1109898176528774</v>
      </c>
      <c r="N154">
        <v>0.4203568657996285</v>
      </c>
      <c r="O154">
        <v>19.364163752385636</v>
      </c>
      <c r="P154">
        <v>2.2092244684359348</v>
      </c>
      <c r="Q154">
        <v>4.0348037628809701</v>
      </c>
      <c r="R154">
        <v>0.95747002446460561</v>
      </c>
      <c r="S154">
        <v>0.87267958485766106</v>
      </c>
      <c r="T154">
        <v>9.1446690320707287</v>
      </c>
      <c r="U154">
        <v>17.705549453812754</v>
      </c>
      <c r="V154">
        <v>6.1801219824320714</v>
      </c>
      <c r="W154">
        <v>1.9930168196966611</v>
      </c>
      <c r="X154">
        <v>0.27554894224834353</v>
      </c>
      <c r="Y154">
        <v>0.23948128386607564</v>
      </c>
      <c r="Z154">
        <v>0.39171658320240593</v>
      </c>
      <c r="AA154">
        <v>1.163772421239915</v>
      </c>
      <c r="AB154">
        <v>0.54590988707521459</v>
      </c>
      <c r="AC154">
        <v>1.2836617893387026</v>
      </c>
      <c r="AD154">
        <v>5.9754895169893114</v>
      </c>
      <c r="AE154">
        <v>5.9175595588669361E-2</v>
      </c>
      <c r="AF154">
        <v>0.18806044027715016</v>
      </c>
      <c r="AG154">
        <v>3.3229016294501248</v>
      </c>
      <c r="AH154">
        <v>7.2709676671906073E-2</v>
      </c>
      <c r="AI154">
        <v>0.44456037443120838</v>
      </c>
      <c r="AJ154">
        <v>1.7795916454697638</v>
      </c>
      <c r="AK154">
        <v>1.5873168505379118</v>
      </c>
      <c r="AL154">
        <v>18.630156355148113</v>
      </c>
    </row>
    <row r="155" spans="1:38" x14ac:dyDescent="0.35">
      <c r="A155" t="s">
        <v>206</v>
      </c>
      <c r="B155" t="s">
        <v>73</v>
      </c>
      <c r="C155">
        <v>1</v>
      </c>
      <c r="D155" t="s">
        <v>65</v>
      </c>
      <c r="E155">
        <v>8</v>
      </c>
      <c r="F155">
        <v>36</v>
      </c>
      <c r="G155" t="s">
        <v>7</v>
      </c>
      <c r="H155">
        <v>25</v>
      </c>
      <c r="I155">
        <v>30</v>
      </c>
      <c r="J155">
        <v>0.2261</v>
      </c>
      <c r="K155">
        <v>2.7421494913753919</v>
      </c>
      <c r="L155">
        <v>3.67614303410434E-2</v>
      </c>
      <c r="M155">
        <v>1.1313312990401614</v>
      </c>
      <c r="N155">
        <v>0.34104191813630486</v>
      </c>
      <c r="O155">
        <v>17.867579112364762</v>
      </c>
      <c r="P155">
        <v>2.3095700109453228</v>
      </c>
      <c r="Q155">
        <v>4.139014478806966</v>
      </c>
      <c r="R155">
        <v>0.84338941114774302</v>
      </c>
      <c r="S155">
        <v>0.89850666986500138</v>
      </c>
      <c r="T155">
        <v>8.8073140286339342</v>
      </c>
      <c r="U155">
        <v>19.512758399655183</v>
      </c>
      <c r="V155">
        <v>6.5661250988907485</v>
      </c>
      <c r="W155">
        <v>1.9983626055256689</v>
      </c>
      <c r="X155">
        <v>0.27602139304630852</v>
      </c>
      <c r="Y155">
        <v>0.22854689682339407</v>
      </c>
      <c r="Z155">
        <v>0.26130406992314509</v>
      </c>
      <c r="AA155">
        <v>1.237574981324697</v>
      </c>
      <c r="AB155">
        <v>0.75287362361137311</v>
      </c>
      <c r="AC155">
        <v>1.5225338094231136</v>
      </c>
      <c r="AD155">
        <v>6.0150050815758052</v>
      </c>
      <c r="AE155">
        <v>6.52459043732702E-2</v>
      </c>
      <c r="AF155">
        <v>0.18082017713458259</v>
      </c>
      <c r="AG155">
        <v>3.4463092942764475</v>
      </c>
      <c r="AH155">
        <v>5.1862401574196526E-2</v>
      </c>
      <c r="AI155">
        <v>0.55442185177759706</v>
      </c>
      <c r="AJ155">
        <v>1.9458302178935023</v>
      </c>
      <c r="AK155">
        <v>1.8228598135656966</v>
      </c>
      <c r="AL155">
        <v>17.187036020323966</v>
      </c>
    </row>
    <row r="156" spans="1:38" x14ac:dyDescent="0.35">
      <c r="A156" t="s">
        <v>207</v>
      </c>
      <c r="B156" t="s">
        <v>73</v>
      </c>
      <c r="C156">
        <v>1</v>
      </c>
      <c r="D156" t="s">
        <v>65</v>
      </c>
      <c r="E156">
        <v>8</v>
      </c>
      <c r="F156">
        <v>36</v>
      </c>
      <c r="G156" t="s">
        <v>7</v>
      </c>
      <c r="H156">
        <v>28</v>
      </c>
      <c r="I156">
        <v>32</v>
      </c>
      <c r="J156">
        <v>0.2949</v>
      </c>
      <c r="K156">
        <v>1.5937605968129809</v>
      </c>
      <c r="L156">
        <v>9.5430621441404878E-2</v>
      </c>
      <c r="M156">
        <v>1.1926972836394736</v>
      </c>
      <c r="N156">
        <v>0.31298924914359849</v>
      </c>
      <c r="O156">
        <v>18.240708314650018</v>
      </c>
      <c r="P156">
        <v>2.8309374995112839</v>
      </c>
      <c r="Q156">
        <v>5.0357823005496467</v>
      </c>
      <c r="R156">
        <v>0.6491349499594059</v>
      </c>
      <c r="S156">
        <v>0.91030641037283888</v>
      </c>
      <c r="T156">
        <v>7.6655572639919463</v>
      </c>
      <c r="U156">
        <v>24.126880479722239</v>
      </c>
      <c r="V156">
        <v>6.9558132931707508</v>
      </c>
      <c r="W156">
        <v>1.6343304961376148</v>
      </c>
      <c r="X156">
        <v>0.17030520945241479</v>
      </c>
      <c r="Y156">
        <v>0.27213322346354096</v>
      </c>
      <c r="Z156">
        <v>0.26479095165015076</v>
      </c>
      <c r="AA156">
        <v>1.9267178862985848</v>
      </c>
      <c r="AB156">
        <v>0.6114227026405008</v>
      </c>
      <c r="AC156">
        <v>1.1260487459492117</v>
      </c>
      <c r="AD156">
        <v>4.9994295446136636</v>
      </c>
      <c r="AE156">
        <v>3.7613322317258502E-2</v>
      </c>
      <c r="AF156">
        <v>0.15193789168345143</v>
      </c>
      <c r="AG156">
        <v>2.6591935131966848</v>
      </c>
      <c r="AH156">
        <v>0.10048161564312687</v>
      </c>
      <c r="AI156">
        <v>0.44794113613254938</v>
      </c>
      <c r="AJ156">
        <v>1.573132289604251</v>
      </c>
      <c r="AK156">
        <v>1.4031565876940857</v>
      </c>
      <c r="AL156">
        <v>14.605127217370265</v>
      </c>
    </row>
    <row r="157" spans="1:38" x14ac:dyDescent="0.35">
      <c r="A157" t="s">
        <v>208</v>
      </c>
      <c r="B157" t="s">
        <v>73</v>
      </c>
      <c r="C157">
        <v>1</v>
      </c>
      <c r="D157" t="s">
        <v>53</v>
      </c>
      <c r="E157">
        <v>8</v>
      </c>
      <c r="F157">
        <v>37</v>
      </c>
      <c r="G157" t="s">
        <v>10</v>
      </c>
      <c r="H157">
        <v>26</v>
      </c>
      <c r="I157">
        <v>31</v>
      </c>
      <c r="J157">
        <v>0.14410000000000001</v>
      </c>
      <c r="K157">
        <v>1.7349063150586417</v>
      </c>
      <c r="L157">
        <v>5.1040576494024215E-2</v>
      </c>
      <c r="M157">
        <v>0.66545535429497227</v>
      </c>
      <c r="N157">
        <v>0.42082281355816303</v>
      </c>
      <c r="O157">
        <v>20.865543307690594</v>
      </c>
      <c r="P157">
        <v>1.6124699646194627</v>
      </c>
      <c r="Q157">
        <v>2.2039514549876209</v>
      </c>
      <c r="R157">
        <v>0.69650492252754714</v>
      </c>
      <c r="S157">
        <v>0.50877342995916452</v>
      </c>
      <c r="T157">
        <v>9.5431926304429684</v>
      </c>
      <c r="U157">
        <v>16.743235097091961</v>
      </c>
      <c r="V157">
        <v>4.3282557092583485</v>
      </c>
      <c r="W157">
        <v>0.85867675441038438</v>
      </c>
      <c r="X157">
        <v>0.12821055601942971</v>
      </c>
      <c r="Y157">
        <v>7.2727842048522937E-2</v>
      </c>
      <c r="Z157">
        <v>0.32768893142553318</v>
      </c>
      <c r="AA157">
        <v>0.7833030844924187</v>
      </c>
      <c r="AB157">
        <v>1.1738295014068925</v>
      </c>
      <c r="AC157">
        <v>0.66266500641585435</v>
      </c>
      <c r="AD157">
        <v>5.0573026470414639</v>
      </c>
      <c r="AE157">
        <v>7.2015432513648545E-2</v>
      </c>
      <c r="AF157">
        <v>0.16798413022068104</v>
      </c>
      <c r="AG157">
        <v>4.1166598868871516</v>
      </c>
      <c r="AH157">
        <v>5.781634156303761E-2</v>
      </c>
      <c r="AI157">
        <v>0.28266816918068166</v>
      </c>
      <c r="AJ157">
        <v>0.8120996228305668</v>
      </c>
      <c r="AK157">
        <v>1.4495477403786954</v>
      </c>
      <c r="AL157">
        <v>26.337559092240163</v>
      </c>
    </row>
    <row r="158" spans="1:38" x14ac:dyDescent="0.35">
      <c r="A158" t="s">
        <v>209</v>
      </c>
      <c r="B158" t="s">
        <v>73</v>
      </c>
      <c r="C158">
        <v>1</v>
      </c>
      <c r="D158" t="s">
        <v>53</v>
      </c>
      <c r="E158">
        <v>8</v>
      </c>
      <c r="F158">
        <v>37</v>
      </c>
      <c r="G158" t="s">
        <v>10</v>
      </c>
      <c r="H158">
        <v>27</v>
      </c>
      <c r="I158">
        <v>32</v>
      </c>
      <c r="J158">
        <v>0.23219999999999999</v>
      </c>
      <c r="K158">
        <v>1.9379844961241046</v>
      </c>
      <c r="L158">
        <v>4.0000792993977199E-2</v>
      </c>
      <c r="M158">
        <v>1.0694071968256973</v>
      </c>
      <c r="N158">
        <v>0.71906033517177514</v>
      </c>
      <c r="O158">
        <v>19.728788479353494</v>
      </c>
      <c r="P158">
        <v>2.1475083621346549</v>
      </c>
      <c r="Q158">
        <v>4.3300631002734686</v>
      </c>
      <c r="R158">
        <v>0.94621345196346607</v>
      </c>
      <c r="S158">
        <v>0.7926632305748762</v>
      </c>
      <c r="T158">
        <v>8.6128749147235233</v>
      </c>
      <c r="U158">
        <v>17.718021706961345</v>
      </c>
      <c r="V158">
        <v>6.27080295080735</v>
      </c>
      <c r="W158">
        <v>1.7282074105829766</v>
      </c>
      <c r="X158">
        <v>0.23509582362317002</v>
      </c>
      <c r="Y158">
        <v>0.18380376349850713</v>
      </c>
      <c r="Z158">
        <v>0.28526158972606958</v>
      </c>
      <c r="AA158">
        <v>1.08058794909842</v>
      </c>
      <c r="AB158">
        <v>0.38641579932218961</v>
      </c>
      <c r="AC158">
        <v>0.86848559946117576</v>
      </c>
      <c r="AD158">
        <v>5.106298317160733</v>
      </c>
      <c r="AE158">
        <v>4.4025209500363073E-2</v>
      </c>
      <c r="AF158">
        <v>0.18136365926998965</v>
      </c>
      <c r="AG158">
        <v>4.594689531267826</v>
      </c>
      <c r="AH158">
        <v>8.2785602879156997E-2</v>
      </c>
      <c r="AI158">
        <v>0.31060101087741082</v>
      </c>
      <c r="AJ158">
        <v>0.80543507762577571</v>
      </c>
      <c r="AK158">
        <v>1.8636882532093759</v>
      </c>
      <c r="AL158">
        <v>19.867850881113213</v>
      </c>
    </row>
    <row r="159" spans="1:38" x14ac:dyDescent="0.35">
      <c r="A159" t="s">
        <v>210</v>
      </c>
      <c r="B159" t="s">
        <v>73</v>
      </c>
      <c r="C159">
        <v>1</v>
      </c>
      <c r="D159" t="s">
        <v>53</v>
      </c>
      <c r="E159">
        <v>8</v>
      </c>
      <c r="F159">
        <v>37</v>
      </c>
      <c r="G159" t="s">
        <v>10</v>
      </c>
      <c r="H159">
        <v>33</v>
      </c>
      <c r="I159">
        <v>39</v>
      </c>
      <c r="J159">
        <v>0.44829999999999998</v>
      </c>
      <c r="K159">
        <v>1.6506803479813781</v>
      </c>
      <c r="L159">
        <v>4.2172907051348851E-2</v>
      </c>
      <c r="M159">
        <v>1.3944976627620083</v>
      </c>
      <c r="N159">
        <v>0.70476662539023505</v>
      </c>
      <c r="O159">
        <v>17.466516155385207</v>
      </c>
      <c r="P159">
        <v>2.1826701419838139</v>
      </c>
      <c r="Q159">
        <v>4.6921199783279075</v>
      </c>
      <c r="R159">
        <v>0.85288864089836414</v>
      </c>
      <c r="S159">
        <v>0.93584888902068608</v>
      </c>
      <c r="T159">
        <v>8.0080131578783398</v>
      </c>
      <c r="U159">
        <v>21.476198885939723</v>
      </c>
      <c r="V159">
        <v>7.8962622493550709</v>
      </c>
      <c r="W159">
        <v>1.84165612595745</v>
      </c>
      <c r="X159">
        <v>0.28448422857379868</v>
      </c>
      <c r="Y159">
        <v>0.19812426293322594</v>
      </c>
      <c r="Z159">
        <v>0.3389253680024279</v>
      </c>
      <c r="AA159">
        <v>1.9337574705513929</v>
      </c>
      <c r="AB159">
        <v>0.72118743608729319</v>
      </c>
      <c r="AC159">
        <v>1.17725355054458</v>
      </c>
      <c r="AD159">
        <v>5.1678157452113345</v>
      </c>
      <c r="AE159">
        <v>6.1782647974301344E-2</v>
      </c>
      <c r="AF159">
        <v>0.14926727024314729</v>
      </c>
      <c r="AG159">
        <v>3.855473974503258</v>
      </c>
      <c r="AH159">
        <v>9.1464519793745508E-2</v>
      </c>
      <c r="AI159">
        <v>0.43599016971834081</v>
      </c>
      <c r="AJ159">
        <v>1.1560169024905571</v>
      </c>
      <c r="AK159">
        <v>2.163678344263209</v>
      </c>
      <c r="AL159">
        <v>14.771166689159227</v>
      </c>
    </row>
    <row r="160" spans="1:38" x14ac:dyDescent="0.35">
      <c r="A160" t="s">
        <v>211</v>
      </c>
      <c r="B160" t="s">
        <v>73</v>
      </c>
      <c r="C160">
        <v>1</v>
      </c>
      <c r="D160" t="s">
        <v>69</v>
      </c>
      <c r="E160">
        <v>8</v>
      </c>
      <c r="F160">
        <v>38</v>
      </c>
      <c r="G160" t="s">
        <v>8</v>
      </c>
      <c r="H160">
        <v>28</v>
      </c>
      <c r="I160">
        <v>32</v>
      </c>
      <c r="J160">
        <v>0.26229999999999998</v>
      </c>
      <c r="K160">
        <v>2.2874571101792709</v>
      </c>
      <c r="L160">
        <v>5.2416726052354895E-2</v>
      </c>
      <c r="M160">
        <v>1.601803984974522</v>
      </c>
      <c r="N160">
        <v>0.72201002056951613</v>
      </c>
      <c r="O160">
        <v>17.766051362960233</v>
      </c>
      <c r="P160">
        <v>3.5999502687027078</v>
      </c>
      <c r="Q160">
        <v>5.9578644096499893</v>
      </c>
      <c r="R160">
        <v>0.70591192012451165</v>
      </c>
      <c r="S160">
        <v>0.76936746523928712</v>
      </c>
      <c r="T160">
        <v>7.7148482089379877</v>
      </c>
      <c r="U160">
        <v>22.870053285606343</v>
      </c>
      <c r="V160">
        <v>7.6823442627644853</v>
      </c>
      <c r="W160">
        <v>1.3335382074133491</v>
      </c>
      <c r="X160">
        <v>0.16443132708904962</v>
      </c>
      <c r="Y160">
        <v>0.22992063010774438</v>
      </c>
      <c r="Z160">
        <v>0.31305399604675438</v>
      </c>
      <c r="AA160">
        <v>1.5143025940020209</v>
      </c>
      <c r="AB160">
        <v>0.99592673365442974</v>
      </c>
      <c r="AC160">
        <v>0.98930531507900699</v>
      </c>
      <c r="AD160">
        <v>3.934638375093666</v>
      </c>
      <c r="AE160">
        <v>5.8386899422043725E-2</v>
      </c>
      <c r="AF160">
        <v>0.15819937868568343</v>
      </c>
      <c r="AG160">
        <v>3.4556024073274778</v>
      </c>
      <c r="AH160">
        <v>5.3679630970925186E-2</v>
      </c>
      <c r="AI160">
        <v>0.29940296010355671</v>
      </c>
      <c r="AJ160">
        <v>0.67819739294115167</v>
      </c>
      <c r="AK160">
        <v>1.5154901587889476</v>
      </c>
      <c r="AL160">
        <v>14.863302077692271</v>
      </c>
    </row>
    <row r="161" spans="1:38" x14ac:dyDescent="0.35">
      <c r="A161" t="s">
        <v>212</v>
      </c>
      <c r="B161" t="s">
        <v>73</v>
      </c>
      <c r="C161">
        <v>1</v>
      </c>
      <c r="D161" t="s">
        <v>69</v>
      </c>
      <c r="E161">
        <v>8</v>
      </c>
      <c r="F161">
        <v>38</v>
      </c>
      <c r="G161" t="s">
        <v>8</v>
      </c>
      <c r="H161">
        <v>27</v>
      </c>
      <c r="I161">
        <v>32</v>
      </c>
      <c r="J161">
        <v>0.21360000000000001</v>
      </c>
      <c r="K161">
        <v>2.5749063670410188</v>
      </c>
      <c r="L161">
        <v>5.6809883159624472E-2</v>
      </c>
      <c r="M161">
        <v>1.441774475143071</v>
      </c>
      <c r="N161">
        <v>0.84990924240102805</v>
      </c>
      <c r="O161">
        <v>19.143552694593033</v>
      </c>
      <c r="P161">
        <v>3.1352512177813421</v>
      </c>
      <c r="Q161">
        <v>4.6735613353417351</v>
      </c>
      <c r="R161">
        <v>0.88680071818690498</v>
      </c>
      <c r="S161">
        <v>0.87088241376317532</v>
      </c>
      <c r="T161">
        <v>7.9735552141315633</v>
      </c>
      <c r="U161">
        <v>20.949877604744671</v>
      </c>
      <c r="V161">
        <v>7.2592957787176733</v>
      </c>
      <c r="W161">
        <v>1.3254641132605993</v>
      </c>
      <c r="X161">
        <v>0.19879406369984998</v>
      </c>
      <c r="Y161">
        <v>0.14794380760641684</v>
      </c>
      <c r="Z161">
        <v>0.34946583625231198</v>
      </c>
      <c r="AA161">
        <v>1.3339090674491569</v>
      </c>
      <c r="AB161">
        <v>0.74185961943967926</v>
      </c>
      <c r="AC161">
        <v>0.89507882597610022</v>
      </c>
      <c r="AD161">
        <v>4.340974354550494</v>
      </c>
      <c r="AE161">
        <v>4.5333271998421437E-2</v>
      </c>
      <c r="AF161">
        <v>0.14853171747420235</v>
      </c>
      <c r="AG161">
        <v>3.4792269127347546</v>
      </c>
      <c r="AH161">
        <v>7.6860925525925369E-2</v>
      </c>
      <c r="AI161">
        <v>0.32198828696170123</v>
      </c>
      <c r="AJ161">
        <v>0.79285935306440258</v>
      </c>
      <c r="AK161">
        <v>1.5832849592813205</v>
      </c>
      <c r="AL161">
        <v>16.977154306760845</v>
      </c>
    </row>
    <row r="162" spans="1:38" x14ac:dyDescent="0.35">
      <c r="A162" t="s">
        <v>213</v>
      </c>
      <c r="B162" t="s">
        <v>73</v>
      </c>
      <c r="C162">
        <v>1</v>
      </c>
      <c r="D162" t="s">
        <v>69</v>
      </c>
      <c r="E162">
        <v>8</v>
      </c>
      <c r="F162">
        <v>38</v>
      </c>
      <c r="G162" t="s">
        <v>8</v>
      </c>
      <c r="H162">
        <v>27</v>
      </c>
      <c r="I162">
        <v>31</v>
      </c>
      <c r="J162">
        <v>0.23499999999999999</v>
      </c>
      <c r="K162">
        <v>2.893617021276655</v>
      </c>
      <c r="L162">
        <v>9.5615761809395461E-2</v>
      </c>
      <c r="M162">
        <v>1.2913110060614827</v>
      </c>
      <c r="N162">
        <v>0.66780326166555692</v>
      </c>
      <c r="O162">
        <v>17.911039716883828</v>
      </c>
      <c r="P162">
        <v>3.2910820290798339</v>
      </c>
      <c r="Q162">
        <v>4.8449110667729638</v>
      </c>
      <c r="R162">
        <v>0.69766887077568496</v>
      </c>
      <c r="S162">
        <v>0.78584457078733028</v>
      </c>
      <c r="T162">
        <v>8.3238059308533572</v>
      </c>
      <c r="U162">
        <v>20.406589991765525</v>
      </c>
      <c r="V162">
        <v>6.8096479930920584</v>
      </c>
      <c r="W162">
        <v>1.2350966464387132</v>
      </c>
      <c r="X162">
        <v>0.15031334131312632</v>
      </c>
      <c r="Y162">
        <v>0.16930437773955384</v>
      </c>
      <c r="Z162">
        <v>0.23388763819456318</v>
      </c>
      <c r="AA162">
        <v>1.3354997230240124</v>
      </c>
      <c r="AB162">
        <v>0.70940935301999375</v>
      </c>
      <c r="AC162">
        <v>0.91451197107022097</v>
      </c>
      <c r="AD162">
        <v>4.5465386976996403</v>
      </c>
      <c r="AE162">
        <v>6.5317197918963329E-2</v>
      </c>
      <c r="AF162">
        <v>0.14108500366616333</v>
      </c>
      <c r="AG162">
        <v>3.5293937890867566</v>
      </c>
      <c r="AH162">
        <v>6.59116117493974E-2</v>
      </c>
      <c r="AI162">
        <v>0.32076519305928342</v>
      </c>
      <c r="AJ162">
        <v>0.71217285591587132</v>
      </c>
      <c r="AK162">
        <v>1.7603383991823525</v>
      </c>
      <c r="AL162">
        <v>18.985134001374419</v>
      </c>
    </row>
    <row r="163" spans="1:38" x14ac:dyDescent="0.35">
      <c r="A163" t="s">
        <v>214</v>
      </c>
      <c r="B163" t="s">
        <v>73</v>
      </c>
      <c r="C163">
        <v>1</v>
      </c>
      <c r="D163" t="s">
        <v>45</v>
      </c>
      <c r="E163">
        <v>8</v>
      </c>
      <c r="F163">
        <v>39</v>
      </c>
      <c r="G163" t="s">
        <v>12</v>
      </c>
      <c r="H163">
        <v>33</v>
      </c>
      <c r="I163">
        <v>39</v>
      </c>
      <c r="J163">
        <v>0.50739999999999996</v>
      </c>
      <c r="K163">
        <v>1.7146235711468791</v>
      </c>
      <c r="L163">
        <v>4.785222128153379E-2</v>
      </c>
      <c r="M163">
        <v>0.90156623353450616</v>
      </c>
      <c r="N163">
        <v>0.56020185121976562</v>
      </c>
      <c r="O163">
        <v>19.698149268808958</v>
      </c>
      <c r="P163">
        <v>0.96322397064897702</v>
      </c>
      <c r="Q163">
        <v>3.2918059136570466</v>
      </c>
      <c r="R163">
        <v>1.1820526680209742</v>
      </c>
      <c r="S163">
        <v>0.78030680664735219</v>
      </c>
      <c r="T163">
        <v>9.0557078922315792</v>
      </c>
      <c r="U163">
        <v>13.999300926360728</v>
      </c>
      <c r="V163">
        <v>5.763404632651838</v>
      </c>
      <c r="W163">
        <v>2.0227155162814259</v>
      </c>
      <c r="X163">
        <v>0.61263193558866824</v>
      </c>
      <c r="Y163">
        <v>0.18689329992326581</v>
      </c>
      <c r="Z163">
        <v>0.25044349528855087</v>
      </c>
      <c r="AA163">
        <v>0.8144982423909124</v>
      </c>
      <c r="AB163">
        <v>0.59931192410883671</v>
      </c>
      <c r="AC163">
        <v>0</v>
      </c>
      <c r="AD163">
        <v>7.4079907630845172</v>
      </c>
      <c r="AE163">
        <v>0.27522877758942088</v>
      </c>
      <c r="AF163">
        <v>0.21785330289927152</v>
      </c>
      <c r="AG163">
        <v>5.9577839974379412</v>
      </c>
      <c r="AH163">
        <v>0.12142170024817388</v>
      </c>
      <c r="AI163">
        <v>0.74939855571621217</v>
      </c>
      <c r="AJ163">
        <v>1.4862016285807145</v>
      </c>
      <c r="AK163">
        <v>2.4024031649726165</v>
      </c>
      <c r="AL163">
        <v>20.651651310826235</v>
      </c>
    </row>
    <row r="164" spans="1:38" x14ac:dyDescent="0.35">
      <c r="A164" t="s">
        <v>215</v>
      </c>
      <c r="B164" t="s">
        <v>73</v>
      </c>
      <c r="C164">
        <v>1</v>
      </c>
      <c r="D164" t="s">
        <v>45</v>
      </c>
      <c r="E164">
        <v>8</v>
      </c>
      <c r="F164">
        <v>39</v>
      </c>
      <c r="G164" t="s">
        <v>12</v>
      </c>
      <c r="H164">
        <v>34</v>
      </c>
      <c r="I164">
        <v>41</v>
      </c>
      <c r="J164">
        <v>0.45419999999999999</v>
      </c>
      <c r="K164">
        <v>1.2989872302947345</v>
      </c>
      <c r="L164">
        <v>3.1362830348199304E-2</v>
      </c>
      <c r="M164">
        <v>0.78964280182694091</v>
      </c>
      <c r="N164">
        <v>0.51929324952924849</v>
      </c>
      <c r="O164">
        <v>20.286553906654692</v>
      </c>
      <c r="P164">
        <v>0.93586837190037797</v>
      </c>
      <c r="Q164">
        <v>2.7144313915806073</v>
      </c>
      <c r="R164">
        <v>1.1130673782935248</v>
      </c>
      <c r="S164">
        <v>0.64562959246894025</v>
      </c>
      <c r="T164">
        <v>9.52409814778472</v>
      </c>
      <c r="U164">
        <v>13.593387044831312</v>
      </c>
      <c r="V164">
        <v>4.8670807733090342</v>
      </c>
      <c r="W164">
        <v>1.5472676024006049</v>
      </c>
      <c r="X164">
        <v>0.41648047798920501</v>
      </c>
      <c r="Y164">
        <v>0.11348015914193996</v>
      </c>
      <c r="Z164">
        <v>0.28628998403538564</v>
      </c>
      <c r="AA164">
        <v>0.74003948810848186</v>
      </c>
      <c r="AB164">
        <v>0.81641325498200101</v>
      </c>
      <c r="AC164">
        <v>0.46830194697709587</v>
      </c>
      <c r="AD164">
        <v>6.9103413373198617</v>
      </c>
      <c r="AE164">
        <v>0.16342651045692552</v>
      </c>
      <c r="AF164">
        <v>0.20817823726685195</v>
      </c>
      <c r="AG164">
        <v>5.4067295184168573</v>
      </c>
      <c r="AH164">
        <v>0.10052005967587102</v>
      </c>
      <c r="AI164">
        <v>0.66971871233853775</v>
      </c>
      <c r="AJ164">
        <v>1.3090998440824588</v>
      </c>
      <c r="AK164">
        <v>1.8852330326631976</v>
      </c>
      <c r="AL164">
        <v>23.938064345617114</v>
      </c>
    </row>
    <row r="165" spans="1:38" x14ac:dyDescent="0.35">
      <c r="A165" t="s">
        <v>216</v>
      </c>
      <c r="B165" t="s">
        <v>73</v>
      </c>
      <c r="C165">
        <v>1</v>
      </c>
      <c r="D165" t="s">
        <v>45</v>
      </c>
      <c r="E165">
        <v>8</v>
      </c>
      <c r="F165">
        <v>39</v>
      </c>
      <c r="G165" t="s">
        <v>12</v>
      </c>
      <c r="H165">
        <v>35</v>
      </c>
      <c r="I165">
        <v>41</v>
      </c>
      <c r="J165">
        <v>0.5605</v>
      </c>
      <c r="K165">
        <v>1.6949152542371411</v>
      </c>
      <c r="L165">
        <v>4.8457862871037725E-2</v>
      </c>
      <c r="M165">
        <v>0.8824390762555463</v>
      </c>
      <c r="N165">
        <v>0.54231276605579448</v>
      </c>
      <c r="O165">
        <v>18.10501148121967</v>
      </c>
      <c r="P165">
        <v>0.86173919782105979</v>
      </c>
      <c r="Q165">
        <v>3.2309669047956135</v>
      </c>
      <c r="R165">
        <v>1.153810155904331</v>
      </c>
      <c r="S165">
        <v>0.80418706217964364</v>
      </c>
      <c r="T165">
        <v>8.8206827957036928</v>
      </c>
      <c r="U165">
        <v>13.626669560481654</v>
      </c>
      <c r="V165">
        <v>5.7782068093572629</v>
      </c>
      <c r="W165">
        <v>2.0339987320475301</v>
      </c>
      <c r="X165">
        <v>0.59612823597394982</v>
      </c>
      <c r="Y165">
        <v>0.17350102561048061</v>
      </c>
      <c r="Z165">
        <v>0.28132995133238115</v>
      </c>
      <c r="AA165">
        <v>0.79848724833578155</v>
      </c>
      <c r="AB165">
        <v>0.79905613988960511</v>
      </c>
      <c r="AC165">
        <v>0.63764097194460811</v>
      </c>
      <c r="AD165">
        <v>7.8566499215895975</v>
      </c>
      <c r="AE165">
        <v>0.23863801869268664</v>
      </c>
      <c r="AF165">
        <v>0.22961349507833251</v>
      </c>
      <c r="AG165">
        <v>6.4239670189953273</v>
      </c>
      <c r="AH165">
        <v>0.13534460449663802</v>
      </c>
      <c r="AI165">
        <v>0.59063694304445225</v>
      </c>
      <c r="AJ165">
        <v>1.5062235791468452</v>
      </c>
      <c r="AK165">
        <v>2.6052094453086481</v>
      </c>
      <c r="AL165">
        <v>21.239090995867844</v>
      </c>
    </row>
    <row r="166" spans="1:38" x14ac:dyDescent="0.35">
      <c r="A166" t="s">
        <v>217</v>
      </c>
      <c r="B166" t="s">
        <v>73</v>
      </c>
      <c r="C166">
        <v>1</v>
      </c>
      <c r="D166" t="s">
        <v>57</v>
      </c>
      <c r="E166">
        <v>8</v>
      </c>
      <c r="F166">
        <v>40</v>
      </c>
      <c r="G166" t="s">
        <v>9</v>
      </c>
      <c r="H166">
        <v>30</v>
      </c>
      <c r="I166">
        <v>37</v>
      </c>
      <c r="J166">
        <v>0.4209</v>
      </c>
      <c r="K166">
        <v>1.6393442622950598</v>
      </c>
      <c r="L166">
        <v>4.8459079880074842E-2</v>
      </c>
      <c r="M166">
        <v>1.3928061965146747</v>
      </c>
      <c r="N166">
        <v>0.43966193017218858</v>
      </c>
      <c r="O166">
        <v>18.725693807183447</v>
      </c>
      <c r="P166">
        <v>1.9899727200465136</v>
      </c>
      <c r="Q166">
        <v>4.7361213480329907</v>
      </c>
      <c r="R166">
        <v>0.8147249010384835</v>
      </c>
      <c r="S166">
        <v>0.84370546373965749</v>
      </c>
      <c r="T166">
        <v>8.5549978007925827</v>
      </c>
      <c r="U166">
        <v>21.050744352630197</v>
      </c>
      <c r="V166">
        <v>6.899237069060252</v>
      </c>
      <c r="W166">
        <v>2.1352087211859323</v>
      </c>
      <c r="X166">
        <v>0.35208692262090596</v>
      </c>
      <c r="Y166">
        <v>0.28993446958029395</v>
      </c>
      <c r="Z166">
        <v>0.29375992939998213</v>
      </c>
      <c r="AA166">
        <v>1.7883356027968873</v>
      </c>
      <c r="AB166">
        <v>0.94375979435944746</v>
      </c>
      <c r="AC166">
        <v>1.0314595125018668</v>
      </c>
      <c r="AD166">
        <v>5.3522112012325849</v>
      </c>
      <c r="AE166">
        <v>9.0062457956425479E-2</v>
      </c>
      <c r="AF166">
        <v>0.13272474915450633</v>
      </c>
      <c r="AG166">
        <v>3.781809985887306</v>
      </c>
      <c r="AH166">
        <v>0.10079771092057177</v>
      </c>
      <c r="AI166">
        <v>0.44185939088950743</v>
      </c>
      <c r="AJ166">
        <v>1.2604225233142414</v>
      </c>
      <c r="AK166">
        <v>1.9786499750205058</v>
      </c>
      <c r="AL166">
        <v>14.530792384087976</v>
      </c>
    </row>
    <row r="167" spans="1:38" x14ac:dyDescent="0.35">
      <c r="A167" t="s">
        <v>218</v>
      </c>
      <c r="B167" t="s">
        <v>73</v>
      </c>
      <c r="C167">
        <v>1</v>
      </c>
      <c r="D167" t="s">
        <v>57</v>
      </c>
      <c r="E167">
        <v>8</v>
      </c>
      <c r="F167">
        <v>40</v>
      </c>
      <c r="G167" t="s">
        <v>9</v>
      </c>
      <c r="H167">
        <v>34</v>
      </c>
      <c r="I167">
        <v>39</v>
      </c>
      <c r="J167">
        <v>0.50049999999999994</v>
      </c>
      <c r="K167">
        <v>1.3186813186814397</v>
      </c>
      <c r="L167">
        <v>2.4695267529831141E-2</v>
      </c>
      <c r="M167">
        <v>0.98314790645537409</v>
      </c>
      <c r="N167">
        <v>0.41538377780145463</v>
      </c>
      <c r="O167">
        <v>18.218356876226686</v>
      </c>
      <c r="P167">
        <v>1.9223186993124515</v>
      </c>
      <c r="Q167">
        <v>4.2804346284246719</v>
      </c>
      <c r="R167">
        <v>0.74264843279084702</v>
      </c>
      <c r="S167">
        <v>0.92628275474099442</v>
      </c>
      <c r="T167">
        <v>7.6866837478986936</v>
      </c>
      <c r="U167">
        <v>19.972055351050486</v>
      </c>
      <c r="V167">
        <v>6.2579714770363406</v>
      </c>
      <c r="W167">
        <v>2.1738103022630808</v>
      </c>
      <c r="X167">
        <v>0.31286129650177991</v>
      </c>
      <c r="Y167">
        <v>0.25804796203105757</v>
      </c>
      <c r="Z167">
        <v>0.17944315993234738</v>
      </c>
      <c r="AA167">
        <v>1.458180133291066</v>
      </c>
      <c r="AB167">
        <v>0.83801358473381427</v>
      </c>
      <c r="AC167">
        <v>1.1754111143685164</v>
      </c>
      <c r="AD167">
        <v>5.8672524884282078</v>
      </c>
      <c r="AE167">
        <v>7.2867841372871847E-2</v>
      </c>
      <c r="AF167">
        <v>0.13340954011554557</v>
      </c>
      <c r="AG167">
        <v>4.0104247008099003</v>
      </c>
      <c r="AH167">
        <v>5.0789803303718066E-2</v>
      </c>
      <c r="AI167">
        <v>0.47108293777043858</v>
      </c>
      <c r="AJ167">
        <v>1.7695671379512312</v>
      </c>
      <c r="AK167">
        <v>2.0247751442163584</v>
      </c>
      <c r="AL167">
        <v>17.774083933642281</v>
      </c>
    </row>
    <row r="168" spans="1:38" x14ac:dyDescent="0.35">
      <c r="A168" t="s">
        <v>219</v>
      </c>
      <c r="B168" t="s">
        <v>73</v>
      </c>
      <c r="C168">
        <v>1</v>
      </c>
      <c r="D168" t="s">
        <v>57</v>
      </c>
      <c r="E168">
        <v>8</v>
      </c>
      <c r="F168">
        <v>40</v>
      </c>
      <c r="G168" t="s">
        <v>9</v>
      </c>
      <c r="H168">
        <v>31</v>
      </c>
      <c r="I168">
        <v>36</v>
      </c>
      <c r="J168">
        <v>0.40720000000000001</v>
      </c>
      <c r="K168">
        <v>1.8418467583497751</v>
      </c>
      <c r="L168">
        <v>3.9932201137592806E-2</v>
      </c>
      <c r="M168">
        <v>1.0855513701480815</v>
      </c>
      <c r="N168">
        <v>0.43551308118444954</v>
      </c>
      <c r="O168">
        <v>18.51466114717217</v>
      </c>
      <c r="P168">
        <v>1.9972041695954588</v>
      </c>
      <c r="Q168">
        <v>4.3634249099622178</v>
      </c>
      <c r="R168">
        <v>0.75124663524974911</v>
      </c>
      <c r="S168">
        <v>0.9146162479041251</v>
      </c>
      <c r="T168">
        <v>7.8159611846169259</v>
      </c>
      <c r="U168">
        <v>20.6681553826886</v>
      </c>
      <c r="V168">
        <v>6.3741613307458858</v>
      </c>
      <c r="W168">
        <v>1.8840232069391851</v>
      </c>
      <c r="X168">
        <v>0.2876010718248761</v>
      </c>
      <c r="Y168">
        <v>0.27954034972007441</v>
      </c>
      <c r="Z168">
        <v>0.26067887189535993</v>
      </c>
      <c r="AA168">
        <v>1.3828716990964101</v>
      </c>
      <c r="AB168">
        <v>1.2329439755764604</v>
      </c>
      <c r="AC168">
        <v>1.2615624206730562</v>
      </c>
      <c r="AD168">
        <v>5.6998498019018315</v>
      </c>
      <c r="AE168">
        <v>7.5825147319853306E-2</v>
      </c>
      <c r="AF168">
        <v>0.15133438320758266</v>
      </c>
      <c r="AG168">
        <v>4.0161877286893706</v>
      </c>
      <c r="AH168">
        <v>7.0395597458281917E-2</v>
      </c>
      <c r="AI168">
        <v>0.45376763907312406</v>
      </c>
      <c r="AJ168">
        <v>1.4137057932912807</v>
      </c>
      <c r="AK168">
        <v>2.001661793744685</v>
      </c>
      <c r="AL168">
        <v>16.567622859183309</v>
      </c>
    </row>
    <row r="169" spans="1:38" x14ac:dyDescent="0.35">
      <c r="A169" t="s">
        <v>220</v>
      </c>
      <c r="B169" t="s">
        <v>73</v>
      </c>
      <c r="C169">
        <v>1</v>
      </c>
      <c r="D169" t="s">
        <v>57</v>
      </c>
      <c r="E169">
        <v>8</v>
      </c>
      <c r="F169">
        <v>41</v>
      </c>
      <c r="G169" t="s">
        <v>9</v>
      </c>
      <c r="H169">
        <v>33</v>
      </c>
      <c r="I169">
        <v>40</v>
      </c>
      <c r="J169">
        <v>0.58509999999999995</v>
      </c>
      <c r="K169">
        <v>1.7603828405402264</v>
      </c>
      <c r="L169">
        <v>4.9317459740751718E-2</v>
      </c>
      <c r="M169">
        <v>1.5793957344825573</v>
      </c>
      <c r="N169">
        <v>0.56359893477750511</v>
      </c>
      <c r="O169">
        <v>19.112865302622598</v>
      </c>
      <c r="P169">
        <v>2.1818675532103255</v>
      </c>
      <c r="Q169">
        <v>5.5986374088996502</v>
      </c>
      <c r="R169">
        <v>0.97321504350334298</v>
      </c>
      <c r="S169">
        <v>1.1270673594165732</v>
      </c>
      <c r="T169">
        <v>7.6809592951960619</v>
      </c>
      <c r="U169">
        <v>21.223086240820265</v>
      </c>
      <c r="V169">
        <v>6.9684721356603463</v>
      </c>
      <c r="W169">
        <v>2.1716673702031106</v>
      </c>
      <c r="X169">
        <v>0.34135240434482939</v>
      </c>
      <c r="Y169">
        <v>0.3356425857882121</v>
      </c>
      <c r="Z169">
        <v>0.33637701904321438</v>
      </c>
      <c r="AA169">
        <v>1.5872407741983143</v>
      </c>
      <c r="AB169">
        <v>0.67306431339151085</v>
      </c>
      <c r="AC169">
        <v>0.88618642828019434</v>
      </c>
      <c r="AD169">
        <v>5.4401833557013397</v>
      </c>
      <c r="AE169">
        <v>5.9865565208366354E-2</v>
      </c>
      <c r="AF169">
        <v>0.14254844380259954</v>
      </c>
      <c r="AG169">
        <v>3.4845466568615495</v>
      </c>
      <c r="AH169">
        <v>9.6278207558574372E-2</v>
      </c>
      <c r="AI169">
        <v>0.3957349751073716</v>
      </c>
      <c r="AJ169">
        <v>1.5852338670935515</v>
      </c>
      <c r="AK169">
        <v>1.4610506468341289</v>
      </c>
      <c r="AL169">
        <v>13.944544918253175</v>
      </c>
    </row>
    <row r="170" spans="1:38" x14ac:dyDescent="0.35">
      <c r="A170" t="s">
        <v>221</v>
      </c>
      <c r="B170" t="s">
        <v>73</v>
      </c>
      <c r="C170">
        <v>1</v>
      </c>
      <c r="D170" t="s">
        <v>57</v>
      </c>
      <c r="E170">
        <v>8</v>
      </c>
      <c r="F170">
        <v>41</v>
      </c>
      <c r="G170" t="s">
        <v>9</v>
      </c>
      <c r="H170">
        <v>34</v>
      </c>
      <c r="I170">
        <v>41</v>
      </c>
      <c r="J170">
        <v>0.58579999999999999</v>
      </c>
      <c r="K170">
        <v>1.6729259132810266</v>
      </c>
      <c r="L170">
        <v>3.6306530433994677E-2</v>
      </c>
      <c r="M170">
        <v>1.3006609373517708</v>
      </c>
      <c r="N170">
        <v>0.57987759357686042</v>
      </c>
      <c r="O170">
        <v>19.727122594195006</v>
      </c>
      <c r="P170">
        <v>1.8437583005770033</v>
      </c>
      <c r="Q170">
        <v>5.1920723326566041</v>
      </c>
      <c r="R170">
        <v>0.9847450811817906</v>
      </c>
      <c r="S170">
        <v>1.1014872436709151</v>
      </c>
      <c r="T170">
        <v>7.9543555641397665</v>
      </c>
      <c r="U170">
        <v>18.914743134160979</v>
      </c>
      <c r="V170">
        <v>6.9793286691339222</v>
      </c>
      <c r="W170">
        <v>2.3108822686648431</v>
      </c>
      <c r="X170">
        <v>0.3950983440368111</v>
      </c>
      <c r="Y170">
        <v>0.30271952223392695</v>
      </c>
      <c r="Z170">
        <v>0.27280957132452566</v>
      </c>
      <c r="AA170">
        <v>1.2616891314776009</v>
      </c>
      <c r="AB170">
        <v>0.56545420563730031</v>
      </c>
      <c r="AC170">
        <v>1.1809082121331118</v>
      </c>
      <c r="AD170">
        <v>5.7846248641328124</v>
      </c>
      <c r="AE170">
        <v>8.5350778274492736E-2</v>
      </c>
      <c r="AF170">
        <v>0.17707734545757259</v>
      </c>
      <c r="AG170">
        <v>4.2890608702233548</v>
      </c>
      <c r="AH170">
        <v>8.3696089835876675E-2</v>
      </c>
      <c r="AI170">
        <v>0.38657011488286974</v>
      </c>
      <c r="AJ170">
        <v>1.2747656136272649</v>
      </c>
      <c r="AK170">
        <v>2.0275713979614678</v>
      </c>
      <c r="AL170">
        <v>14.987263689017515</v>
      </c>
    </row>
    <row r="171" spans="1:38" x14ac:dyDescent="0.35">
      <c r="A171" t="s">
        <v>222</v>
      </c>
      <c r="B171" t="s">
        <v>73</v>
      </c>
      <c r="C171">
        <v>1</v>
      </c>
      <c r="D171" t="s">
        <v>57</v>
      </c>
      <c r="E171">
        <v>8</v>
      </c>
      <c r="F171">
        <v>41</v>
      </c>
      <c r="G171" t="s">
        <v>9</v>
      </c>
      <c r="H171">
        <v>34</v>
      </c>
      <c r="I171">
        <v>40</v>
      </c>
      <c r="J171">
        <v>0.58260000000000001</v>
      </c>
      <c r="K171">
        <v>2.1455544112597478</v>
      </c>
      <c r="L171">
        <v>6.2131652348297088E-2</v>
      </c>
      <c r="M171">
        <v>1.6798424476981577</v>
      </c>
      <c r="N171">
        <v>0.46297391298704549</v>
      </c>
      <c r="O171">
        <v>18.309074099440622</v>
      </c>
      <c r="P171">
        <v>1.8965156888600136</v>
      </c>
      <c r="Q171">
        <v>6.3078676947350258</v>
      </c>
      <c r="R171">
        <v>0.81979587847706981</v>
      </c>
      <c r="S171">
        <v>0.97481107102850018</v>
      </c>
      <c r="T171">
        <v>7.6749150368961718</v>
      </c>
      <c r="U171">
        <v>24.285733350441841</v>
      </c>
      <c r="V171">
        <v>7.7104939315605652</v>
      </c>
      <c r="W171">
        <v>1.8687643854790807</v>
      </c>
      <c r="X171">
        <v>0.353894062777873</v>
      </c>
      <c r="Y171">
        <v>0.28512211089293665</v>
      </c>
      <c r="Z171">
        <v>0.35973533184982515</v>
      </c>
      <c r="AA171">
        <v>2.623751578202397</v>
      </c>
      <c r="AB171">
        <v>0.86480089426889406</v>
      </c>
      <c r="AC171">
        <v>1.0179816929366063</v>
      </c>
      <c r="AD171">
        <v>4.0035726227629187</v>
      </c>
      <c r="AE171">
        <v>0.10490135228028385</v>
      </c>
      <c r="AF171">
        <v>0.1163574046762752</v>
      </c>
      <c r="AG171">
        <v>2.7654589746342157</v>
      </c>
      <c r="AH171">
        <v>0.13182642815019593</v>
      </c>
      <c r="AI171">
        <v>0.32223060495628103</v>
      </c>
      <c r="AJ171">
        <v>1.1188189624484381</v>
      </c>
      <c r="AK171">
        <v>1.2618866801115109</v>
      </c>
      <c r="AL171">
        <v>12.616742149098974</v>
      </c>
    </row>
    <row r="172" spans="1:38" x14ac:dyDescent="0.35">
      <c r="A172" t="s">
        <v>223</v>
      </c>
      <c r="B172" t="s">
        <v>73</v>
      </c>
      <c r="C172">
        <v>1</v>
      </c>
      <c r="D172" t="s">
        <v>65</v>
      </c>
      <c r="E172">
        <v>8</v>
      </c>
      <c r="F172">
        <v>42</v>
      </c>
      <c r="G172" t="s">
        <v>7</v>
      </c>
      <c r="H172">
        <v>37</v>
      </c>
      <c r="I172">
        <v>44</v>
      </c>
      <c r="J172">
        <v>0.77239999999999998</v>
      </c>
      <c r="K172">
        <v>2.589331952356237</v>
      </c>
      <c r="L172">
        <v>5.2463140552717058E-2</v>
      </c>
      <c r="M172">
        <v>2.0720520497816897</v>
      </c>
      <c r="N172">
        <v>0.39297817594773127</v>
      </c>
      <c r="O172">
        <v>16.018203336168153</v>
      </c>
      <c r="P172">
        <v>2.3041058801176675</v>
      </c>
      <c r="Q172">
        <v>6.9839456493015328</v>
      </c>
      <c r="R172">
        <v>0.85504648533899907</v>
      </c>
      <c r="S172">
        <v>1.0977977743211764</v>
      </c>
      <c r="T172">
        <v>7.4522670496791168</v>
      </c>
      <c r="U172">
        <v>26.276796829591152</v>
      </c>
      <c r="V172">
        <v>8.9518008121583978</v>
      </c>
      <c r="W172">
        <v>2.2428278148706284</v>
      </c>
      <c r="X172">
        <v>0.27597236248493023</v>
      </c>
      <c r="Y172">
        <v>0.34756745915457316</v>
      </c>
      <c r="Z172">
        <v>0.43311179602477701</v>
      </c>
      <c r="AA172">
        <v>4.2780544126074309</v>
      </c>
      <c r="AB172">
        <v>1.0204921552627366</v>
      </c>
      <c r="AC172">
        <v>1.0584162966174993</v>
      </c>
      <c r="AD172">
        <v>3.3898892206330977</v>
      </c>
      <c r="AE172">
        <v>3.8435491687751067E-2</v>
      </c>
      <c r="AF172">
        <v>9.600463350678258E-2</v>
      </c>
      <c r="AG172">
        <v>2.1707862244175669</v>
      </c>
      <c r="AH172">
        <v>0.17415701774038866</v>
      </c>
      <c r="AI172">
        <v>0.31506488974015096</v>
      </c>
      <c r="AJ172">
        <v>1.0319947547313937</v>
      </c>
      <c r="AK172">
        <v>1.1439591814753993</v>
      </c>
      <c r="AL172">
        <v>9.5258091060865571</v>
      </c>
    </row>
    <row r="173" spans="1:38" x14ac:dyDescent="0.35">
      <c r="A173" t="s">
        <v>224</v>
      </c>
      <c r="B173" t="s">
        <v>73</v>
      </c>
      <c r="C173">
        <v>1</v>
      </c>
      <c r="D173" t="s">
        <v>65</v>
      </c>
      <c r="E173">
        <v>8</v>
      </c>
      <c r="F173">
        <v>42</v>
      </c>
      <c r="G173" t="s">
        <v>7</v>
      </c>
      <c r="H173">
        <v>29</v>
      </c>
      <c r="I173">
        <v>34</v>
      </c>
      <c r="J173">
        <v>0.34370000000000001</v>
      </c>
      <c r="K173">
        <v>1.5420424789060467</v>
      </c>
      <c r="L173">
        <v>5.758077946070065E-2</v>
      </c>
      <c r="M173">
        <v>1.3242327353259113</v>
      </c>
      <c r="N173">
        <v>0.34269467759967071</v>
      </c>
      <c r="O173">
        <v>17.878763464875771</v>
      </c>
      <c r="P173">
        <v>2.5636489850611546</v>
      </c>
      <c r="Q173">
        <v>5.4800719029455012</v>
      </c>
      <c r="R173">
        <v>0.7162028349832168</v>
      </c>
      <c r="S173">
        <v>1.047439439090937</v>
      </c>
      <c r="T173">
        <v>7.6844344021885975</v>
      </c>
      <c r="U173">
        <v>22.920746735270885</v>
      </c>
      <c r="V173">
        <v>7.3550160667671651</v>
      </c>
      <c r="W173">
        <v>2.0872200068489533</v>
      </c>
      <c r="X173">
        <v>0.23709457185904301</v>
      </c>
      <c r="Y173">
        <v>0.30897963275060442</v>
      </c>
      <c r="Z173">
        <v>0.4114209757008615</v>
      </c>
      <c r="AA173">
        <v>2.2368699070911537</v>
      </c>
      <c r="AB173">
        <v>1.1911022532138853</v>
      </c>
      <c r="AC173">
        <v>1.8748206748476546</v>
      </c>
      <c r="AD173">
        <v>5.1815334758594798</v>
      </c>
      <c r="AE173">
        <v>7.7001762656065578E-2</v>
      </c>
      <c r="AF173">
        <v>0.22091581296751753</v>
      </c>
      <c r="AG173">
        <v>3.1088928327765957</v>
      </c>
      <c r="AH173">
        <v>6.2660008708953427E-2</v>
      </c>
      <c r="AI173">
        <v>0.45377002895348023</v>
      </c>
      <c r="AJ173">
        <v>1.1282668049970279</v>
      </c>
      <c r="AK173">
        <v>1.7347041233990395</v>
      </c>
      <c r="AL173">
        <v>12.313915103800145</v>
      </c>
    </row>
    <row r="174" spans="1:38" x14ac:dyDescent="0.35">
      <c r="A174" t="s">
        <v>225</v>
      </c>
      <c r="B174" t="s">
        <v>73</v>
      </c>
      <c r="C174">
        <v>1</v>
      </c>
      <c r="D174" t="s">
        <v>65</v>
      </c>
      <c r="E174">
        <v>8</v>
      </c>
      <c r="F174">
        <v>42</v>
      </c>
      <c r="G174" t="s">
        <v>7</v>
      </c>
      <c r="H174">
        <v>30</v>
      </c>
      <c r="I174">
        <v>37</v>
      </c>
      <c r="J174">
        <v>0.48980000000000001</v>
      </c>
      <c r="K174">
        <v>1.2249897917514192</v>
      </c>
      <c r="L174">
        <v>3.5340769935992229E-2</v>
      </c>
      <c r="M174">
        <v>1.7282628701507774</v>
      </c>
      <c r="N174">
        <v>0.38525420074239697</v>
      </c>
      <c r="O174">
        <v>17.149983870687993</v>
      </c>
      <c r="P174">
        <v>3.269473450980461</v>
      </c>
      <c r="Q174">
        <v>5.7427590484289786</v>
      </c>
      <c r="R174">
        <v>0.8166307910648235</v>
      </c>
      <c r="S174">
        <v>1.0565215147910632</v>
      </c>
      <c r="T174">
        <v>7.8756421232367</v>
      </c>
      <c r="U174">
        <v>24.183269625164264</v>
      </c>
      <c r="V174">
        <v>7.3319769033536399</v>
      </c>
      <c r="W174">
        <v>2.2568808506389817</v>
      </c>
      <c r="X174">
        <v>0.27143740839374153</v>
      </c>
      <c r="Y174">
        <v>0.41657401741069272</v>
      </c>
      <c r="Z174">
        <v>0.40318955750615088</v>
      </c>
      <c r="AA174">
        <v>2.6444541186307218</v>
      </c>
      <c r="AB174">
        <v>0.96126954389788155</v>
      </c>
      <c r="AC174">
        <v>1.3691496286229767</v>
      </c>
      <c r="AD174">
        <v>4.9937454498081886</v>
      </c>
      <c r="AE174">
        <v>0</v>
      </c>
      <c r="AF174">
        <v>0.16857721233381495</v>
      </c>
      <c r="AG174">
        <v>2.7796947705905914</v>
      </c>
      <c r="AH174">
        <v>7.531315661599694E-2</v>
      </c>
      <c r="AI174">
        <v>0.47550504833816309</v>
      </c>
      <c r="AJ174">
        <v>1.3351001261609188</v>
      </c>
      <c r="AK174">
        <v>1.5452696378939315</v>
      </c>
      <c r="AL174">
        <v>10.728724304620194</v>
      </c>
    </row>
    <row r="175" spans="1:38" x14ac:dyDescent="0.35">
      <c r="A175" t="s">
        <v>226</v>
      </c>
      <c r="B175" t="s">
        <v>73</v>
      </c>
      <c r="C175">
        <v>1</v>
      </c>
      <c r="D175" t="s">
        <v>45</v>
      </c>
      <c r="E175">
        <v>4</v>
      </c>
      <c r="F175">
        <v>22</v>
      </c>
      <c r="G175" t="s">
        <v>12</v>
      </c>
      <c r="H175">
        <v>30</v>
      </c>
      <c r="I175">
        <v>32</v>
      </c>
      <c r="J175">
        <v>0.24160000000000001</v>
      </c>
      <c r="K175">
        <v>2.1937086092715572</v>
      </c>
      <c r="L175">
        <v>0.18569366268801221</v>
      </c>
      <c r="M175">
        <v>0.97001858630580906</v>
      </c>
      <c r="N175">
        <v>0.53025601574506076</v>
      </c>
      <c r="O175">
        <v>22.293303424557998</v>
      </c>
      <c r="P175">
        <v>0.60678946462219308</v>
      </c>
      <c r="Q175">
        <v>3.0951081390015127</v>
      </c>
      <c r="R175">
        <v>1.1043007436337273</v>
      </c>
      <c r="S175">
        <v>0.45870460672013341</v>
      </c>
      <c r="T175">
        <v>9.0703707230533936</v>
      </c>
      <c r="U175">
        <v>13.228543924288964</v>
      </c>
      <c r="V175">
        <v>5.5342658469703681</v>
      </c>
      <c r="W175">
        <v>1.6174236241493476</v>
      </c>
      <c r="X175">
        <v>0.49759900163188264</v>
      </c>
      <c r="Y175">
        <v>0.12616025265082634</v>
      </c>
      <c r="Z175">
        <v>0.31046245308503506</v>
      </c>
      <c r="AA175">
        <v>0.64496090414555307</v>
      </c>
      <c r="AB175">
        <v>7.1938598521637892E-2</v>
      </c>
      <c r="AC175">
        <v>0.34797446049681002</v>
      </c>
      <c r="AD175">
        <v>6.5055458240584292</v>
      </c>
      <c r="AE175">
        <v>0</v>
      </c>
      <c r="AF175">
        <v>0.24899309556429658</v>
      </c>
      <c r="AG175">
        <v>6.1820852985721046</v>
      </c>
      <c r="AH175">
        <v>0</v>
      </c>
      <c r="AI175">
        <v>0.49315539717354079</v>
      </c>
      <c r="AJ175">
        <v>1.1209226677307924</v>
      </c>
      <c r="AK175">
        <v>1.4641207827955247</v>
      </c>
      <c r="AL175">
        <v>23.291302501837027</v>
      </c>
    </row>
    <row r="176" spans="1:38" x14ac:dyDescent="0.35">
      <c r="A176" t="s">
        <v>227</v>
      </c>
      <c r="B176" t="s">
        <v>73</v>
      </c>
      <c r="C176">
        <v>1</v>
      </c>
      <c r="D176" t="s">
        <v>45</v>
      </c>
      <c r="E176">
        <v>4</v>
      </c>
      <c r="F176">
        <v>22</v>
      </c>
      <c r="G176" t="s">
        <v>12</v>
      </c>
      <c r="H176">
        <v>31</v>
      </c>
      <c r="I176">
        <v>34</v>
      </c>
      <c r="J176">
        <v>0.30430000000000001</v>
      </c>
      <c r="K176">
        <v>1.8074268813669458</v>
      </c>
      <c r="L176">
        <v>0.19791729126723934</v>
      </c>
      <c r="M176">
        <v>1.0438070111306486</v>
      </c>
      <c r="N176">
        <v>0.54337251741246884</v>
      </c>
      <c r="O176">
        <v>19.588866977351234</v>
      </c>
      <c r="P176">
        <v>0.89199201444680176</v>
      </c>
      <c r="Q176">
        <v>3.5660894621804786</v>
      </c>
      <c r="R176">
        <v>1.1271238829098018</v>
      </c>
      <c r="S176">
        <v>0.87962652107043426</v>
      </c>
      <c r="T176">
        <v>8.3888339832223018</v>
      </c>
      <c r="U176">
        <v>15.015164211231818</v>
      </c>
      <c r="V176">
        <v>6.365223092359515</v>
      </c>
      <c r="W176">
        <v>2.0302072816581558</v>
      </c>
      <c r="X176">
        <v>0.49058860734642878</v>
      </c>
      <c r="Y176">
        <v>0.16308291783761833</v>
      </c>
      <c r="Z176">
        <v>0.30147259128401033</v>
      </c>
      <c r="AA176">
        <v>0.83609496830402552</v>
      </c>
      <c r="AB176">
        <v>1.5564475063104313</v>
      </c>
      <c r="AC176">
        <v>0.51269467373098154</v>
      </c>
      <c r="AD176">
        <v>6.5163422903465067</v>
      </c>
      <c r="AE176">
        <v>0.17221230808846197</v>
      </c>
      <c r="AF176">
        <v>0.21324434252654059</v>
      </c>
      <c r="AG176">
        <v>5.9063685060690618</v>
      </c>
      <c r="AH176">
        <v>0.13475118804735933</v>
      </c>
      <c r="AI176">
        <v>0.34802475046668113</v>
      </c>
      <c r="AJ176">
        <v>1.2254829119936397</v>
      </c>
      <c r="AK176">
        <v>1.7357127660189688</v>
      </c>
      <c r="AL176">
        <v>20.24925542538837</v>
      </c>
    </row>
    <row r="177" spans="1:38" x14ac:dyDescent="0.35">
      <c r="A177" t="s">
        <v>228</v>
      </c>
      <c r="B177" t="s">
        <v>73</v>
      </c>
      <c r="C177">
        <v>1</v>
      </c>
      <c r="D177" t="s">
        <v>45</v>
      </c>
      <c r="E177">
        <v>4</v>
      </c>
      <c r="F177">
        <v>22</v>
      </c>
      <c r="G177" t="s">
        <v>12</v>
      </c>
      <c r="H177">
        <v>34</v>
      </c>
      <c r="I177">
        <v>36</v>
      </c>
      <c r="J177">
        <v>0.32319999999999999</v>
      </c>
      <c r="K177">
        <v>1.701732673267208</v>
      </c>
      <c r="L177">
        <v>0.20146653556260025</v>
      </c>
      <c r="M177">
        <v>0.80866041639205333</v>
      </c>
      <c r="N177">
        <v>0.41865204451675642</v>
      </c>
      <c r="O177">
        <v>21.25670101080032</v>
      </c>
      <c r="P177">
        <v>0.80375074756480935</v>
      </c>
      <c r="Q177">
        <v>2.1990496459427056</v>
      </c>
      <c r="R177">
        <v>0.88383410892160963</v>
      </c>
      <c r="S177">
        <v>0.43002445675053902</v>
      </c>
      <c r="T177">
        <v>8.6996275873645619</v>
      </c>
      <c r="U177">
        <v>13.042443094681925</v>
      </c>
      <c r="V177">
        <v>4.4382602883846856</v>
      </c>
      <c r="W177">
        <v>1.5243560881519773</v>
      </c>
      <c r="X177">
        <v>0.33307621758388994</v>
      </c>
      <c r="Y177">
        <v>9.2364621493476379E-2</v>
      </c>
      <c r="Z177">
        <v>0.16048017285688568</v>
      </c>
      <c r="AA177">
        <v>0.87278381002602745</v>
      </c>
      <c r="AB177">
        <v>0.99248002391293833</v>
      </c>
      <c r="AC177">
        <v>0.41362030339752948</v>
      </c>
      <c r="AD177">
        <v>6.2789041099385896</v>
      </c>
      <c r="AE177">
        <v>0.12596679187897306</v>
      </c>
      <c r="AF177">
        <v>0.2445824690910397</v>
      </c>
      <c r="AG177">
        <v>5.9268334437221259</v>
      </c>
      <c r="AH177">
        <v>4.3453798130121839E-2</v>
      </c>
      <c r="AI177">
        <v>0.50649054044876818</v>
      </c>
      <c r="AJ177">
        <v>1.042220938861778</v>
      </c>
      <c r="AK177">
        <v>1.9533133968016321</v>
      </c>
      <c r="AL177">
        <v>26.306603336821691</v>
      </c>
    </row>
    <row r="178" spans="1:38" x14ac:dyDescent="0.35">
      <c r="A178" t="s">
        <v>229</v>
      </c>
      <c r="B178" t="s">
        <v>73</v>
      </c>
      <c r="C178">
        <v>1</v>
      </c>
      <c r="D178" t="s">
        <v>49</v>
      </c>
      <c r="E178">
        <v>4</v>
      </c>
      <c r="F178">
        <v>23</v>
      </c>
      <c r="G178" t="s">
        <v>13</v>
      </c>
      <c r="H178">
        <v>30</v>
      </c>
      <c r="I178">
        <v>34</v>
      </c>
      <c r="J178">
        <v>0.2611</v>
      </c>
      <c r="K178">
        <v>1.072386058980775</v>
      </c>
      <c r="L178">
        <v>0.1891911106383542</v>
      </c>
      <c r="M178">
        <v>0.97059279410977461</v>
      </c>
      <c r="N178">
        <v>0.57914328020282024</v>
      </c>
      <c r="O178">
        <v>20.179708091067468</v>
      </c>
      <c r="P178">
        <v>1.3242603673296107</v>
      </c>
      <c r="Q178">
        <v>2.7611973074991094</v>
      </c>
      <c r="R178">
        <v>0.73372049857712374</v>
      </c>
      <c r="S178">
        <v>0.37186308880012314</v>
      </c>
      <c r="T178">
        <v>8.2012404026335552</v>
      </c>
      <c r="U178">
        <v>14.144448445873893</v>
      </c>
      <c r="V178">
        <v>4.9665097610523077</v>
      </c>
      <c r="W178">
        <v>1.458952820582694</v>
      </c>
      <c r="X178">
        <v>0.31326830364972486</v>
      </c>
      <c r="Y178">
        <v>0.11465932444903111</v>
      </c>
      <c r="Z178">
        <v>0.13116800946147458</v>
      </c>
      <c r="AA178">
        <v>0.84876040812559184</v>
      </c>
      <c r="AB178">
        <v>0.93310838711268229</v>
      </c>
      <c r="AC178">
        <v>0.4923964862351683</v>
      </c>
      <c r="AD178">
        <v>5.6501478407814831</v>
      </c>
      <c r="AE178">
        <v>0.11286525274087995</v>
      </c>
      <c r="AF178">
        <v>0.18553281700245225</v>
      </c>
      <c r="AG178">
        <v>4.9372901787781567</v>
      </c>
      <c r="AH178">
        <v>4.5319460834443E-2</v>
      </c>
      <c r="AI178">
        <v>0.26854391019533375</v>
      </c>
      <c r="AJ178">
        <v>1.0028562508550567</v>
      </c>
      <c r="AK178">
        <v>1.9009169431962791</v>
      </c>
      <c r="AL178">
        <v>27.182338458215415</v>
      </c>
    </row>
    <row r="179" spans="1:38" x14ac:dyDescent="0.35">
      <c r="A179" t="s">
        <v>230</v>
      </c>
      <c r="B179" t="s">
        <v>73</v>
      </c>
      <c r="C179">
        <v>1</v>
      </c>
      <c r="D179" t="s">
        <v>49</v>
      </c>
      <c r="E179">
        <v>4</v>
      </c>
      <c r="F179">
        <v>23</v>
      </c>
      <c r="G179" t="s">
        <v>13</v>
      </c>
      <c r="H179">
        <v>29</v>
      </c>
      <c r="I179">
        <v>34</v>
      </c>
      <c r="J179">
        <v>0.25390000000000001</v>
      </c>
      <c r="K179">
        <v>1.7329657345413167</v>
      </c>
      <c r="L179">
        <v>0.12365775067056547</v>
      </c>
      <c r="M179">
        <v>1.4569812148614003</v>
      </c>
      <c r="N179">
        <v>0.88154033934216336</v>
      </c>
      <c r="O179">
        <v>20.099060945735577</v>
      </c>
      <c r="P179">
        <v>1.5545641262663736</v>
      </c>
      <c r="Q179">
        <v>4.4033672102239301</v>
      </c>
      <c r="R179">
        <v>1.0332386024677824</v>
      </c>
      <c r="S179">
        <v>0.60716040662259563</v>
      </c>
      <c r="T179">
        <v>8.3077923017197541</v>
      </c>
      <c r="U179">
        <v>16.466120043249045</v>
      </c>
      <c r="V179">
        <v>6.7907563566449358</v>
      </c>
      <c r="W179">
        <v>1.9611532000987892</v>
      </c>
      <c r="X179">
        <v>0.53662439876527812</v>
      </c>
      <c r="Y179">
        <v>0.21995054069742839</v>
      </c>
      <c r="Z179">
        <v>0.29591688962858603</v>
      </c>
      <c r="AA179">
        <v>1.1658494230360288</v>
      </c>
      <c r="AB179">
        <v>0.62820914041173503</v>
      </c>
      <c r="AC179">
        <v>0.50091728615924114</v>
      </c>
      <c r="AD179">
        <v>4.6980520394138683</v>
      </c>
      <c r="AE179">
        <v>0.12787355913653842</v>
      </c>
      <c r="AF179">
        <v>0.23557952314382438</v>
      </c>
      <c r="AG179">
        <v>5.0800871784640851</v>
      </c>
      <c r="AH179">
        <v>0.13379285365654028</v>
      </c>
      <c r="AI179">
        <v>0.29335892182398315</v>
      </c>
      <c r="AJ179">
        <v>0.87054381650593038</v>
      </c>
      <c r="AK179">
        <v>1.9094983176240268</v>
      </c>
      <c r="AL179">
        <v>19.618353613629978</v>
      </c>
    </row>
    <row r="180" spans="1:38" x14ac:dyDescent="0.35">
      <c r="A180" t="s">
        <v>231</v>
      </c>
      <c r="B180" t="s">
        <v>73</v>
      </c>
      <c r="C180">
        <v>1</v>
      </c>
      <c r="D180" t="s">
        <v>49</v>
      </c>
      <c r="E180">
        <v>4</v>
      </c>
      <c r="F180">
        <v>23</v>
      </c>
      <c r="G180" t="s">
        <v>13</v>
      </c>
      <c r="H180">
        <v>31</v>
      </c>
      <c r="I180">
        <v>34</v>
      </c>
      <c r="J180">
        <v>0.22839999999999999</v>
      </c>
      <c r="K180">
        <v>1.2259194395799387</v>
      </c>
      <c r="L180">
        <v>0.11450079945643639</v>
      </c>
      <c r="M180">
        <v>0.94712805458876492</v>
      </c>
      <c r="N180">
        <v>0.55911023421434902</v>
      </c>
      <c r="O180">
        <v>20.065790459665969</v>
      </c>
      <c r="P180">
        <v>1.2001556082946865</v>
      </c>
      <c r="Q180">
        <v>2.700372847645288</v>
      </c>
      <c r="R180">
        <v>0.74830060016587896</v>
      </c>
      <c r="S180">
        <v>0.35681732027998414</v>
      </c>
      <c r="T180">
        <v>8.5205350317186497</v>
      </c>
      <c r="U180">
        <v>14.371390575470128</v>
      </c>
      <c r="V180">
        <v>4.7814583497437768</v>
      </c>
      <c r="W180">
        <v>1.4263821405317345</v>
      </c>
      <c r="X180">
        <v>0.32391995960491632</v>
      </c>
      <c r="Y180">
        <v>9.3172490743444414E-2</v>
      </c>
      <c r="Z180">
        <v>0.17161731127362492</v>
      </c>
      <c r="AA180">
        <v>0.91853854632958543</v>
      </c>
      <c r="AB180">
        <v>3.1106210332154953</v>
      </c>
      <c r="AC180">
        <v>0.41411992563929345</v>
      </c>
      <c r="AD180">
        <v>4.8632762932950708</v>
      </c>
      <c r="AE180">
        <v>0.11661885648927714</v>
      </c>
      <c r="AF180">
        <v>0.18527600904073679</v>
      </c>
      <c r="AG180">
        <v>4.9232175914367424</v>
      </c>
      <c r="AH180">
        <v>5.321707080099277E-2</v>
      </c>
      <c r="AI180">
        <v>0.27755070498555251</v>
      </c>
      <c r="AJ180">
        <v>0.72513195417183707</v>
      </c>
      <c r="AK180">
        <v>1.6344446645525401</v>
      </c>
      <c r="AL180">
        <v>26.39733556664525</v>
      </c>
    </row>
    <row r="181" spans="1:38" x14ac:dyDescent="0.35">
      <c r="A181" t="s">
        <v>232</v>
      </c>
      <c r="B181" t="s">
        <v>73</v>
      </c>
      <c r="C181">
        <v>1</v>
      </c>
      <c r="D181" t="s">
        <v>53</v>
      </c>
      <c r="E181">
        <v>4</v>
      </c>
      <c r="F181">
        <v>24</v>
      </c>
      <c r="G181" t="s">
        <v>10</v>
      </c>
      <c r="H181">
        <v>29</v>
      </c>
      <c r="I181">
        <v>34</v>
      </c>
      <c r="J181">
        <v>0.22900000000000001</v>
      </c>
      <c r="K181">
        <v>1.2663755458516797</v>
      </c>
      <c r="L181">
        <v>8.5657282360764558E-2</v>
      </c>
      <c r="M181">
        <v>1.1221290172427987</v>
      </c>
      <c r="N181">
        <v>0.55925592686148995</v>
      </c>
      <c r="O181">
        <v>20.764394226783295</v>
      </c>
      <c r="P181">
        <v>1.6596857939147558</v>
      </c>
      <c r="Q181">
        <v>3.2130050674307928</v>
      </c>
      <c r="R181">
        <v>0.74660982670775622</v>
      </c>
      <c r="S181">
        <v>0.46656429197468108</v>
      </c>
      <c r="T181">
        <v>8.1323328968525654</v>
      </c>
      <c r="U181">
        <v>15.260572307750019</v>
      </c>
      <c r="V181">
        <v>5.2512089033986111</v>
      </c>
      <c r="W181">
        <v>1.4430597626821997</v>
      </c>
      <c r="X181">
        <v>0.22190351954530976</v>
      </c>
      <c r="Y181">
        <v>0.13304817733880844</v>
      </c>
      <c r="Z181">
        <v>0.13551376348724661</v>
      </c>
      <c r="AA181">
        <v>0.90507085717627167</v>
      </c>
      <c r="AB181">
        <v>2.1504232502720422</v>
      </c>
      <c r="AC181">
        <v>0.61709223388479717</v>
      </c>
      <c r="AD181">
        <v>4.6434158674888275</v>
      </c>
      <c r="AE181">
        <v>6.8844865687309506E-2</v>
      </c>
      <c r="AF181">
        <v>0.18126118976162367</v>
      </c>
      <c r="AG181">
        <v>4.7581897455030875</v>
      </c>
      <c r="AH181">
        <v>4.4350669422729201E-2</v>
      </c>
      <c r="AI181">
        <v>0.29125789884004982</v>
      </c>
      <c r="AJ181">
        <v>0.93937529739504777</v>
      </c>
      <c r="AK181">
        <v>1.7425702495908721</v>
      </c>
      <c r="AL181">
        <v>24.463207110646252</v>
      </c>
    </row>
    <row r="182" spans="1:38" x14ac:dyDescent="0.35">
      <c r="A182" t="s">
        <v>233</v>
      </c>
      <c r="B182" t="s">
        <v>73</v>
      </c>
      <c r="C182">
        <v>1</v>
      </c>
      <c r="D182" t="s">
        <v>53</v>
      </c>
      <c r="E182">
        <v>4</v>
      </c>
      <c r="F182">
        <v>24</v>
      </c>
      <c r="G182" t="s">
        <v>10</v>
      </c>
      <c r="H182">
        <v>29</v>
      </c>
      <c r="I182">
        <v>33</v>
      </c>
      <c r="J182">
        <v>0.2339</v>
      </c>
      <c r="K182">
        <v>1.7101325352712953</v>
      </c>
      <c r="L182">
        <v>8.7854054930306957E-2</v>
      </c>
      <c r="M182">
        <v>1.3628027440092296</v>
      </c>
      <c r="N182">
        <v>0.71267097014268188</v>
      </c>
      <c r="O182">
        <v>21.201922645946969</v>
      </c>
      <c r="P182">
        <v>1.5514888333509147</v>
      </c>
      <c r="Q182">
        <v>3.9652792284638094</v>
      </c>
      <c r="R182">
        <v>0.90614172152306649</v>
      </c>
      <c r="S182">
        <v>0.55772729441266089</v>
      </c>
      <c r="T182">
        <v>8.3996507196711736</v>
      </c>
      <c r="U182">
        <v>15.67389786184166</v>
      </c>
      <c r="V182">
        <v>5.9245178488570218</v>
      </c>
      <c r="W182">
        <v>1.6714117803097444</v>
      </c>
      <c r="X182">
        <v>0.30055781554977967</v>
      </c>
      <c r="Y182">
        <v>0.11008941184541889</v>
      </c>
      <c r="Z182">
        <v>0.31178400925426897</v>
      </c>
      <c r="AA182">
        <v>1.0835877405302197</v>
      </c>
      <c r="AB182">
        <v>1.5507966670443882</v>
      </c>
      <c r="AC182">
        <v>0.53337269855743819</v>
      </c>
      <c r="AD182">
        <v>4.2634918935363846</v>
      </c>
      <c r="AE182">
        <v>0.10872672677523242</v>
      </c>
      <c r="AF182">
        <v>0.16217728543864426</v>
      </c>
      <c r="AG182">
        <v>4.230346730081755</v>
      </c>
      <c r="AH182">
        <v>6.9118939177148578E-2</v>
      </c>
      <c r="AI182">
        <v>0.21106076762242507</v>
      </c>
      <c r="AJ182">
        <v>0.55429921172692909</v>
      </c>
      <c r="AK182">
        <v>1.5196797118367904</v>
      </c>
      <c r="AL182">
        <v>22.975544687563925</v>
      </c>
    </row>
    <row r="183" spans="1:38" x14ac:dyDescent="0.35">
      <c r="A183" t="s">
        <v>234</v>
      </c>
      <c r="B183" t="s">
        <v>73</v>
      </c>
      <c r="C183">
        <v>1</v>
      </c>
      <c r="D183" t="s">
        <v>53</v>
      </c>
      <c r="E183">
        <v>4</v>
      </c>
      <c r="F183">
        <v>24</v>
      </c>
      <c r="G183" t="s">
        <v>10</v>
      </c>
      <c r="H183">
        <v>30</v>
      </c>
      <c r="I183">
        <v>35</v>
      </c>
      <c r="J183">
        <v>0.25090000000000001</v>
      </c>
      <c r="K183">
        <v>1.0362694300522304</v>
      </c>
      <c r="L183">
        <v>7.6312322511113223E-2</v>
      </c>
      <c r="M183">
        <v>1.0031390418204398</v>
      </c>
      <c r="N183">
        <v>0.54447036669591342</v>
      </c>
      <c r="O183">
        <v>20.670672323568809</v>
      </c>
      <c r="P183">
        <v>1.6051321755946024</v>
      </c>
      <c r="Q183">
        <v>3.1981782553747036</v>
      </c>
      <c r="R183">
        <v>0.68825439242247843</v>
      </c>
      <c r="S183">
        <v>0.52534909367368676</v>
      </c>
      <c r="T183">
        <v>7.8801560672516295</v>
      </c>
      <c r="U183">
        <v>14.966810834528806</v>
      </c>
      <c r="V183">
        <v>5.3050894349925999</v>
      </c>
      <c r="W183">
        <v>1.4321483635252634</v>
      </c>
      <c r="X183">
        <v>0.19972595116800917</v>
      </c>
      <c r="Y183">
        <v>0.12303439943364058</v>
      </c>
      <c r="Z183">
        <v>0.2506705165717944</v>
      </c>
      <c r="AA183">
        <v>0.99013553954785904</v>
      </c>
      <c r="AB183">
        <v>3.0785975198011428</v>
      </c>
      <c r="AC183">
        <v>0.65375576312879702</v>
      </c>
      <c r="AD183">
        <v>4.3648151955957655</v>
      </c>
      <c r="AE183">
        <v>7.0587602550946274E-2</v>
      </c>
      <c r="AF183">
        <v>0.1718763590756866</v>
      </c>
      <c r="AG183">
        <v>4.2642918083006469</v>
      </c>
      <c r="AH183">
        <v>4.5183563832281823E-2</v>
      </c>
      <c r="AI183">
        <v>0.19996955627269714</v>
      </c>
      <c r="AJ183">
        <v>0.67683777872192519</v>
      </c>
      <c r="AK183">
        <v>1.4711865134754527</v>
      </c>
      <c r="AL183">
        <v>25.543619260563311</v>
      </c>
    </row>
    <row r="184" spans="1:38" x14ac:dyDescent="0.35">
      <c r="A184" t="s">
        <v>235</v>
      </c>
      <c r="B184" t="s">
        <v>73</v>
      </c>
      <c r="C184">
        <v>1</v>
      </c>
      <c r="D184" t="s">
        <v>57</v>
      </c>
      <c r="E184">
        <v>4</v>
      </c>
      <c r="F184">
        <v>25</v>
      </c>
      <c r="G184" t="s">
        <v>9</v>
      </c>
      <c r="H184">
        <v>30</v>
      </c>
      <c r="I184">
        <v>33</v>
      </c>
      <c r="J184">
        <v>0.18770000000000001</v>
      </c>
      <c r="K184">
        <v>1.6515716569001901</v>
      </c>
      <c r="L184">
        <v>8.6206301494743412E-2</v>
      </c>
      <c r="M184">
        <v>0.90796015657139217</v>
      </c>
      <c r="N184">
        <v>0.45811453418741183</v>
      </c>
      <c r="O184">
        <v>20.577068011442542</v>
      </c>
      <c r="P184">
        <v>1.3712485128534286</v>
      </c>
      <c r="Q184">
        <v>3.0376492551671759</v>
      </c>
      <c r="R184">
        <v>0.7984212741598089</v>
      </c>
      <c r="S184">
        <v>0.53258710543259236</v>
      </c>
      <c r="T184">
        <v>8.3427901111050673</v>
      </c>
      <c r="U184">
        <v>14.176020235110972</v>
      </c>
      <c r="V184">
        <v>5.1367976492869012</v>
      </c>
      <c r="W184">
        <v>1.6984893883488628</v>
      </c>
      <c r="X184">
        <v>0.26754713942224712</v>
      </c>
      <c r="Y184">
        <v>0.15951176764849739</v>
      </c>
      <c r="Z184">
        <v>0.15675387689540518</v>
      </c>
      <c r="AA184">
        <v>0.89901129299137872</v>
      </c>
      <c r="AB184">
        <v>1.6963114797996</v>
      </c>
      <c r="AC184">
        <v>0.57948790983061882</v>
      </c>
      <c r="AD184">
        <v>5.562416518464417</v>
      </c>
      <c r="AE184">
        <v>0.12199382172172195</v>
      </c>
      <c r="AF184">
        <v>0.18360998854713656</v>
      </c>
      <c r="AG184">
        <v>4.49875454573945</v>
      </c>
      <c r="AH184">
        <v>4.5920150493877432E-2</v>
      </c>
      <c r="AI184">
        <v>0.29018945424150649</v>
      </c>
      <c r="AJ184">
        <v>1.0902641933982786</v>
      </c>
      <c r="AK184">
        <v>1.7894529720517596</v>
      </c>
      <c r="AL184">
        <v>25.535422353593159</v>
      </c>
    </row>
    <row r="185" spans="1:38" x14ac:dyDescent="0.35">
      <c r="A185" t="s">
        <v>236</v>
      </c>
      <c r="B185" t="s">
        <v>73</v>
      </c>
      <c r="C185">
        <v>1</v>
      </c>
      <c r="D185" t="s">
        <v>57</v>
      </c>
      <c r="E185">
        <v>4</v>
      </c>
      <c r="F185">
        <v>25</v>
      </c>
      <c r="G185" t="s">
        <v>9</v>
      </c>
      <c r="H185">
        <v>28</v>
      </c>
      <c r="I185">
        <v>32</v>
      </c>
      <c r="J185">
        <v>0.22539999999999999</v>
      </c>
      <c r="K185">
        <v>0.62111801242248887</v>
      </c>
      <c r="L185">
        <v>7.566666744035444E-2</v>
      </c>
      <c r="M185">
        <v>1.0551170180467908</v>
      </c>
      <c r="N185">
        <v>0.47720900427458135</v>
      </c>
      <c r="O185">
        <v>19.987700325344431</v>
      </c>
      <c r="P185">
        <v>1.5492313733107843</v>
      </c>
      <c r="Q185">
        <v>3.9642700727934503</v>
      </c>
      <c r="R185">
        <v>0.79289487835126793</v>
      </c>
      <c r="S185">
        <v>0.62271679688540715</v>
      </c>
      <c r="T185">
        <v>7.820218404221821</v>
      </c>
      <c r="U185">
        <v>16.595597720741871</v>
      </c>
      <c r="V185">
        <v>6.1082281796255913</v>
      </c>
      <c r="W185">
        <v>2.1987123197829095</v>
      </c>
      <c r="X185">
        <v>0.3252112241265584</v>
      </c>
      <c r="Y185">
        <v>0.24022679470262703</v>
      </c>
      <c r="Z185">
        <v>0.16454541629694461</v>
      </c>
      <c r="AA185">
        <v>1.143426125634847</v>
      </c>
      <c r="AB185">
        <v>0.976320184094981</v>
      </c>
      <c r="AC185">
        <v>0.77014191864398063</v>
      </c>
      <c r="AD185">
        <v>5.0907074853020271</v>
      </c>
      <c r="AE185">
        <v>9.8042045704223188E-2</v>
      </c>
      <c r="AF185">
        <v>0.19840106844760436</v>
      </c>
      <c r="AG185">
        <v>4.5973164191666589</v>
      </c>
      <c r="AH185">
        <v>3.2694303165600305E-2</v>
      </c>
      <c r="AI185">
        <v>0.36445190686311302</v>
      </c>
      <c r="AJ185">
        <v>1.0711585084611093</v>
      </c>
      <c r="AK185">
        <v>1.9922087785429903</v>
      </c>
      <c r="AL185">
        <v>21.687585060027427</v>
      </c>
    </row>
    <row r="186" spans="1:38" x14ac:dyDescent="0.35">
      <c r="A186" t="s">
        <v>237</v>
      </c>
      <c r="B186" t="s">
        <v>73</v>
      </c>
      <c r="C186">
        <v>1</v>
      </c>
      <c r="D186" t="s">
        <v>57</v>
      </c>
      <c r="E186">
        <v>4</v>
      </c>
      <c r="F186">
        <v>25</v>
      </c>
      <c r="G186" t="s">
        <v>9</v>
      </c>
      <c r="H186">
        <v>31</v>
      </c>
      <c r="I186">
        <v>36</v>
      </c>
      <c r="J186">
        <v>0.24099999999999999</v>
      </c>
      <c r="K186">
        <v>0.82987551867247633</v>
      </c>
      <c r="L186">
        <v>6.3980908848703985E-2</v>
      </c>
      <c r="M186">
        <v>0.85035494529606392</v>
      </c>
      <c r="N186">
        <v>0.41011714781482317</v>
      </c>
      <c r="O186">
        <v>19.215558028760089</v>
      </c>
      <c r="P186">
        <v>1.1804773718411956</v>
      </c>
      <c r="Q186">
        <v>3.1002942629299004</v>
      </c>
      <c r="R186">
        <v>0.74434889677968175</v>
      </c>
      <c r="S186">
        <v>0.51875233962058331</v>
      </c>
      <c r="T186">
        <v>8.1055671189848493</v>
      </c>
      <c r="U186">
        <v>15.147909621005708</v>
      </c>
      <c r="V186">
        <v>5.5289336820741566</v>
      </c>
      <c r="W186">
        <v>1.727457324859248</v>
      </c>
      <c r="X186">
        <v>0.25071380311046171</v>
      </c>
      <c r="Y186">
        <v>0.16521055870051585</v>
      </c>
      <c r="Z186">
        <v>0.16922031750160949</v>
      </c>
      <c r="AA186">
        <v>1.1266346943991965</v>
      </c>
      <c r="AB186">
        <v>0.89469726224806911</v>
      </c>
      <c r="AC186">
        <v>0.81649335859886274</v>
      </c>
      <c r="AD186">
        <v>5.0618309652558082</v>
      </c>
      <c r="AE186">
        <v>8.9076914561425483E-2</v>
      </c>
      <c r="AF186">
        <v>0.22333380798629124</v>
      </c>
      <c r="AG186">
        <v>4.9610340852663235</v>
      </c>
      <c r="AH186">
        <v>3.7903205856257706E-2</v>
      </c>
      <c r="AI186">
        <v>0.35005240796569748</v>
      </c>
      <c r="AJ186">
        <v>1.077989901607316</v>
      </c>
      <c r="AK186">
        <v>2.0935939035364339</v>
      </c>
      <c r="AL186">
        <v>26.088463164590721</v>
      </c>
    </row>
    <row r="187" spans="1:38" x14ac:dyDescent="0.35">
      <c r="A187" t="s">
        <v>238</v>
      </c>
      <c r="B187" t="s">
        <v>73</v>
      </c>
      <c r="C187">
        <v>1</v>
      </c>
      <c r="D187" t="s">
        <v>61</v>
      </c>
      <c r="E187">
        <v>4</v>
      </c>
      <c r="F187">
        <v>26</v>
      </c>
      <c r="G187" t="s">
        <v>11</v>
      </c>
      <c r="H187">
        <v>31</v>
      </c>
      <c r="I187">
        <v>36</v>
      </c>
      <c r="J187">
        <v>0.2203</v>
      </c>
      <c r="K187">
        <v>0.99863822060835306</v>
      </c>
      <c r="L187">
        <v>0.10247082945079639</v>
      </c>
      <c r="M187">
        <v>1.5093520510826197</v>
      </c>
      <c r="N187">
        <v>1.0211960745813857</v>
      </c>
      <c r="O187">
        <v>19.530837984535328</v>
      </c>
      <c r="P187">
        <v>2.9530027963705652</v>
      </c>
      <c r="Q187">
        <v>4.7520715492728449</v>
      </c>
      <c r="R187">
        <v>0.68254658599704154</v>
      </c>
      <c r="S187">
        <v>0.52210052877098378</v>
      </c>
      <c r="T187">
        <v>6.4941539295021018</v>
      </c>
      <c r="U187">
        <v>18.944336972164702</v>
      </c>
      <c r="V187">
        <v>7.2644214026624123</v>
      </c>
      <c r="W187">
        <v>1.5306026508350388</v>
      </c>
      <c r="X187">
        <v>0.28963611991377297</v>
      </c>
      <c r="Y187">
        <v>0.17916753630371707</v>
      </c>
      <c r="Z187">
        <v>0.13995753206931061</v>
      </c>
      <c r="AA187">
        <v>1.4402283166279271</v>
      </c>
      <c r="AB187">
        <v>1.7988534840965535</v>
      </c>
      <c r="AC187">
        <v>0.46641843180324227</v>
      </c>
      <c r="AD187">
        <v>3.3007707031910365</v>
      </c>
      <c r="AE187">
        <v>6.6983709268357561E-2</v>
      </c>
      <c r="AF187">
        <v>0.16650754330386724</v>
      </c>
      <c r="AG187">
        <v>3.4549941105275117</v>
      </c>
      <c r="AH187">
        <v>5.1200016245312223E-2</v>
      </c>
      <c r="AI187">
        <v>0.17401144549704942</v>
      </c>
      <c r="AJ187">
        <v>0.34650967791855414</v>
      </c>
      <c r="AK187">
        <v>1.2941431062009716</v>
      </c>
      <c r="AL187">
        <v>21.523524911806984</v>
      </c>
    </row>
    <row r="188" spans="1:38" x14ac:dyDescent="0.35">
      <c r="A188" t="s">
        <v>239</v>
      </c>
      <c r="B188" t="s">
        <v>73</v>
      </c>
      <c r="C188">
        <v>1</v>
      </c>
      <c r="D188" t="s">
        <v>61</v>
      </c>
      <c r="E188">
        <v>4</v>
      </c>
      <c r="F188">
        <v>26</v>
      </c>
      <c r="G188" t="s">
        <v>11</v>
      </c>
      <c r="H188">
        <v>29</v>
      </c>
      <c r="I188">
        <v>29</v>
      </c>
      <c r="J188">
        <v>0.17349999999999999</v>
      </c>
      <c r="K188">
        <v>1.2680115273766142</v>
      </c>
      <c r="L188">
        <v>0.10936824089746679</v>
      </c>
      <c r="M188">
        <v>1.2572088738260645</v>
      </c>
      <c r="N188">
        <v>0.77195026777167319</v>
      </c>
      <c r="O188">
        <v>18.584445792004122</v>
      </c>
      <c r="P188">
        <v>2.7539071275984446</v>
      </c>
      <c r="Q188">
        <v>4.2436113939252369</v>
      </c>
      <c r="R188">
        <v>0.65006434286149706</v>
      </c>
      <c r="S188">
        <v>0.45528845042287341</v>
      </c>
      <c r="T188">
        <v>7.1056399874605978</v>
      </c>
      <c r="U188">
        <v>20.351963699493115</v>
      </c>
      <c r="V188">
        <v>6.87838136683804</v>
      </c>
      <c r="W188">
        <v>1.5123087005925095</v>
      </c>
      <c r="X188">
        <v>0.26697787480129964</v>
      </c>
      <c r="Y188">
        <v>0.19409424814995596</v>
      </c>
      <c r="Z188">
        <v>0.19907025145723065</v>
      </c>
      <c r="AA188">
        <v>1.4713054188002297</v>
      </c>
      <c r="AB188">
        <v>1.312393527261186</v>
      </c>
      <c r="AC188">
        <v>0.56988474449249427</v>
      </c>
      <c r="AD188">
        <v>3.2212812897813241</v>
      </c>
      <c r="AE188">
        <v>4.7231608327572179E-2</v>
      </c>
      <c r="AF188">
        <v>0.20763281337639092</v>
      </c>
      <c r="AG188">
        <v>3.9207014348001961</v>
      </c>
      <c r="AH188">
        <v>4.7561333936974259E-2</v>
      </c>
      <c r="AI188">
        <v>0.23806426781721665</v>
      </c>
      <c r="AJ188">
        <v>0.46926136573092453</v>
      </c>
      <c r="AK188">
        <v>1.3632988812608224</v>
      </c>
      <c r="AL188">
        <v>21.797102696314525</v>
      </c>
    </row>
    <row r="189" spans="1:38" x14ac:dyDescent="0.35">
      <c r="A189" t="s">
        <v>240</v>
      </c>
      <c r="B189" t="s">
        <v>73</v>
      </c>
      <c r="C189">
        <v>1</v>
      </c>
      <c r="D189" t="s">
        <v>61</v>
      </c>
      <c r="E189">
        <v>4</v>
      </c>
      <c r="F189">
        <v>26</v>
      </c>
      <c r="G189" t="s">
        <v>11</v>
      </c>
      <c r="H189">
        <v>28</v>
      </c>
      <c r="I189">
        <v>31</v>
      </c>
      <c r="J189">
        <v>0.13389999999999999</v>
      </c>
      <c r="K189">
        <v>0.89619118745388804</v>
      </c>
      <c r="L189">
        <v>0.11485261790132768</v>
      </c>
      <c r="M189">
        <v>0.70160594480706917</v>
      </c>
      <c r="N189">
        <v>0.32478265797765221</v>
      </c>
      <c r="O189">
        <v>19.795820901427849</v>
      </c>
      <c r="P189">
        <v>1.1729526132041441</v>
      </c>
      <c r="Q189">
        <v>1.7954158842307015</v>
      </c>
      <c r="R189">
        <v>0.53169385240325795</v>
      </c>
      <c r="S189">
        <v>0.19483446050417474</v>
      </c>
      <c r="T189">
        <v>8.3853654038342516</v>
      </c>
      <c r="U189">
        <v>14.700391866164976</v>
      </c>
      <c r="V189">
        <v>3.6728270757104324</v>
      </c>
      <c r="W189">
        <v>0.89579852899786372</v>
      </c>
      <c r="X189">
        <v>0.12421860680246191</v>
      </c>
      <c r="Y189">
        <v>8.2883123539325962E-2</v>
      </c>
      <c r="Z189">
        <v>0.3215651684994239</v>
      </c>
      <c r="AA189">
        <v>0.99983113923343137</v>
      </c>
      <c r="AB189">
        <v>1.5039472825767632</v>
      </c>
      <c r="AC189">
        <v>0.40554691402354609</v>
      </c>
      <c r="AD189">
        <v>4.6993008115640862</v>
      </c>
      <c r="AE189">
        <v>8.1081815906197729E-2</v>
      </c>
      <c r="AF189">
        <v>0.23558482283321877</v>
      </c>
      <c r="AG189">
        <v>5.0920358743725611</v>
      </c>
      <c r="AH189">
        <v>3.4066740758562121E-3</v>
      </c>
      <c r="AI189">
        <v>0.43633130201326459</v>
      </c>
      <c r="AJ189">
        <v>0.41330213120773446</v>
      </c>
      <c r="AK189">
        <v>1.5250156901597358</v>
      </c>
      <c r="AL189">
        <v>31.789606836028675</v>
      </c>
    </row>
    <row r="190" spans="1:38" x14ac:dyDescent="0.35">
      <c r="A190" t="s">
        <v>241</v>
      </c>
      <c r="B190" t="s">
        <v>73</v>
      </c>
      <c r="C190">
        <v>1</v>
      </c>
      <c r="D190" t="s">
        <v>53</v>
      </c>
      <c r="E190">
        <v>4</v>
      </c>
      <c r="F190">
        <v>27</v>
      </c>
      <c r="G190" t="s">
        <v>10</v>
      </c>
      <c r="H190">
        <v>27</v>
      </c>
      <c r="I190">
        <v>31</v>
      </c>
      <c r="J190">
        <v>0.20960000000000001</v>
      </c>
      <c r="K190">
        <v>1.6698473282446205</v>
      </c>
      <c r="L190">
        <v>7.8197110450491464E-2</v>
      </c>
      <c r="M190">
        <v>1.126297874998579</v>
      </c>
      <c r="N190">
        <v>0.59567668895996051</v>
      </c>
      <c r="O190">
        <v>20.022592145592462</v>
      </c>
      <c r="P190">
        <v>1.3948193127099846</v>
      </c>
      <c r="Q190">
        <v>4.1125644150757745</v>
      </c>
      <c r="R190">
        <v>0.78315467334748934</v>
      </c>
      <c r="S190">
        <v>0.60510360662569485</v>
      </c>
      <c r="T190">
        <v>7.7517182862133875</v>
      </c>
      <c r="U190">
        <v>16.751684520940021</v>
      </c>
      <c r="V190">
        <v>6.5802417277501766</v>
      </c>
      <c r="W190">
        <v>1.7069756114976822</v>
      </c>
      <c r="X190">
        <v>0.33485737009847649</v>
      </c>
      <c r="Y190">
        <v>0.16572852621650871</v>
      </c>
      <c r="Z190">
        <v>0.16887904543278118</v>
      </c>
      <c r="AA190">
        <v>0.97308051260612982</v>
      </c>
      <c r="AB190">
        <v>0.69293834908001017</v>
      </c>
      <c r="AC190">
        <v>0.5470976878298689</v>
      </c>
      <c r="AD190">
        <v>4.6976747995660579</v>
      </c>
      <c r="AE190">
        <v>0.10244710207714547</v>
      </c>
      <c r="AF190">
        <v>0.15495320671791976</v>
      </c>
      <c r="AG190">
        <v>4.302905735428471</v>
      </c>
      <c r="AH190">
        <v>7.0455057834883331E-2</v>
      </c>
      <c r="AI190">
        <v>0.26677284856709915</v>
      </c>
      <c r="AJ190">
        <v>0.71546184258167334</v>
      </c>
      <c r="AK190">
        <v>1.7819771710386805</v>
      </c>
      <c r="AL190">
        <v>23.515744770762602</v>
      </c>
    </row>
    <row r="191" spans="1:38" x14ac:dyDescent="0.35">
      <c r="A191" t="s">
        <v>242</v>
      </c>
      <c r="B191" t="s">
        <v>73</v>
      </c>
      <c r="C191">
        <v>1</v>
      </c>
      <c r="D191" t="s">
        <v>53</v>
      </c>
      <c r="E191">
        <v>4</v>
      </c>
      <c r="F191">
        <v>27</v>
      </c>
      <c r="G191" t="s">
        <v>10</v>
      </c>
      <c r="H191">
        <v>27</v>
      </c>
      <c r="I191">
        <v>31</v>
      </c>
      <c r="J191">
        <v>0.25869999999999999</v>
      </c>
      <c r="K191">
        <v>1.314263625821785</v>
      </c>
      <c r="L191">
        <v>7.3738188836101212E-2</v>
      </c>
      <c r="M191">
        <v>1.7254420549856642</v>
      </c>
      <c r="N191">
        <v>0.74689585700560768</v>
      </c>
      <c r="O191">
        <v>19.904313686288667</v>
      </c>
      <c r="P191">
        <v>2.0778839298156786</v>
      </c>
      <c r="Q191">
        <v>6.30534191943448</v>
      </c>
      <c r="R191">
        <v>0.79146714121373873</v>
      </c>
      <c r="S191">
        <v>0.79752075123444233</v>
      </c>
      <c r="T191">
        <v>7.0380816008517515</v>
      </c>
      <c r="U191">
        <v>19.955276635765291</v>
      </c>
      <c r="V191">
        <v>8.1002242884481817</v>
      </c>
      <c r="W191">
        <v>1.7838027651897044</v>
      </c>
      <c r="X191">
        <v>0.30606464030612296</v>
      </c>
      <c r="Y191">
        <v>0.26190942409526718</v>
      </c>
      <c r="Z191">
        <v>0.20770311697609178</v>
      </c>
      <c r="AA191">
        <v>1.2382963726411875</v>
      </c>
      <c r="AB191">
        <v>0.65783040464056453</v>
      </c>
      <c r="AC191">
        <v>0.61805914627169078</v>
      </c>
      <c r="AD191">
        <v>4.0668575360670225</v>
      </c>
      <c r="AE191">
        <v>8.4915532771528607E-2</v>
      </c>
      <c r="AF191">
        <v>0.13381607622717223</v>
      </c>
      <c r="AG191">
        <v>3.8561997982913137</v>
      </c>
      <c r="AH191">
        <v>0.11720115398252447</v>
      </c>
      <c r="AI191">
        <v>0.31523158672023233</v>
      </c>
      <c r="AJ191">
        <v>0.72361936331320298</v>
      </c>
      <c r="AK191">
        <v>1.5941663249573741</v>
      </c>
      <c r="AL191">
        <v>16.518140703669452</v>
      </c>
    </row>
    <row r="192" spans="1:38" x14ac:dyDescent="0.35">
      <c r="A192" t="s">
        <v>243</v>
      </c>
      <c r="B192" t="s">
        <v>73</v>
      </c>
      <c r="C192">
        <v>1</v>
      </c>
      <c r="D192" t="s">
        <v>53</v>
      </c>
      <c r="E192">
        <v>4</v>
      </c>
      <c r="F192">
        <v>27</v>
      </c>
      <c r="G192" t="s">
        <v>10</v>
      </c>
      <c r="H192">
        <v>32</v>
      </c>
      <c r="I192">
        <v>36</v>
      </c>
      <c r="J192">
        <v>0.32469999999999999</v>
      </c>
      <c r="K192">
        <v>1.1395133969819091</v>
      </c>
      <c r="L192">
        <v>6.1932390260716431E-2</v>
      </c>
      <c r="M192">
        <v>1.3630970512417888</v>
      </c>
      <c r="N192">
        <v>0.75596088166572517</v>
      </c>
      <c r="O192">
        <v>19.37836846173127</v>
      </c>
      <c r="P192">
        <v>1.9096516547243843</v>
      </c>
      <c r="Q192">
        <v>5.1745517602072555</v>
      </c>
      <c r="R192">
        <v>0.86689118642333762</v>
      </c>
      <c r="S192">
        <v>0.83585700426806009</v>
      </c>
      <c r="T192">
        <v>7.4632749917873875</v>
      </c>
      <c r="U192">
        <v>17.83695013754911</v>
      </c>
      <c r="V192">
        <v>7.4518932950910663</v>
      </c>
      <c r="W192">
        <v>2.0279116294931292</v>
      </c>
      <c r="X192">
        <v>0.39709059045041478</v>
      </c>
      <c r="Y192">
        <v>0.23396140831774026</v>
      </c>
      <c r="Z192">
        <v>0.22376157131362329</v>
      </c>
      <c r="AA192">
        <v>1.1770283781765194</v>
      </c>
      <c r="AB192">
        <v>0.32883830467982633</v>
      </c>
      <c r="AC192">
        <v>0.58534688536013568</v>
      </c>
      <c r="AD192">
        <v>4.7701738523186084</v>
      </c>
      <c r="AE192">
        <v>8.2477400466482789E-2</v>
      </c>
      <c r="AF192">
        <v>0.17023014825014363</v>
      </c>
      <c r="AG192">
        <v>4.4138130625017942</v>
      </c>
      <c r="AH192">
        <v>0.11243716471975748</v>
      </c>
      <c r="AI192">
        <v>0.27028564973657182</v>
      </c>
      <c r="AJ192">
        <v>0.7559038171464485</v>
      </c>
      <c r="AK192">
        <v>1.8559860408772937</v>
      </c>
      <c r="AL192">
        <v>19.496325281241361</v>
      </c>
    </row>
    <row r="193" spans="1:38" x14ac:dyDescent="0.35">
      <c r="A193" t="s">
        <v>244</v>
      </c>
      <c r="B193" t="s">
        <v>73</v>
      </c>
      <c r="C193">
        <v>1</v>
      </c>
      <c r="D193" t="s">
        <v>65</v>
      </c>
      <c r="E193">
        <v>4</v>
      </c>
      <c r="F193">
        <v>28</v>
      </c>
      <c r="G193" t="s">
        <v>7</v>
      </c>
      <c r="H193">
        <v>29</v>
      </c>
      <c r="I193">
        <v>33</v>
      </c>
      <c r="J193">
        <v>0.25640000000000002</v>
      </c>
      <c r="K193">
        <v>1.911076443058118</v>
      </c>
      <c r="L193">
        <v>4.7939433332182368E-2</v>
      </c>
      <c r="M193">
        <v>1.2356769484574979</v>
      </c>
      <c r="N193">
        <v>0.36692954963699831</v>
      </c>
      <c r="O193">
        <v>18.499422811769637</v>
      </c>
      <c r="P193">
        <v>2.0636368435407451</v>
      </c>
      <c r="Q193">
        <v>4.8127230052261565</v>
      </c>
      <c r="R193">
        <v>0.68058545337647103</v>
      </c>
      <c r="S193">
        <v>0.8069696484986989</v>
      </c>
      <c r="T193">
        <v>7.3437882457934958</v>
      </c>
      <c r="U193">
        <v>19.624512763533218</v>
      </c>
      <c r="V193">
        <v>7.0801147547707473</v>
      </c>
      <c r="W193">
        <v>1.96097607824319</v>
      </c>
      <c r="X193">
        <v>0.18130135516150775</v>
      </c>
      <c r="Y193">
        <v>0.20615109676095794</v>
      </c>
      <c r="Z193">
        <v>0.22410600819993409</v>
      </c>
      <c r="AA193">
        <v>2.0336787524305202</v>
      </c>
      <c r="AB193">
        <v>1.527431344299176</v>
      </c>
      <c r="AC193">
        <v>1.2585245582461047</v>
      </c>
      <c r="AD193">
        <v>4.8796589631266292</v>
      </c>
      <c r="AE193">
        <v>4.1174954987775868E-2</v>
      </c>
      <c r="AF193">
        <v>0.17075306995346423</v>
      </c>
      <c r="AG193">
        <v>3.7319917164003877</v>
      </c>
      <c r="AH193">
        <v>7.1938584279321066E-2</v>
      </c>
      <c r="AI193">
        <v>0.29982179164714684</v>
      </c>
      <c r="AJ193">
        <v>1.0633452399205063</v>
      </c>
      <c r="AK193">
        <v>1.6469237127589962</v>
      </c>
      <c r="AL193">
        <v>18.139923315648488</v>
      </c>
    </row>
    <row r="194" spans="1:38" x14ac:dyDescent="0.35">
      <c r="A194" t="s">
        <v>245</v>
      </c>
      <c r="B194" t="s">
        <v>73</v>
      </c>
      <c r="C194">
        <v>1</v>
      </c>
      <c r="D194" t="s">
        <v>65</v>
      </c>
      <c r="E194">
        <v>4</v>
      </c>
      <c r="F194">
        <v>28</v>
      </c>
      <c r="G194" t="s">
        <v>7</v>
      </c>
      <c r="H194">
        <v>30</v>
      </c>
      <c r="I194">
        <v>35</v>
      </c>
      <c r="J194">
        <v>0.26379999999999998</v>
      </c>
      <c r="K194">
        <v>2.2365428354809267</v>
      </c>
      <c r="L194">
        <v>6.4350849622031109E-2</v>
      </c>
      <c r="M194">
        <v>1.2145797024508516</v>
      </c>
      <c r="N194">
        <v>0.34447468801459191</v>
      </c>
      <c r="O194">
        <v>18.667465671295517</v>
      </c>
      <c r="P194">
        <v>1.6923116201530457</v>
      </c>
      <c r="Q194">
        <v>4.4712573562438411</v>
      </c>
      <c r="R194">
        <v>0.70598369216321943</v>
      </c>
      <c r="S194">
        <v>0.71732603326754307</v>
      </c>
      <c r="T194">
        <v>7.5153262522736801</v>
      </c>
      <c r="U194">
        <v>18.847223508867195</v>
      </c>
      <c r="V194">
        <v>6.2454482484947675</v>
      </c>
      <c r="W194">
        <v>2.1846469808155349</v>
      </c>
      <c r="X194">
        <v>0.32889603516913724</v>
      </c>
      <c r="Y194">
        <v>0.29135955654944046</v>
      </c>
      <c r="Z194">
        <v>0.21053546154730202</v>
      </c>
      <c r="AA194">
        <v>1.8512870849320633</v>
      </c>
      <c r="AB194">
        <v>1.6973788107163323</v>
      </c>
      <c r="AC194">
        <v>1.1246861555167336</v>
      </c>
      <c r="AD194">
        <v>4.5184178561502115</v>
      </c>
      <c r="AE194">
        <v>8.7397659768034139E-2</v>
      </c>
      <c r="AF194">
        <v>0.26753387877515705</v>
      </c>
      <c r="AG194">
        <v>4.3274171488824926</v>
      </c>
      <c r="AH194">
        <v>3.8999293447435412E-2</v>
      </c>
      <c r="AI194">
        <v>0.30795892907469502</v>
      </c>
      <c r="AJ194">
        <v>1.0809284879696455</v>
      </c>
      <c r="AK194">
        <v>1.8483380502393421</v>
      </c>
      <c r="AL194">
        <v>19.348470987600194</v>
      </c>
    </row>
    <row r="195" spans="1:38" x14ac:dyDescent="0.35">
      <c r="A195" t="s">
        <v>246</v>
      </c>
      <c r="B195" t="s">
        <v>73</v>
      </c>
      <c r="C195">
        <v>1</v>
      </c>
      <c r="D195" t="s">
        <v>65</v>
      </c>
      <c r="E195">
        <v>4</v>
      </c>
      <c r="F195">
        <v>28</v>
      </c>
      <c r="G195" t="s">
        <v>7</v>
      </c>
      <c r="H195">
        <v>32</v>
      </c>
      <c r="I195">
        <v>37</v>
      </c>
      <c r="J195">
        <v>0.31790000000000002</v>
      </c>
      <c r="K195">
        <v>1.918842403271467</v>
      </c>
      <c r="L195">
        <v>8.2014969644458299E-2</v>
      </c>
      <c r="M195">
        <v>1.3235419158512973</v>
      </c>
      <c r="N195">
        <v>0.36046276377052744</v>
      </c>
      <c r="O195">
        <v>19.131176642107977</v>
      </c>
      <c r="P195">
        <v>1.8388492528489113</v>
      </c>
      <c r="Q195">
        <v>4.8959732958040556</v>
      </c>
      <c r="R195">
        <v>0.75286738272271392</v>
      </c>
      <c r="S195">
        <v>0.8711120255271122</v>
      </c>
      <c r="T195">
        <v>8.155425614366381</v>
      </c>
      <c r="U195">
        <v>20.053031231116503</v>
      </c>
      <c r="V195">
        <v>6.9749511048411037</v>
      </c>
      <c r="W195">
        <v>2.1729222288116068</v>
      </c>
      <c r="X195">
        <v>0.27260190969857723</v>
      </c>
      <c r="Y195">
        <v>0.27170672318751271</v>
      </c>
      <c r="Z195">
        <v>0.35420720759747837</v>
      </c>
      <c r="AA195">
        <v>2.0853880371956621</v>
      </c>
      <c r="AB195">
        <v>0.5004200090894575</v>
      </c>
      <c r="AC195">
        <v>1.0741330405291123</v>
      </c>
      <c r="AD195">
        <v>4.202818854536539</v>
      </c>
      <c r="AE195">
        <v>5.8623668475755585E-2</v>
      </c>
      <c r="AF195">
        <v>0.15482426879654887</v>
      </c>
      <c r="AG195">
        <v>3.6148521128593338</v>
      </c>
      <c r="AH195">
        <v>8.2027510616261082E-2</v>
      </c>
      <c r="AI195">
        <v>0.31829523905654189</v>
      </c>
      <c r="AJ195">
        <v>1.0243107455023683</v>
      </c>
      <c r="AK195">
        <v>1.4385300863109092</v>
      </c>
      <c r="AL195">
        <v>17.934932159135275</v>
      </c>
    </row>
    <row r="196" spans="1:38" x14ac:dyDescent="0.35">
      <c r="A196" t="s">
        <v>247</v>
      </c>
      <c r="B196" t="s">
        <v>73</v>
      </c>
      <c r="C196">
        <v>1</v>
      </c>
      <c r="D196" t="s">
        <v>69</v>
      </c>
      <c r="E196">
        <v>4</v>
      </c>
      <c r="F196">
        <v>29</v>
      </c>
      <c r="G196" t="s">
        <v>8</v>
      </c>
      <c r="H196">
        <v>30</v>
      </c>
      <c r="I196">
        <v>34</v>
      </c>
      <c r="J196">
        <v>0.24579999999999999</v>
      </c>
      <c r="K196">
        <v>1.2611879576891296</v>
      </c>
      <c r="L196">
        <v>6.2170406922503564E-2</v>
      </c>
      <c r="M196">
        <v>1.1595481417737681</v>
      </c>
      <c r="N196">
        <v>0.56539208927252171</v>
      </c>
      <c r="O196">
        <v>19.799373762869042</v>
      </c>
      <c r="P196">
        <v>1.7180188792560185</v>
      </c>
      <c r="Q196">
        <v>3.3107129987807626</v>
      </c>
      <c r="R196">
        <v>0.6371181245135803</v>
      </c>
      <c r="S196">
        <v>0.42803538256243867</v>
      </c>
      <c r="T196">
        <v>7.9539511679832566</v>
      </c>
      <c r="U196">
        <v>16.654771561660336</v>
      </c>
      <c r="V196">
        <v>5.5133770569487481</v>
      </c>
      <c r="W196">
        <v>1.5711410975110118</v>
      </c>
      <c r="X196">
        <v>0.2048261064866386</v>
      </c>
      <c r="Y196">
        <v>0.17049083762095707</v>
      </c>
      <c r="Z196">
        <v>0.26065927665168814</v>
      </c>
      <c r="AA196">
        <v>1.3994474765407887</v>
      </c>
      <c r="AB196">
        <v>2.7243248535187585</v>
      </c>
      <c r="AC196">
        <v>0.86277492484660823</v>
      </c>
      <c r="AD196">
        <v>3.6735998104505585</v>
      </c>
      <c r="AE196">
        <v>8.0321575892996724E-2</v>
      </c>
      <c r="AF196">
        <v>0.25201190607430274</v>
      </c>
      <c r="AG196">
        <v>4.8200316902972737</v>
      </c>
      <c r="AH196">
        <v>6.1356759362705821E-3</v>
      </c>
      <c r="AI196">
        <v>0.26573778664828218</v>
      </c>
      <c r="AJ196">
        <v>0.61986451822027555</v>
      </c>
      <c r="AK196">
        <v>1.9602851139517934</v>
      </c>
      <c r="AL196">
        <v>23.325877776808824</v>
      </c>
    </row>
    <row r="197" spans="1:38" x14ac:dyDescent="0.35">
      <c r="A197" t="s">
        <v>248</v>
      </c>
      <c r="B197" t="s">
        <v>73</v>
      </c>
      <c r="C197">
        <v>1</v>
      </c>
      <c r="D197" t="s">
        <v>69</v>
      </c>
      <c r="E197">
        <v>4</v>
      </c>
      <c r="F197">
        <v>29</v>
      </c>
      <c r="G197" t="s">
        <v>8</v>
      </c>
      <c r="H197">
        <v>30</v>
      </c>
      <c r="I197">
        <v>35</v>
      </c>
      <c r="J197">
        <v>0.2442</v>
      </c>
      <c r="K197">
        <v>1.6789516789521306</v>
      </c>
      <c r="L197">
        <v>5.4574719229817562E-2</v>
      </c>
      <c r="M197">
        <v>1.3144522255656588</v>
      </c>
      <c r="N197">
        <v>0.47949092233438639</v>
      </c>
      <c r="O197">
        <v>17.17923537796505</v>
      </c>
      <c r="P197">
        <v>1.552862379238384</v>
      </c>
      <c r="Q197">
        <v>4.8678264626623431</v>
      </c>
      <c r="R197">
        <v>0.53996350002923521</v>
      </c>
      <c r="S197">
        <v>0.45857283471190741</v>
      </c>
      <c r="T197">
        <v>6.5655586434932065</v>
      </c>
      <c r="U197">
        <v>19.17201452447474</v>
      </c>
      <c r="V197">
        <v>6.2066731092089569</v>
      </c>
      <c r="W197">
        <v>1.9345658577480014</v>
      </c>
      <c r="X197">
        <v>0.65098056635697643</v>
      </c>
      <c r="Y197">
        <v>0.22443927026977653</v>
      </c>
      <c r="Z197">
        <v>0.1174884870219364</v>
      </c>
      <c r="AA197">
        <v>1.4021455204068851</v>
      </c>
      <c r="AB197">
        <v>0.98413391404196549</v>
      </c>
      <c r="AC197">
        <v>0.65170762476365951</v>
      </c>
      <c r="AD197">
        <v>3.8646497363623933</v>
      </c>
      <c r="AE197">
        <v>0.17489714991356575</v>
      </c>
      <c r="AF197">
        <v>0.55756803671637289</v>
      </c>
      <c r="AG197">
        <v>4.7353019052404388</v>
      </c>
      <c r="AH197">
        <v>1.8440298792490907E-2</v>
      </c>
      <c r="AI197">
        <v>0.27278401119138984</v>
      </c>
      <c r="AJ197">
        <v>0.70634297771484578</v>
      </c>
      <c r="AK197">
        <v>2.2476024661821148</v>
      </c>
      <c r="AL197">
        <v>23.065727478363481</v>
      </c>
    </row>
    <row r="198" spans="1:38" x14ac:dyDescent="0.35">
      <c r="A198" t="s">
        <v>249</v>
      </c>
      <c r="B198" t="s">
        <v>73</v>
      </c>
      <c r="C198">
        <v>1</v>
      </c>
      <c r="D198" t="s">
        <v>69</v>
      </c>
      <c r="E198">
        <v>4</v>
      </c>
      <c r="F198">
        <v>29</v>
      </c>
      <c r="G198" t="s">
        <v>8</v>
      </c>
      <c r="H198">
        <v>28</v>
      </c>
      <c r="I198">
        <v>32</v>
      </c>
      <c r="J198">
        <v>0.22309999999999999</v>
      </c>
      <c r="K198">
        <v>1.7032720753025665</v>
      </c>
      <c r="L198">
        <v>6.0873796511226402E-2</v>
      </c>
      <c r="M198">
        <v>1.0828387941486874</v>
      </c>
      <c r="N198">
        <v>0.58308866439296514</v>
      </c>
      <c r="O198">
        <v>18.974680013014734</v>
      </c>
      <c r="P198">
        <v>2.1832453383462038</v>
      </c>
      <c r="Q198">
        <v>4.0223480351055976</v>
      </c>
      <c r="R198">
        <v>0.65054443412621776</v>
      </c>
      <c r="S198">
        <v>0.49619030198493624</v>
      </c>
      <c r="T198">
        <v>7.7910116188032008</v>
      </c>
      <c r="U198">
        <v>16.966538894559566</v>
      </c>
      <c r="V198">
        <v>6.2317143513507292</v>
      </c>
      <c r="W198">
        <v>1.3876690710534505</v>
      </c>
      <c r="X198">
        <v>0.21520345483658376</v>
      </c>
      <c r="Y198">
        <v>0.18015769206398102</v>
      </c>
      <c r="Z198">
        <v>0.19327194924539959</v>
      </c>
      <c r="AA198">
        <v>1.1275227906106933</v>
      </c>
      <c r="AB198">
        <v>1.1908706674226159</v>
      </c>
      <c r="AC198">
        <v>0.69683331960821959</v>
      </c>
      <c r="AD198">
        <v>4.6785014228631603</v>
      </c>
      <c r="AE198">
        <v>6.5431117688618076E-2</v>
      </c>
      <c r="AF198">
        <v>0.19757563269412276</v>
      </c>
      <c r="AG198">
        <v>3.9894841501041727</v>
      </c>
      <c r="AH198">
        <v>2.1856600881840535E-2</v>
      </c>
      <c r="AI198">
        <v>0.28214527443542914</v>
      </c>
      <c r="AJ198">
        <v>0.66909929475065422</v>
      </c>
      <c r="AK198">
        <v>1.9045367809711544</v>
      </c>
      <c r="AL198">
        <v>24.156766538425849</v>
      </c>
    </row>
    <row r="199" spans="1:38" x14ac:dyDescent="0.35">
      <c r="A199" t="s">
        <v>250</v>
      </c>
      <c r="B199" t="s">
        <v>73</v>
      </c>
      <c r="C199">
        <v>1</v>
      </c>
      <c r="D199" t="s">
        <v>61</v>
      </c>
      <c r="E199">
        <v>4</v>
      </c>
      <c r="F199">
        <v>30</v>
      </c>
      <c r="G199" t="s">
        <v>11</v>
      </c>
      <c r="H199">
        <v>24</v>
      </c>
      <c r="I199">
        <v>28</v>
      </c>
      <c r="J199">
        <v>0.13669999999999999</v>
      </c>
      <c r="K199">
        <v>0.43891733723509735</v>
      </c>
      <c r="L199">
        <v>7.4947777329816515E-2</v>
      </c>
      <c r="M199">
        <v>1.1958383218044195</v>
      </c>
      <c r="N199">
        <v>0.78639298863154194</v>
      </c>
      <c r="O199">
        <v>19.651646827044623</v>
      </c>
      <c r="P199">
        <v>2.3023900161783235</v>
      </c>
      <c r="Q199">
        <v>4.2941421053152107</v>
      </c>
      <c r="R199">
        <v>0.63935820437258173</v>
      </c>
      <c r="S199">
        <v>0.44770862336656259</v>
      </c>
      <c r="T199">
        <v>7.03800200995369</v>
      </c>
      <c r="U199">
        <v>19.778114396103099</v>
      </c>
      <c r="V199">
        <v>6.6206147011374403</v>
      </c>
      <c r="W199">
        <v>1.2374834651813196</v>
      </c>
      <c r="X199">
        <v>0.20535976158051719</v>
      </c>
      <c r="Y199">
        <v>0.16352796168449779</v>
      </c>
      <c r="Z199">
        <v>0.13075029919160483</v>
      </c>
      <c r="AA199">
        <v>1.103460195775986</v>
      </c>
      <c r="AB199">
        <v>3.9794327329504782</v>
      </c>
      <c r="AC199">
        <v>0.55534980851050275</v>
      </c>
      <c r="AD199">
        <v>3.3683724346119202</v>
      </c>
      <c r="AE199">
        <v>5.863088661678071E-2</v>
      </c>
      <c r="AF199">
        <v>0.14921244364868849</v>
      </c>
      <c r="AG199">
        <v>3.4829147260599758</v>
      </c>
      <c r="AH199">
        <v>5.5167371206450898E-2</v>
      </c>
      <c r="AI199">
        <v>0.20402853765596299</v>
      </c>
      <c r="AJ199">
        <v>0.43255444722054248</v>
      </c>
      <c r="AK199">
        <v>1.2390881927554169</v>
      </c>
      <c r="AL199">
        <v>20.805510764112029</v>
      </c>
    </row>
    <row r="200" spans="1:38" x14ac:dyDescent="0.35">
      <c r="A200" t="s">
        <v>251</v>
      </c>
      <c r="B200" t="s">
        <v>73</v>
      </c>
      <c r="C200">
        <v>1</v>
      </c>
      <c r="D200" t="s">
        <v>61</v>
      </c>
      <c r="E200">
        <v>4</v>
      </c>
      <c r="F200">
        <v>30</v>
      </c>
      <c r="G200" t="s">
        <v>11</v>
      </c>
      <c r="H200">
        <v>26</v>
      </c>
      <c r="I200">
        <v>31</v>
      </c>
      <c r="J200">
        <v>0.16339999999999999</v>
      </c>
      <c r="K200">
        <v>1.7747858017137985</v>
      </c>
      <c r="L200">
        <v>5.8451606965623064E-2</v>
      </c>
      <c r="M200">
        <v>1.002727907304261</v>
      </c>
      <c r="N200">
        <v>0.71145290539127692</v>
      </c>
      <c r="O200">
        <v>19.565014982532961</v>
      </c>
      <c r="P200">
        <v>2.0785914757439206</v>
      </c>
      <c r="Q200">
        <v>3.2564636831093656</v>
      </c>
      <c r="R200">
        <v>0.64349352694961715</v>
      </c>
      <c r="S200">
        <v>7.5399889522640942E-2</v>
      </c>
      <c r="T200">
        <v>7.8013934871051616</v>
      </c>
      <c r="U200">
        <v>18.275731173422088</v>
      </c>
      <c r="V200">
        <v>6.1280338390287774</v>
      </c>
      <c r="W200">
        <v>1.2477795811793688</v>
      </c>
      <c r="X200">
        <v>0.20902369824012088</v>
      </c>
      <c r="Y200">
        <v>0.1366000131498723</v>
      </c>
      <c r="Z200">
        <v>0.11075383707427504</v>
      </c>
      <c r="AA200">
        <v>1.2029829158004934</v>
      </c>
      <c r="AB200">
        <v>1.1484101326442997</v>
      </c>
      <c r="AC200">
        <v>0.51806286388876577</v>
      </c>
      <c r="AD200">
        <v>3.6181438999541387</v>
      </c>
      <c r="AE200">
        <v>5.6689737310745954E-2</v>
      </c>
      <c r="AF200">
        <v>0.16653101625608463</v>
      </c>
      <c r="AG200">
        <v>4.2456161588420729</v>
      </c>
      <c r="AH200">
        <v>2.3012728261394885E-3</v>
      </c>
      <c r="AI200">
        <v>0.20536623754117592</v>
      </c>
      <c r="AJ200">
        <v>0.46456888707509686</v>
      </c>
      <c r="AK200">
        <v>1.6802734053067025</v>
      </c>
      <c r="AL200">
        <v>25.39014186583497</v>
      </c>
    </row>
    <row r="201" spans="1:38" x14ac:dyDescent="0.35">
      <c r="A201" t="s">
        <v>252</v>
      </c>
      <c r="B201" t="s">
        <v>73</v>
      </c>
      <c r="C201">
        <v>1</v>
      </c>
      <c r="D201" t="s">
        <v>61</v>
      </c>
      <c r="E201">
        <v>4</v>
      </c>
      <c r="F201">
        <v>30</v>
      </c>
      <c r="G201" t="s">
        <v>11</v>
      </c>
      <c r="H201">
        <v>25</v>
      </c>
      <c r="I201">
        <v>30</v>
      </c>
      <c r="J201">
        <v>0.1244</v>
      </c>
      <c r="K201">
        <v>2.4919614147909011</v>
      </c>
      <c r="L201">
        <v>8.0242161995148498E-2</v>
      </c>
      <c r="M201">
        <v>0.84759366436419437</v>
      </c>
      <c r="N201">
        <v>0.50305825664174941</v>
      </c>
      <c r="O201">
        <v>19.424511403494321</v>
      </c>
      <c r="P201">
        <v>1.6148962949637944</v>
      </c>
      <c r="Q201">
        <v>2.6718077478635145</v>
      </c>
      <c r="R201">
        <v>0.56474631740980574</v>
      </c>
      <c r="S201">
        <v>0.55747366977284618</v>
      </c>
      <c r="T201">
        <v>7.7329378119017802</v>
      </c>
      <c r="U201">
        <v>16.912371688985505</v>
      </c>
      <c r="V201">
        <v>5.0246981412045173</v>
      </c>
      <c r="W201">
        <v>1.1053129966717401</v>
      </c>
      <c r="X201">
        <v>0.1716138788375583</v>
      </c>
      <c r="Y201">
        <v>8.7274413360780956E-2</v>
      </c>
      <c r="Z201">
        <v>0.17725394520330781</v>
      </c>
      <c r="AA201">
        <v>1.0218426561759144</v>
      </c>
      <c r="AB201">
        <v>2.963296151999339</v>
      </c>
      <c r="AC201">
        <v>0.37872715431349696</v>
      </c>
      <c r="AD201">
        <v>4.0422699066571663</v>
      </c>
      <c r="AE201">
        <v>0.1028116734685823</v>
      </c>
      <c r="AF201">
        <v>0.20958856455542693</v>
      </c>
      <c r="AG201">
        <v>4.338657375465254</v>
      </c>
      <c r="AH201">
        <v>1.622410659730715E-2</v>
      </c>
      <c r="AI201">
        <v>0.21892439337817113</v>
      </c>
      <c r="AJ201">
        <v>0.53650371810478081</v>
      </c>
      <c r="AK201">
        <v>1.4915201734276817</v>
      </c>
      <c r="AL201">
        <v>27.203841733186319</v>
      </c>
    </row>
    <row r="202" spans="1:38" x14ac:dyDescent="0.35">
      <c r="A202" t="s">
        <v>253</v>
      </c>
      <c r="B202" t="s">
        <v>73</v>
      </c>
      <c r="C202">
        <v>1</v>
      </c>
      <c r="D202" t="s">
        <v>61</v>
      </c>
      <c r="E202">
        <v>4</v>
      </c>
      <c r="F202">
        <v>31</v>
      </c>
      <c r="G202" t="s">
        <v>11</v>
      </c>
      <c r="H202">
        <v>27</v>
      </c>
      <c r="I202">
        <v>31</v>
      </c>
      <c r="J202">
        <v>0.1719</v>
      </c>
      <c r="K202">
        <v>1.8615474112854262</v>
      </c>
      <c r="L202">
        <v>5.8272840911963157E-2</v>
      </c>
      <c r="M202">
        <v>1.1683497080256549</v>
      </c>
      <c r="N202">
        <v>0.76619329230814703</v>
      </c>
      <c r="O202">
        <v>18.211852134660649</v>
      </c>
      <c r="P202">
        <v>2.8239152415104445</v>
      </c>
      <c r="Q202">
        <v>4.8879784349481188</v>
      </c>
      <c r="R202">
        <v>0.55579520756024459</v>
      </c>
      <c r="S202">
        <v>0.45714120406297937</v>
      </c>
      <c r="T202">
        <v>6.7288193930384219</v>
      </c>
      <c r="U202">
        <v>20.958910700742166</v>
      </c>
      <c r="V202">
        <v>7.7506283274601158</v>
      </c>
      <c r="W202">
        <v>1.2000820248578272</v>
      </c>
      <c r="X202">
        <v>0.27426533709385825</v>
      </c>
      <c r="Y202">
        <v>0.19404605008332845</v>
      </c>
      <c r="Z202">
        <v>0.12535607210980124</v>
      </c>
      <c r="AA202">
        <v>1.3434565256199817</v>
      </c>
      <c r="AB202">
        <v>1.6803576486601768</v>
      </c>
      <c r="AC202">
        <v>0.57325320094899734</v>
      </c>
      <c r="AD202">
        <v>3.6944252945137031</v>
      </c>
      <c r="AE202">
        <v>8.0290118074887257E-2</v>
      </c>
      <c r="AF202">
        <v>0.16478536460215826</v>
      </c>
      <c r="AG202">
        <v>3.4279501318489212</v>
      </c>
      <c r="AH202">
        <v>3.3890800319699134E-2</v>
      </c>
      <c r="AI202">
        <v>0.19790696441593966</v>
      </c>
      <c r="AJ202">
        <v>0.363184418517845</v>
      </c>
      <c r="AK202">
        <v>1.5639946364232775</v>
      </c>
      <c r="AL202">
        <v>20.714898926680736</v>
      </c>
    </row>
    <row r="203" spans="1:38" x14ac:dyDescent="0.35">
      <c r="A203" t="s">
        <v>254</v>
      </c>
      <c r="B203" t="s">
        <v>73</v>
      </c>
      <c r="C203">
        <v>1</v>
      </c>
      <c r="D203" t="s">
        <v>61</v>
      </c>
      <c r="E203">
        <v>4</v>
      </c>
      <c r="F203">
        <v>31</v>
      </c>
      <c r="G203" t="s">
        <v>11</v>
      </c>
      <c r="H203">
        <v>28</v>
      </c>
      <c r="I203">
        <v>32</v>
      </c>
      <c r="J203">
        <v>0.19450000000000001</v>
      </c>
      <c r="K203">
        <v>1.6966580976860743</v>
      </c>
      <c r="L203">
        <v>0.11448326196244206</v>
      </c>
      <c r="M203">
        <v>0.92305540708099421</v>
      </c>
      <c r="N203">
        <v>0.58469741069795822</v>
      </c>
      <c r="O203">
        <v>19.425110781907918</v>
      </c>
      <c r="P203">
        <v>1.5269076906325374</v>
      </c>
      <c r="Q203">
        <v>2.7026746818281349</v>
      </c>
      <c r="R203">
        <v>0.57488020268026863</v>
      </c>
      <c r="S203">
        <v>0.30898885375723578</v>
      </c>
      <c r="T203">
        <v>8.0248089171476664</v>
      </c>
      <c r="U203">
        <v>16.795876220198828</v>
      </c>
      <c r="V203">
        <v>5.4883103341066555</v>
      </c>
      <c r="W203">
        <v>1.3600535177863573</v>
      </c>
      <c r="X203">
        <v>0.16535416177352796</v>
      </c>
      <c r="Y203">
        <v>7.8369824027889015E-2</v>
      </c>
      <c r="Z203">
        <v>0.27812545457696491</v>
      </c>
      <c r="AA203">
        <v>1.2025149507897106</v>
      </c>
      <c r="AB203">
        <v>1.3875457283986155</v>
      </c>
      <c r="AC203">
        <v>0.48832745379824433</v>
      </c>
      <c r="AD203">
        <v>3.7954893343506177</v>
      </c>
      <c r="AE203">
        <v>9.9749777244998922E-2</v>
      </c>
      <c r="AF203">
        <v>0.26341978336406585</v>
      </c>
      <c r="AG203">
        <v>4.4453336453816732</v>
      </c>
      <c r="AH203">
        <v>2.1271576458024435E-2</v>
      </c>
      <c r="AI203">
        <v>0.21792839896634661</v>
      </c>
      <c r="AJ203">
        <v>0.50225051053845537</v>
      </c>
      <c r="AK203">
        <v>1.5000302543793396</v>
      </c>
      <c r="AL203">
        <v>27.724441866164547</v>
      </c>
    </row>
    <row r="204" spans="1:38" x14ac:dyDescent="0.35">
      <c r="A204" t="s">
        <v>255</v>
      </c>
      <c r="B204" t="s">
        <v>73</v>
      </c>
      <c r="C204">
        <v>1</v>
      </c>
      <c r="D204" t="s">
        <v>61</v>
      </c>
      <c r="E204">
        <v>4</v>
      </c>
      <c r="F204">
        <v>31</v>
      </c>
      <c r="G204" t="s">
        <v>11</v>
      </c>
      <c r="H204">
        <v>29</v>
      </c>
      <c r="I204">
        <v>34</v>
      </c>
      <c r="J204">
        <v>0.20050000000000001</v>
      </c>
      <c r="K204">
        <v>2.6433915211970485</v>
      </c>
      <c r="L204">
        <v>5.9704912159719646E-2</v>
      </c>
      <c r="M204">
        <v>1.0591450890875713</v>
      </c>
      <c r="N204">
        <v>0.67832623858391761</v>
      </c>
      <c r="O204">
        <v>18.75986040435037</v>
      </c>
      <c r="P204">
        <v>2.1152873737957858</v>
      </c>
      <c r="Q204">
        <v>3.6917538563878782</v>
      </c>
      <c r="R204">
        <v>0.58160467350366207</v>
      </c>
      <c r="S204">
        <v>0.43354896789069286</v>
      </c>
      <c r="T204">
        <v>7.4611916435051446</v>
      </c>
      <c r="U204">
        <v>18.46122605578875</v>
      </c>
      <c r="V204">
        <v>6.3548378163179038</v>
      </c>
      <c r="W204">
        <v>1.2853805880417264</v>
      </c>
      <c r="X204">
        <v>0.21066235924436269</v>
      </c>
      <c r="Y204">
        <v>0.12090831822400452</v>
      </c>
      <c r="Z204">
        <v>0.12064875377765333</v>
      </c>
      <c r="AA204">
        <v>1.2099709362708431</v>
      </c>
      <c r="AB204">
        <v>0.97225207354730236</v>
      </c>
      <c r="AC204">
        <v>0.59572803308453526</v>
      </c>
      <c r="AD204">
        <v>3.6433076429725508</v>
      </c>
      <c r="AE204">
        <v>7.8544783122889955E-2</v>
      </c>
      <c r="AF204">
        <v>0.17938884235107602</v>
      </c>
      <c r="AG204">
        <v>4.1098663739690977</v>
      </c>
      <c r="AH204">
        <v>1.1944326959824083E-2</v>
      </c>
      <c r="AI204">
        <v>0.16564646812002931</v>
      </c>
      <c r="AJ204">
        <v>0.40220856043980313</v>
      </c>
      <c r="AK204">
        <v>1.5736185443950124</v>
      </c>
      <c r="AL204">
        <v>25.663436364107902</v>
      </c>
    </row>
    <row r="205" spans="1:38" x14ac:dyDescent="0.35">
      <c r="A205" t="s">
        <v>256</v>
      </c>
      <c r="B205" t="s">
        <v>73</v>
      </c>
      <c r="C205">
        <v>1</v>
      </c>
      <c r="D205" t="s">
        <v>69</v>
      </c>
      <c r="E205">
        <v>4</v>
      </c>
      <c r="F205">
        <v>32</v>
      </c>
      <c r="G205" t="s">
        <v>8</v>
      </c>
      <c r="H205">
        <v>28</v>
      </c>
      <c r="I205">
        <v>34</v>
      </c>
      <c r="J205">
        <v>0.1971</v>
      </c>
      <c r="K205">
        <v>0.65956367326166754</v>
      </c>
      <c r="L205">
        <v>7.6147256029566873E-2</v>
      </c>
      <c r="M205">
        <v>1.0431034651901523</v>
      </c>
      <c r="N205">
        <v>0.53665140185754523</v>
      </c>
      <c r="O205">
        <v>20.997070116421956</v>
      </c>
      <c r="P205">
        <v>2.1134539851681509</v>
      </c>
      <c r="Q205">
        <v>3.5008985815630651</v>
      </c>
      <c r="R205">
        <v>0.60037229227858313</v>
      </c>
      <c r="S205">
        <v>0.35969832054398687</v>
      </c>
      <c r="T205">
        <v>8.0788636432011049</v>
      </c>
      <c r="U205">
        <v>17.410751512255985</v>
      </c>
      <c r="V205">
        <v>5.5387050222791618</v>
      </c>
      <c r="W205">
        <v>1.2048066571964675</v>
      </c>
      <c r="X205">
        <v>0.12793842670439043</v>
      </c>
      <c r="Y205">
        <v>0.10973420984992216</v>
      </c>
      <c r="Z205">
        <v>0.11278050885313141</v>
      </c>
      <c r="AA205">
        <v>1.1336095093089824</v>
      </c>
      <c r="AB205">
        <v>2.392344140674306</v>
      </c>
      <c r="AC205">
        <v>0.63086900517787003</v>
      </c>
      <c r="AD205">
        <v>4.0900983857497035</v>
      </c>
      <c r="AE205">
        <v>4.9027939375032262E-2</v>
      </c>
      <c r="AF205">
        <v>0.12567695079224614</v>
      </c>
      <c r="AG205">
        <v>3.7953840302889374</v>
      </c>
      <c r="AH205">
        <v>1.6719388792857053E-2</v>
      </c>
      <c r="AI205">
        <v>0.23625321041695679</v>
      </c>
      <c r="AJ205">
        <v>0.55150172628379046</v>
      </c>
      <c r="AK205">
        <v>1.3491630106991002</v>
      </c>
      <c r="AL205">
        <v>23.818377303047001</v>
      </c>
    </row>
    <row r="206" spans="1:38" x14ac:dyDescent="0.35">
      <c r="A206" t="s">
        <v>257</v>
      </c>
      <c r="B206" t="s">
        <v>73</v>
      </c>
      <c r="C206">
        <v>1</v>
      </c>
      <c r="D206" t="s">
        <v>69</v>
      </c>
      <c r="E206">
        <v>4</v>
      </c>
      <c r="F206">
        <v>32</v>
      </c>
      <c r="G206" t="s">
        <v>8</v>
      </c>
      <c r="H206">
        <v>29</v>
      </c>
      <c r="I206">
        <v>33</v>
      </c>
      <c r="J206">
        <v>0.26590000000000003</v>
      </c>
      <c r="K206">
        <v>1.5043249341856184</v>
      </c>
      <c r="L206">
        <v>5.3436449431024199E-2</v>
      </c>
      <c r="M206">
        <v>1.5526983175992857</v>
      </c>
      <c r="N206">
        <v>0.67658246873699668</v>
      </c>
      <c r="O206">
        <v>18.216303616009931</v>
      </c>
      <c r="P206">
        <v>2.2669851531857801</v>
      </c>
      <c r="Q206">
        <v>5.1914745635016377</v>
      </c>
      <c r="R206">
        <v>0.67162417904626381</v>
      </c>
      <c r="S206">
        <v>0.72937275114579181</v>
      </c>
      <c r="T206">
        <v>6.8964683252866532</v>
      </c>
      <c r="U206">
        <v>21.038434828704737</v>
      </c>
      <c r="V206">
        <v>7.6761131313130786</v>
      </c>
      <c r="W206">
        <v>1.9096600009175311</v>
      </c>
      <c r="X206">
        <v>0.24719992281951803</v>
      </c>
      <c r="Y206">
        <v>0.22333212843593533</v>
      </c>
      <c r="Z206">
        <v>0.18046168229883869</v>
      </c>
      <c r="AA206">
        <v>1.9110806564371696</v>
      </c>
      <c r="AB206">
        <v>1.0356845803163754</v>
      </c>
      <c r="AC206">
        <v>0.7364219643661164</v>
      </c>
      <c r="AD206">
        <v>3.9288107890664037</v>
      </c>
      <c r="AE206">
        <v>7.2746551622534184E-2</v>
      </c>
      <c r="AF206">
        <v>0.18835898973583876</v>
      </c>
      <c r="AG206">
        <v>3.6910499855201917</v>
      </c>
      <c r="AH206">
        <v>8.0120151110066415E-2</v>
      </c>
      <c r="AI206">
        <v>0.26285449141349876</v>
      </c>
      <c r="AJ206">
        <v>0.6406980521497041</v>
      </c>
      <c r="AK206">
        <v>1.6012624592417284</v>
      </c>
      <c r="AL206">
        <v>18.320763810587366</v>
      </c>
    </row>
    <row r="207" spans="1:38" x14ac:dyDescent="0.35">
      <c r="A207" t="s">
        <v>258</v>
      </c>
      <c r="B207" t="s">
        <v>73</v>
      </c>
      <c r="C207">
        <v>1</v>
      </c>
      <c r="D207" t="s">
        <v>69</v>
      </c>
      <c r="E207">
        <v>4</v>
      </c>
      <c r="F207">
        <v>32</v>
      </c>
      <c r="G207" t="s">
        <v>8</v>
      </c>
      <c r="H207">
        <v>26</v>
      </c>
      <c r="I207">
        <v>30</v>
      </c>
      <c r="J207">
        <v>0.18340000000000001</v>
      </c>
      <c r="K207">
        <v>1.1450381679391683</v>
      </c>
      <c r="L207">
        <v>5.8180519243343568E-2</v>
      </c>
      <c r="M207">
        <v>1.1269315072227606</v>
      </c>
      <c r="N207">
        <v>0.57388464102780101</v>
      </c>
      <c r="O207">
        <v>18.707860042099085</v>
      </c>
      <c r="P207">
        <v>2.1563940002835618</v>
      </c>
      <c r="Q207">
        <v>3.8090153317020801</v>
      </c>
      <c r="R207">
        <v>0.65479328378123525</v>
      </c>
      <c r="S207">
        <v>0.4352243656182313</v>
      </c>
      <c r="T207">
        <v>7.7118078141817996</v>
      </c>
      <c r="U207">
        <v>17.673709407902386</v>
      </c>
      <c r="V207">
        <v>6.3472282430586446</v>
      </c>
      <c r="W207">
        <v>1.4678036892671398</v>
      </c>
      <c r="X207">
        <v>0.18090035062768026</v>
      </c>
      <c r="Y207">
        <v>0.1836857254345822</v>
      </c>
      <c r="Z207">
        <v>0.16114482190465362</v>
      </c>
      <c r="AA207">
        <v>1.2919477708600526</v>
      </c>
      <c r="AB207">
        <v>2.7337517629841663</v>
      </c>
      <c r="AC207">
        <v>0.74416121298526072</v>
      </c>
      <c r="AD207">
        <v>3.7268611029581797</v>
      </c>
      <c r="AE207">
        <v>6.4243198907063231E-2</v>
      </c>
      <c r="AF207">
        <v>0.16261583603449892</v>
      </c>
      <c r="AG207">
        <v>4.5146636754008247</v>
      </c>
      <c r="AH207">
        <v>6.1326961154843887E-2</v>
      </c>
      <c r="AI207">
        <v>0.23447583148142362</v>
      </c>
      <c r="AJ207">
        <v>0.5778143502032449</v>
      </c>
      <c r="AK207">
        <v>1.7316568191663513</v>
      </c>
      <c r="AL207">
        <v>22.907917734509091</v>
      </c>
    </row>
    <row r="208" spans="1:38" x14ac:dyDescent="0.35">
      <c r="A208" t="s">
        <v>259</v>
      </c>
      <c r="B208" t="s">
        <v>73</v>
      </c>
      <c r="C208">
        <v>1</v>
      </c>
      <c r="D208" t="s">
        <v>45</v>
      </c>
      <c r="E208">
        <v>4</v>
      </c>
      <c r="F208">
        <v>33</v>
      </c>
      <c r="G208" t="s">
        <v>12</v>
      </c>
      <c r="H208">
        <v>34</v>
      </c>
      <c r="I208">
        <v>38</v>
      </c>
      <c r="J208">
        <v>0.49130000000000001</v>
      </c>
      <c r="K208">
        <v>1.7301038062283187</v>
      </c>
      <c r="L208">
        <v>6.8584239255757809E-2</v>
      </c>
      <c r="M208">
        <v>1.1676424125752651</v>
      </c>
      <c r="N208">
        <v>0.58453918866577037</v>
      </c>
      <c r="O208">
        <v>19.758693737672477</v>
      </c>
      <c r="P208">
        <v>0.68234373936983406</v>
      </c>
      <c r="Q208">
        <v>3.78136177094729</v>
      </c>
      <c r="R208">
        <v>1.1300855279585809</v>
      </c>
      <c r="S208">
        <v>0.83091834702494871</v>
      </c>
      <c r="T208">
        <v>8.3210610019645923</v>
      </c>
      <c r="U208">
        <v>14.422431132934305</v>
      </c>
      <c r="V208">
        <v>6.5987584670474257</v>
      </c>
      <c r="W208">
        <v>2.309306312924726</v>
      </c>
      <c r="X208">
        <v>0.63205656787343945</v>
      </c>
      <c r="Y208">
        <v>0.19070288849085179</v>
      </c>
      <c r="Z208">
        <v>0.28237557959172793</v>
      </c>
      <c r="AA208">
        <v>1.365647810388541</v>
      </c>
      <c r="AB208">
        <v>1.2204280177006344</v>
      </c>
      <c r="AC208">
        <v>0.43700166666796592</v>
      </c>
      <c r="AD208">
        <v>6.2750578040783314</v>
      </c>
      <c r="AE208">
        <v>0.19810693067483065</v>
      </c>
      <c r="AF208">
        <v>0.2261487356943748</v>
      </c>
      <c r="AG208">
        <v>5.8592807360112271</v>
      </c>
      <c r="AH208">
        <v>0.17500820467110262</v>
      </c>
      <c r="AI208">
        <v>0.39503354183408623</v>
      </c>
      <c r="AJ208">
        <v>1.1659828337786602</v>
      </c>
      <c r="AK208">
        <v>1.9062045347706562</v>
      </c>
      <c r="AL208">
        <v>20.015238269432562</v>
      </c>
    </row>
    <row r="209" spans="1:38" x14ac:dyDescent="0.35">
      <c r="A209" t="s">
        <v>260</v>
      </c>
      <c r="B209" t="s">
        <v>73</v>
      </c>
      <c r="C209">
        <v>1</v>
      </c>
      <c r="D209" t="s">
        <v>45</v>
      </c>
      <c r="E209">
        <v>4</v>
      </c>
      <c r="F209">
        <v>39</v>
      </c>
      <c r="G209" t="s">
        <v>12</v>
      </c>
      <c r="H209">
        <v>35</v>
      </c>
      <c r="I209">
        <v>41</v>
      </c>
      <c r="J209">
        <v>0.58099999999999996</v>
      </c>
      <c r="K209">
        <v>1.549053356282025</v>
      </c>
      <c r="L209">
        <v>4.5674496220899877E-2</v>
      </c>
      <c r="M209">
        <v>1.1879065916165483</v>
      </c>
      <c r="N209">
        <v>0.54775419590523244</v>
      </c>
      <c r="O209">
        <v>20.060691104720465</v>
      </c>
      <c r="P209">
        <v>0.69673355213958343</v>
      </c>
      <c r="Q209">
        <v>3.1967851833346685</v>
      </c>
      <c r="R209">
        <v>1.0623790827948947</v>
      </c>
      <c r="S209">
        <v>0.53599368961228178</v>
      </c>
      <c r="T209">
        <v>8.0463033249429916</v>
      </c>
      <c r="U209">
        <v>13.59232406363885</v>
      </c>
      <c r="V209">
        <v>5.6459534931595687</v>
      </c>
      <c r="W209">
        <v>2.3987582238503244</v>
      </c>
      <c r="X209">
        <v>0.57449846735234344</v>
      </c>
      <c r="Y209">
        <v>0.19048978544858111</v>
      </c>
      <c r="Z209">
        <v>0.18844354795593982</v>
      </c>
      <c r="AA209">
        <v>1.577366783487858</v>
      </c>
      <c r="AB209">
        <v>1.5100524864972795</v>
      </c>
      <c r="AC209">
        <v>0.39903815269869519</v>
      </c>
      <c r="AD209">
        <v>6.133176432744631</v>
      </c>
      <c r="AE209">
        <v>0.16247586792726545</v>
      </c>
      <c r="AF209">
        <v>0.25110153223347442</v>
      </c>
      <c r="AG209">
        <v>6.4154318195730271</v>
      </c>
      <c r="AH209">
        <v>0.11353442957786911</v>
      </c>
      <c r="AI209">
        <v>0.51569391351410387</v>
      </c>
      <c r="AJ209">
        <v>1.0419543240153122</v>
      </c>
      <c r="AK209">
        <v>1.9645849721131281</v>
      </c>
      <c r="AL209">
        <v>21.944900482924179</v>
      </c>
    </row>
    <row r="210" spans="1:38" x14ac:dyDescent="0.35">
      <c r="A210" t="s">
        <v>261</v>
      </c>
      <c r="B210" t="s">
        <v>73</v>
      </c>
      <c r="C210">
        <v>1</v>
      </c>
      <c r="D210" t="s">
        <v>45</v>
      </c>
      <c r="E210">
        <v>4</v>
      </c>
      <c r="F210">
        <v>39</v>
      </c>
      <c r="G210" t="s">
        <v>12</v>
      </c>
      <c r="H210">
        <v>35</v>
      </c>
      <c r="I210">
        <v>40</v>
      </c>
      <c r="J210">
        <v>0.59989999999999999</v>
      </c>
      <c r="K210">
        <v>1.5335889314885607</v>
      </c>
      <c r="L210">
        <v>6.5944879828871192E-2</v>
      </c>
      <c r="M210">
        <v>1.2330885461585137</v>
      </c>
      <c r="N210">
        <v>0.65648239851762724</v>
      </c>
      <c r="O210">
        <v>19.832870460645683</v>
      </c>
      <c r="P210">
        <v>0.72941575786438528</v>
      </c>
      <c r="Q210">
        <v>3.558803216720233</v>
      </c>
      <c r="R210">
        <v>1.2787101949610062</v>
      </c>
      <c r="S210">
        <v>0.68848304565501828</v>
      </c>
      <c r="T210">
        <v>8.524965135128495</v>
      </c>
      <c r="U210">
        <v>13.05948620164251</v>
      </c>
      <c r="V210">
        <v>6.1562220301460124</v>
      </c>
      <c r="W210">
        <v>2.4538137360159187</v>
      </c>
      <c r="X210">
        <v>0.6953742531289463</v>
      </c>
      <c r="Y210">
        <v>0.21015956405373376</v>
      </c>
      <c r="Z210">
        <v>0.31390165669133469</v>
      </c>
      <c r="AA210">
        <v>1.2833975412754837</v>
      </c>
      <c r="AB210">
        <v>1.3061918002741484</v>
      </c>
      <c r="AC210">
        <v>0.51871072823444597</v>
      </c>
      <c r="AD210">
        <v>6.255546858792826</v>
      </c>
      <c r="AE210">
        <v>0.1958351291334092</v>
      </c>
      <c r="AF210">
        <v>0.30363402260162331</v>
      </c>
      <c r="AG210">
        <v>6.3952488623080308</v>
      </c>
      <c r="AH210">
        <v>0.16845371137508031</v>
      </c>
      <c r="AI210">
        <v>0.50666012673407634</v>
      </c>
      <c r="AJ210">
        <v>1.1779610067386206</v>
      </c>
      <c r="AK210">
        <v>1.8745173669957869</v>
      </c>
      <c r="AL210">
        <v>20.556121768378201</v>
      </c>
    </row>
    <row r="211" spans="1:38" x14ac:dyDescent="0.35">
      <c r="A211" t="s">
        <v>262</v>
      </c>
      <c r="B211" t="s">
        <v>73</v>
      </c>
      <c r="C211">
        <v>1</v>
      </c>
      <c r="D211" t="s">
        <v>49</v>
      </c>
      <c r="E211">
        <v>4</v>
      </c>
      <c r="F211">
        <v>34</v>
      </c>
      <c r="G211" t="s">
        <v>13</v>
      </c>
      <c r="H211">
        <v>30</v>
      </c>
      <c r="I211">
        <v>36</v>
      </c>
      <c r="J211">
        <v>0.38879999999999998</v>
      </c>
      <c r="K211">
        <v>0.9259259259260525</v>
      </c>
      <c r="L211">
        <v>4.727561010299354E-2</v>
      </c>
      <c r="M211">
        <v>0.82834049600719117</v>
      </c>
      <c r="N211">
        <v>0.62521158372819163</v>
      </c>
      <c r="O211">
        <v>17.980383355102624</v>
      </c>
      <c r="P211">
        <v>1.4011320077453426</v>
      </c>
      <c r="Q211">
        <v>3.0665451451543562</v>
      </c>
      <c r="R211">
        <v>0.82417948712861588</v>
      </c>
      <c r="S211">
        <v>0.60539105899563916</v>
      </c>
      <c r="T211">
        <v>7.2102433308072857</v>
      </c>
      <c r="U211">
        <v>14.911495309153144</v>
      </c>
      <c r="V211">
        <v>5.7409874691660265</v>
      </c>
      <c r="W211">
        <v>1.7822179152242592</v>
      </c>
      <c r="X211">
        <v>0.40246161061315167</v>
      </c>
      <c r="Y211">
        <v>0.17427757963297399</v>
      </c>
      <c r="Z211">
        <v>0.2139698283870233</v>
      </c>
      <c r="AA211">
        <v>1.0311835455895852</v>
      </c>
      <c r="AB211">
        <v>4.4849307799479936</v>
      </c>
      <c r="AC211">
        <v>0.71650684915287877</v>
      </c>
      <c r="AD211">
        <v>5.7589792192966005</v>
      </c>
      <c r="AE211">
        <v>0.12874274535408584</v>
      </c>
      <c r="AF211">
        <v>0.20185532996651068</v>
      </c>
      <c r="AG211">
        <v>5.2884764203061394</v>
      </c>
      <c r="AH211">
        <v>6.0303695835605554E-2</v>
      </c>
      <c r="AI211">
        <v>0.30409764335859563</v>
      </c>
      <c r="AJ211">
        <v>1.1093451267482126</v>
      </c>
      <c r="AK211">
        <v>2.0945474442584269</v>
      </c>
      <c r="AL211">
        <v>23.006919413236513</v>
      </c>
    </row>
    <row r="212" spans="1:38" x14ac:dyDescent="0.35">
      <c r="A212" t="s">
        <v>263</v>
      </c>
      <c r="B212" t="s">
        <v>73</v>
      </c>
      <c r="C212">
        <v>1</v>
      </c>
      <c r="D212" t="s">
        <v>49</v>
      </c>
      <c r="E212">
        <v>4</v>
      </c>
      <c r="F212">
        <v>34</v>
      </c>
      <c r="G212" t="s">
        <v>13</v>
      </c>
      <c r="H212">
        <v>28</v>
      </c>
      <c r="I212">
        <v>33</v>
      </c>
      <c r="J212">
        <v>0.2722</v>
      </c>
      <c r="K212">
        <v>1.8736223365174682</v>
      </c>
      <c r="L212">
        <v>7.5571281892159628E-2</v>
      </c>
      <c r="M212">
        <v>1.2432363934087649</v>
      </c>
      <c r="N212">
        <v>0.73227236753816816</v>
      </c>
      <c r="O212">
        <v>18.35566851009558</v>
      </c>
      <c r="P212">
        <v>1.7529619793066724</v>
      </c>
      <c r="Q212">
        <v>4.7527853231165462</v>
      </c>
      <c r="R212">
        <v>0.86827907937157778</v>
      </c>
      <c r="S212">
        <v>0.75393316745906314</v>
      </c>
      <c r="T212">
        <v>7.2292412901122702</v>
      </c>
      <c r="U212">
        <v>17.639361000055878</v>
      </c>
      <c r="V212">
        <v>6.9294925404948158</v>
      </c>
      <c r="W212">
        <v>1.9476557611625935</v>
      </c>
      <c r="X212">
        <v>0.53455917206911852</v>
      </c>
      <c r="Y212">
        <v>0.21528978783588476</v>
      </c>
      <c r="Z212">
        <v>0.23692502565058191</v>
      </c>
      <c r="AA212">
        <v>1.1631692659075661</v>
      </c>
      <c r="AB212">
        <v>2.2499995052850994</v>
      </c>
      <c r="AC212">
        <v>0.43403927452785768</v>
      </c>
      <c r="AD212">
        <v>5.0175911142875105</v>
      </c>
      <c r="AE212">
        <v>0.1085587392145155</v>
      </c>
      <c r="AF212">
        <v>0.19073518120300562</v>
      </c>
      <c r="AG212">
        <v>4.6930136264845022</v>
      </c>
      <c r="AH212">
        <v>0.11842218639913397</v>
      </c>
      <c r="AI212">
        <v>0.32483531249483105</v>
      </c>
      <c r="AJ212">
        <v>0.94242108694650284</v>
      </c>
      <c r="AK212">
        <v>1.8455391134359049</v>
      </c>
      <c r="AL212">
        <v>19.644442914243879</v>
      </c>
    </row>
    <row r="213" spans="1:38" x14ac:dyDescent="0.35">
      <c r="A213" t="s">
        <v>264</v>
      </c>
      <c r="B213" t="s">
        <v>73</v>
      </c>
      <c r="C213">
        <v>1</v>
      </c>
      <c r="D213" t="s">
        <v>49</v>
      </c>
      <c r="E213">
        <v>4</v>
      </c>
      <c r="F213">
        <v>34</v>
      </c>
      <c r="G213" t="s">
        <v>13</v>
      </c>
      <c r="H213">
        <v>28</v>
      </c>
      <c r="I213">
        <v>32</v>
      </c>
      <c r="J213">
        <v>0.27110000000000001</v>
      </c>
      <c r="K213">
        <v>1.8812246403536599</v>
      </c>
      <c r="L213">
        <v>6.4555007272752971E-2</v>
      </c>
      <c r="M213">
        <v>1.0954685945815497</v>
      </c>
      <c r="N213">
        <v>0.79505953968402032</v>
      </c>
      <c r="O213">
        <v>21.529382792417728</v>
      </c>
      <c r="P213">
        <v>1.6193527438942152</v>
      </c>
      <c r="Q213">
        <v>3.705614227417712</v>
      </c>
      <c r="R213">
        <v>0.8900192299844808</v>
      </c>
      <c r="S213">
        <v>0.5646095705326386</v>
      </c>
      <c r="T213">
        <v>7.6467083428353568</v>
      </c>
      <c r="U213">
        <v>14.928805209957719</v>
      </c>
      <c r="V213">
        <v>5.7586233697957843</v>
      </c>
      <c r="W213">
        <v>1.7642367888938744</v>
      </c>
      <c r="X213">
        <v>0.40056113696471718</v>
      </c>
      <c r="Y213">
        <v>0.20348755467222124</v>
      </c>
      <c r="Z213">
        <v>0.16741249938406919</v>
      </c>
      <c r="AA213">
        <v>0.74685834174355403</v>
      </c>
      <c r="AB213">
        <v>3.2169563640820695</v>
      </c>
      <c r="AC213">
        <v>0.56892757485176204</v>
      </c>
      <c r="AD213">
        <v>5.451081012212752</v>
      </c>
      <c r="AE213">
        <v>0.10937865616734757</v>
      </c>
      <c r="AF213">
        <v>0.18520227268196601</v>
      </c>
      <c r="AG213">
        <v>5.0907592260364556</v>
      </c>
      <c r="AH213">
        <v>2.2461712397276245E-2</v>
      </c>
      <c r="AI213">
        <v>0.28613031461977229</v>
      </c>
      <c r="AJ213">
        <v>0.94590452054467677</v>
      </c>
      <c r="AK213">
        <v>1.7570529240969062</v>
      </c>
      <c r="AL213">
        <v>20.485390472276617</v>
      </c>
    </row>
    <row r="214" spans="1:38" x14ac:dyDescent="0.35">
      <c r="A214" t="s">
        <v>265</v>
      </c>
      <c r="B214" t="s">
        <v>73</v>
      </c>
      <c r="C214">
        <v>1</v>
      </c>
      <c r="D214" t="s">
        <v>49</v>
      </c>
      <c r="E214">
        <v>4</v>
      </c>
      <c r="F214">
        <v>35</v>
      </c>
      <c r="G214" t="s">
        <v>13</v>
      </c>
      <c r="H214">
        <v>29</v>
      </c>
      <c r="I214">
        <v>33</v>
      </c>
      <c r="J214">
        <v>0.25169999999999998</v>
      </c>
      <c r="K214">
        <v>1.4302741358762383</v>
      </c>
      <c r="L214">
        <v>5.8055299681551327E-2</v>
      </c>
      <c r="M214">
        <v>0.80790118815671119</v>
      </c>
      <c r="N214">
        <v>0.5535022793380544</v>
      </c>
      <c r="O214">
        <v>20.844464579687116</v>
      </c>
      <c r="P214">
        <v>1.2417552677313251</v>
      </c>
      <c r="Q214">
        <v>2.6618500661142805</v>
      </c>
      <c r="R214">
        <v>0.74281722654326277</v>
      </c>
      <c r="S214">
        <v>0.43846465944956547</v>
      </c>
      <c r="T214">
        <v>7.9840435024661396</v>
      </c>
      <c r="U214">
        <v>14.698571948347805</v>
      </c>
      <c r="V214">
        <v>5.2239085164772483</v>
      </c>
      <c r="W214">
        <v>1.439268812319666</v>
      </c>
      <c r="X214">
        <v>0.29442944607305349</v>
      </c>
      <c r="Y214">
        <v>0.11377137483380939</v>
      </c>
      <c r="Z214">
        <v>0.11245794453717385</v>
      </c>
      <c r="AA214">
        <v>0.94689598349524873</v>
      </c>
      <c r="AB214">
        <v>2.0996450183146607</v>
      </c>
      <c r="AC214">
        <v>0.3594662224445459</v>
      </c>
      <c r="AD214">
        <v>5.1964111551341512</v>
      </c>
      <c r="AE214">
        <v>0.11605048665759719</v>
      </c>
      <c r="AF214">
        <v>0.16616961646607228</v>
      </c>
      <c r="AG214">
        <v>4.6433846064547204</v>
      </c>
      <c r="AH214">
        <v>3.6677799582817826E-2</v>
      </c>
      <c r="AI214">
        <v>0.3013592129087963</v>
      </c>
      <c r="AJ214">
        <v>1.0531998090096537</v>
      </c>
      <c r="AK214">
        <v>1.802823345111761</v>
      </c>
      <c r="AL214">
        <v>26.062654632663211</v>
      </c>
    </row>
    <row r="215" spans="1:38" x14ac:dyDescent="0.35">
      <c r="A215" t="s">
        <v>266</v>
      </c>
      <c r="B215" t="s">
        <v>73</v>
      </c>
      <c r="C215">
        <v>1</v>
      </c>
      <c r="D215" t="s">
        <v>49</v>
      </c>
      <c r="E215">
        <v>4</v>
      </c>
      <c r="F215">
        <v>35</v>
      </c>
      <c r="G215" t="s">
        <v>13</v>
      </c>
      <c r="H215">
        <v>27</v>
      </c>
      <c r="I215">
        <v>31</v>
      </c>
      <c r="J215">
        <v>0.30940000000000001</v>
      </c>
      <c r="K215">
        <v>1.3574660633486972</v>
      </c>
      <c r="L215">
        <v>6.0138317952616406E-2</v>
      </c>
      <c r="M215">
        <v>1.2238169144316957</v>
      </c>
      <c r="N215">
        <v>0.79712305919896342</v>
      </c>
      <c r="O215">
        <v>20.125602212900009</v>
      </c>
      <c r="P215">
        <v>1.6639703320013779</v>
      </c>
      <c r="Q215">
        <v>4.345451772586217</v>
      </c>
      <c r="R215">
        <v>0.89769187981459619</v>
      </c>
      <c r="S215">
        <v>0.6443419286655887</v>
      </c>
      <c r="T215">
        <v>7.7533225469226315</v>
      </c>
      <c r="U215">
        <v>17.79327875769367</v>
      </c>
      <c r="V215">
        <v>7.1512076946529408</v>
      </c>
      <c r="W215">
        <v>1.794490386315974</v>
      </c>
      <c r="X215">
        <v>0.49283296173023727</v>
      </c>
      <c r="Y215">
        <v>0.18124489766582921</v>
      </c>
      <c r="Z215">
        <v>0.1923155797632328</v>
      </c>
      <c r="AA215">
        <v>1.050907189778195</v>
      </c>
      <c r="AB215">
        <v>6.6300807067197612E-2</v>
      </c>
      <c r="AC215">
        <v>0.40591935220714931</v>
      </c>
      <c r="AD215">
        <v>5.2347754245758953</v>
      </c>
      <c r="AE215">
        <v>0.12973835266552994</v>
      </c>
      <c r="AF215">
        <v>0.20392407259519402</v>
      </c>
      <c r="AG215">
        <v>4.8324804879004732</v>
      </c>
      <c r="AH215">
        <v>9.7791322984836435E-2</v>
      </c>
      <c r="AI215">
        <v>0.30350124883315421</v>
      </c>
      <c r="AJ215">
        <v>0.92562766331893853</v>
      </c>
      <c r="AK215">
        <v>1.6947238149356112</v>
      </c>
      <c r="AL215">
        <v>19.937481020842334</v>
      </c>
    </row>
    <row r="216" spans="1:38" x14ac:dyDescent="0.35">
      <c r="A216" t="s">
        <v>267</v>
      </c>
      <c r="B216" t="s">
        <v>73</v>
      </c>
      <c r="C216">
        <v>1</v>
      </c>
      <c r="D216" t="s">
        <v>49</v>
      </c>
      <c r="E216">
        <v>4</v>
      </c>
      <c r="F216">
        <v>35</v>
      </c>
      <c r="G216" t="s">
        <v>13</v>
      </c>
      <c r="H216">
        <v>30</v>
      </c>
      <c r="I216">
        <v>36</v>
      </c>
      <c r="J216">
        <v>0.28860000000000002</v>
      </c>
      <c r="K216">
        <v>1.2474012474014178</v>
      </c>
      <c r="L216">
        <v>5.1018155002027617E-2</v>
      </c>
      <c r="M216">
        <v>0.87376467502947652</v>
      </c>
      <c r="N216">
        <v>0.58705033193056932</v>
      </c>
      <c r="O216">
        <v>20.659965710960176</v>
      </c>
      <c r="P216">
        <v>1.2808512379162089</v>
      </c>
      <c r="Q216">
        <v>2.93823360023424</v>
      </c>
      <c r="R216">
        <v>0.79652598628882054</v>
      </c>
      <c r="S216">
        <v>0.45311885274083441</v>
      </c>
      <c r="T216">
        <v>8.2372289761341904</v>
      </c>
      <c r="U216">
        <v>15.449229978751847</v>
      </c>
      <c r="V216">
        <v>5.6921294564509637</v>
      </c>
      <c r="W216">
        <v>1.5480569342444546</v>
      </c>
      <c r="X216">
        <v>0.30236701049138953</v>
      </c>
      <c r="Y216">
        <v>0.11142387738381322</v>
      </c>
      <c r="Z216">
        <v>0.13817185919231206</v>
      </c>
      <c r="AA216">
        <v>0.95647760676053062</v>
      </c>
      <c r="AB216">
        <v>1.3696597552862775</v>
      </c>
      <c r="AC216">
        <v>0.4165258037930486</v>
      </c>
      <c r="AD216">
        <v>5.0320656918233233</v>
      </c>
      <c r="AE216">
        <v>0.11351980603421766</v>
      </c>
      <c r="AF216">
        <v>0.17550913295553014</v>
      </c>
      <c r="AG216">
        <v>4.7806342847244583</v>
      </c>
      <c r="AH216">
        <v>7.2790354301929469E-2</v>
      </c>
      <c r="AI216">
        <v>0.28133147402742353</v>
      </c>
      <c r="AJ216">
        <v>0.96670959518404764</v>
      </c>
      <c r="AK216">
        <v>1.8502909799297</v>
      </c>
      <c r="AL216">
        <v>24.8653488724282</v>
      </c>
    </row>
    <row r="217" spans="1:38" x14ac:dyDescent="0.35">
      <c r="A217" t="s">
        <v>268</v>
      </c>
      <c r="B217" t="s">
        <v>73</v>
      </c>
      <c r="C217">
        <v>1</v>
      </c>
      <c r="D217" t="s">
        <v>65</v>
      </c>
      <c r="E217">
        <v>4</v>
      </c>
      <c r="F217">
        <v>36</v>
      </c>
      <c r="G217" t="s">
        <v>7</v>
      </c>
      <c r="H217">
        <v>26</v>
      </c>
      <c r="I217">
        <v>30</v>
      </c>
      <c r="J217">
        <v>0.21890000000000001</v>
      </c>
      <c r="K217">
        <v>1.050708085883951</v>
      </c>
      <c r="L217">
        <v>4.7082381443388673E-2</v>
      </c>
      <c r="M217">
        <v>0.98663636723790427</v>
      </c>
      <c r="N217">
        <v>0.33864645975313901</v>
      </c>
      <c r="O217">
        <v>20.392935497506251</v>
      </c>
      <c r="P217">
        <v>1.9096194693069692</v>
      </c>
      <c r="Q217">
        <v>3.6676489762125355</v>
      </c>
      <c r="R217">
        <v>0.71996611076632022</v>
      </c>
      <c r="S217">
        <v>0.65096624916436419</v>
      </c>
      <c r="T217">
        <v>8.3306359084313364</v>
      </c>
      <c r="U217">
        <v>15.956730802772899</v>
      </c>
      <c r="V217">
        <v>5.4615488711216118</v>
      </c>
      <c r="W217">
        <v>1.6998734378624296</v>
      </c>
      <c r="X217">
        <v>0.22281132314216007</v>
      </c>
      <c r="Y217">
        <v>0.18830247929815147</v>
      </c>
      <c r="Z217">
        <v>0.32864602547280103</v>
      </c>
      <c r="AA217">
        <v>1.0214630071679007</v>
      </c>
      <c r="AB217">
        <v>2.3284710224830909</v>
      </c>
      <c r="AC217">
        <v>0.82593235731824055</v>
      </c>
      <c r="AD217">
        <v>4.6523828697828726</v>
      </c>
      <c r="AE217">
        <v>9.5621584402814042E-2</v>
      </c>
      <c r="AF217">
        <v>0.21545222306199496</v>
      </c>
      <c r="AG217">
        <v>3.838178233015038</v>
      </c>
      <c r="AH217">
        <v>2.0419474236803032E-2</v>
      </c>
      <c r="AI217">
        <v>0.28513254939739091</v>
      </c>
      <c r="AJ217">
        <v>0.90948814022810731</v>
      </c>
      <c r="AK217">
        <v>1.5523816311772354</v>
      </c>
      <c r="AL217">
        <v>23.353026548236311</v>
      </c>
    </row>
    <row r="218" spans="1:38" x14ac:dyDescent="0.35">
      <c r="A218" t="s">
        <v>269</v>
      </c>
      <c r="B218" t="s">
        <v>73</v>
      </c>
      <c r="C218">
        <v>1</v>
      </c>
      <c r="D218" t="s">
        <v>65</v>
      </c>
      <c r="E218">
        <v>4</v>
      </c>
      <c r="F218">
        <v>36</v>
      </c>
      <c r="G218" t="s">
        <v>7</v>
      </c>
      <c r="H218">
        <v>28</v>
      </c>
      <c r="I218">
        <v>35</v>
      </c>
      <c r="J218">
        <v>0.24340000000000001</v>
      </c>
      <c r="K218">
        <v>1.6023007395233331</v>
      </c>
      <c r="L218">
        <v>4.6080932189017619E-2</v>
      </c>
      <c r="M218">
        <v>1.181209501838882</v>
      </c>
      <c r="N218">
        <v>0.34775622514882054</v>
      </c>
      <c r="O218">
        <v>19.145208915336255</v>
      </c>
      <c r="P218">
        <v>1.8371695300610433</v>
      </c>
      <c r="Q218">
        <v>4.7790692988589276</v>
      </c>
      <c r="R218">
        <v>0.70132076863318149</v>
      </c>
      <c r="S218">
        <v>0.83955222359743131</v>
      </c>
      <c r="T218">
        <v>7.285793894652179</v>
      </c>
      <c r="U218">
        <v>17.846194185181517</v>
      </c>
      <c r="V218">
        <v>6.7804297950001775</v>
      </c>
      <c r="W218">
        <v>2.0265891827265841</v>
      </c>
      <c r="X218">
        <v>0.22908832616975264</v>
      </c>
      <c r="Y218">
        <v>0.21077447304343802</v>
      </c>
      <c r="Z218">
        <v>0.21299884489319712</v>
      </c>
      <c r="AA218">
        <v>1.3461128623451597</v>
      </c>
      <c r="AB218">
        <v>2.5881573039195489</v>
      </c>
      <c r="AC218">
        <v>1.0844436555729611</v>
      </c>
      <c r="AD218">
        <v>5.0430139146934989</v>
      </c>
      <c r="AE218">
        <v>7.7849470490691283E-2</v>
      </c>
      <c r="AF218">
        <v>0.1439242307212335</v>
      </c>
      <c r="AG218">
        <v>3.4539419459503882</v>
      </c>
      <c r="AH218">
        <v>6.3371205662351937E-2</v>
      </c>
      <c r="AI218">
        <v>0.32097940978086381</v>
      </c>
      <c r="AJ218">
        <v>0.95874041860509174</v>
      </c>
      <c r="AK218">
        <v>1.6770998188994137</v>
      </c>
      <c r="AL218">
        <v>19.773129666028439</v>
      </c>
    </row>
    <row r="219" spans="1:38" x14ac:dyDescent="0.35">
      <c r="A219" t="s">
        <v>270</v>
      </c>
      <c r="B219" t="s">
        <v>73</v>
      </c>
      <c r="C219">
        <v>1</v>
      </c>
      <c r="D219" t="s">
        <v>65</v>
      </c>
      <c r="E219">
        <v>4</v>
      </c>
      <c r="F219">
        <v>36</v>
      </c>
      <c r="G219" t="s">
        <v>7</v>
      </c>
      <c r="H219">
        <v>25</v>
      </c>
      <c r="I219">
        <v>30</v>
      </c>
      <c r="J219">
        <v>0.17829999999999999</v>
      </c>
      <c r="K219">
        <v>2.5799214806515502</v>
      </c>
      <c r="L219">
        <v>0.10096634903044201</v>
      </c>
      <c r="M219">
        <v>1.4051499101778155</v>
      </c>
      <c r="N219">
        <v>0.41056354092136838</v>
      </c>
      <c r="O219">
        <v>23.13764268929129</v>
      </c>
      <c r="P219">
        <v>1.8187760896753169</v>
      </c>
      <c r="Q219">
        <v>5.303624417142581</v>
      </c>
      <c r="R219">
        <v>0.76292750602290094</v>
      </c>
      <c r="S219">
        <v>0.68197690078036222</v>
      </c>
      <c r="T219">
        <v>7.8165650094140737</v>
      </c>
      <c r="U219">
        <v>19.187578617822084</v>
      </c>
      <c r="V219">
        <v>6.5345155432999658</v>
      </c>
      <c r="W219">
        <v>2.1528743901753078</v>
      </c>
      <c r="X219">
        <v>0.31062646508146635</v>
      </c>
      <c r="Y219">
        <v>0.25248354650147686</v>
      </c>
      <c r="Z219">
        <v>0.12367645933547795</v>
      </c>
      <c r="AA219">
        <v>1.0411428822878799</v>
      </c>
      <c r="AB219">
        <v>0.19780301480098</v>
      </c>
      <c r="AC219">
        <v>0.875565246461669</v>
      </c>
      <c r="AD219">
        <v>3.949601370677128</v>
      </c>
      <c r="AE219">
        <v>0</v>
      </c>
      <c r="AF219">
        <v>0.18779986434368207</v>
      </c>
      <c r="AG219">
        <v>3.75471620372823</v>
      </c>
      <c r="AH219">
        <v>0</v>
      </c>
      <c r="AI219">
        <v>0.2883223983286618</v>
      </c>
      <c r="AJ219">
        <v>0.5491471495852801</v>
      </c>
      <c r="AK219">
        <v>1.4654143276276033</v>
      </c>
      <c r="AL219">
        <v>17.690540107486971</v>
      </c>
    </row>
    <row r="220" spans="1:38" x14ac:dyDescent="0.35">
      <c r="A220" t="s">
        <v>271</v>
      </c>
      <c r="B220" t="s">
        <v>73</v>
      </c>
      <c r="C220">
        <v>1</v>
      </c>
      <c r="D220" t="s">
        <v>53</v>
      </c>
      <c r="E220">
        <v>4</v>
      </c>
      <c r="F220">
        <v>37</v>
      </c>
      <c r="G220" t="s">
        <v>10</v>
      </c>
      <c r="H220">
        <v>29</v>
      </c>
      <c r="I220">
        <v>34</v>
      </c>
      <c r="J220">
        <v>0.22539999999999999</v>
      </c>
      <c r="K220">
        <v>1.5084294587396547</v>
      </c>
      <c r="L220">
        <v>9.3452308390845742E-2</v>
      </c>
      <c r="M220">
        <v>1.0399989534759069</v>
      </c>
      <c r="N220">
        <v>0.57308138856444191</v>
      </c>
      <c r="O220">
        <v>24.866045697767085</v>
      </c>
      <c r="P220">
        <v>1.5577417323423952</v>
      </c>
      <c r="Q220">
        <v>3.1813811272409138</v>
      </c>
      <c r="R220">
        <v>0.67298326650710683</v>
      </c>
      <c r="S220">
        <v>0.25944468450451708</v>
      </c>
      <c r="T220">
        <v>8.3819882779920345</v>
      </c>
      <c r="U220">
        <v>15.3751588222789</v>
      </c>
      <c r="V220">
        <v>5.1025502405832794</v>
      </c>
      <c r="W220">
        <v>1.2701117774247561</v>
      </c>
      <c r="X220">
        <v>0.18821798367224377</v>
      </c>
      <c r="Y220">
        <v>0.10209082276025218</v>
      </c>
      <c r="Z220">
        <v>8.4759070400999614E-2</v>
      </c>
      <c r="AA220">
        <v>0.63527608613748054</v>
      </c>
      <c r="AB220">
        <v>0.54780949946806068</v>
      </c>
      <c r="AC220">
        <v>0.54297818554924326</v>
      </c>
      <c r="AD220">
        <v>4.873922772046364</v>
      </c>
      <c r="AE220">
        <v>0</v>
      </c>
      <c r="AF220">
        <v>0.19346102768770251</v>
      </c>
      <c r="AG220">
        <v>4.1206964367678749</v>
      </c>
      <c r="AH220">
        <v>0</v>
      </c>
      <c r="AI220">
        <v>0.15392712075006598</v>
      </c>
      <c r="AJ220">
        <v>0.56918558796647412</v>
      </c>
      <c r="AK220">
        <v>1.4517290501172992</v>
      </c>
      <c r="AL220">
        <v>24.162008079603805</v>
      </c>
    </row>
    <row r="221" spans="1:38" x14ac:dyDescent="0.35">
      <c r="A221" t="s">
        <v>272</v>
      </c>
      <c r="B221" t="s">
        <v>73</v>
      </c>
      <c r="C221">
        <v>1</v>
      </c>
      <c r="D221" t="s">
        <v>53</v>
      </c>
      <c r="E221">
        <v>4</v>
      </c>
      <c r="F221">
        <v>37</v>
      </c>
      <c r="G221" t="s">
        <v>10</v>
      </c>
      <c r="H221">
        <v>29</v>
      </c>
      <c r="I221">
        <v>32</v>
      </c>
      <c r="J221">
        <v>0.2707</v>
      </c>
      <c r="K221">
        <v>2.2164758034725627</v>
      </c>
      <c r="L221">
        <v>8.9826193177274194E-2</v>
      </c>
      <c r="M221">
        <v>1.538560940150743</v>
      </c>
      <c r="N221">
        <v>0.70050353399942489</v>
      </c>
      <c r="O221">
        <v>20.480122286254574</v>
      </c>
      <c r="P221">
        <v>2.0811119387156118</v>
      </c>
      <c r="Q221">
        <v>5.387303390620775</v>
      </c>
      <c r="R221">
        <v>0.75436164063448208</v>
      </c>
      <c r="S221">
        <v>0.78995654539793914</v>
      </c>
      <c r="T221">
        <v>7.4388856473047857</v>
      </c>
      <c r="U221">
        <v>18.814844300207525</v>
      </c>
      <c r="V221">
        <v>7.2137231317342714</v>
      </c>
      <c r="W221">
        <v>1.8961907612568876</v>
      </c>
      <c r="X221">
        <v>0.25969958680510052</v>
      </c>
      <c r="Y221">
        <v>0.21602800370040304</v>
      </c>
      <c r="Z221">
        <v>0.1549688277650644</v>
      </c>
      <c r="AA221">
        <v>1.1383918893871514</v>
      </c>
      <c r="AB221">
        <v>0.67590381031811775</v>
      </c>
      <c r="AC221">
        <v>0.52614089747609605</v>
      </c>
      <c r="AD221">
        <v>4.2948466268590977</v>
      </c>
      <c r="AE221">
        <v>0</v>
      </c>
      <c r="AF221">
        <v>0.14393696891058705</v>
      </c>
      <c r="AG221">
        <v>4.4699521338187722</v>
      </c>
      <c r="AH221">
        <v>0</v>
      </c>
      <c r="AI221">
        <v>0.20514693124327169</v>
      </c>
      <c r="AJ221">
        <v>0.6760842882454432</v>
      </c>
      <c r="AK221">
        <v>1.6137340721897859</v>
      </c>
      <c r="AL221">
        <v>18.439775653826857</v>
      </c>
    </row>
    <row r="222" spans="1:38" x14ac:dyDescent="0.35">
      <c r="A222" t="s">
        <v>273</v>
      </c>
      <c r="B222" t="s">
        <v>73</v>
      </c>
      <c r="C222">
        <v>1</v>
      </c>
      <c r="D222" t="s">
        <v>53</v>
      </c>
      <c r="E222">
        <v>4</v>
      </c>
      <c r="F222">
        <v>37</v>
      </c>
      <c r="G222" t="s">
        <v>10</v>
      </c>
      <c r="H222">
        <v>28</v>
      </c>
      <c r="I222">
        <v>31</v>
      </c>
      <c r="J222">
        <v>0.23380000000000001</v>
      </c>
      <c r="K222">
        <v>1.7536355859706272</v>
      </c>
      <c r="L222">
        <v>6.9350513612508838E-2</v>
      </c>
      <c r="M222">
        <v>0.95001787177967045</v>
      </c>
      <c r="N222">
        <v>0.50469059608939315</v>
      </c>
      <c r="O222">
        <v>20.772054082098066</v>
      </c>
      <c r="P222">
        <v>1.59624344333097</v>
      </c>
      <c r="Q222">
        <v>3.2674728094717178</v>
      </c>
      <c r="R222">
        <v>0.70787131200470588</v>
      </c>
      <c r="S222">
        <v>0.41033243474533859</v>
      </c>
      <c r="T222">
        <v>8.5880893635825633</v>
      </c>
      <c r="U222">
        <v>16.313621136856728</v>
      </c>
      <c r="V222">
        <v>5.7393949252305312</v>
      </c>
      <c r="W222">
        <v>1.5352625587689166</v>
      </c>
      <c r="X222">
        <v>0.20592702405743266</v>
      </c>
      <c r="Y222">
        <v>0.13391255377116459</v>
      </c>
      <c r="Z222">
        <v>0.15447322221123361</v>
      </c>
      <c r="AA222">
        <v>1.0623966498516046</v>
      </c>
      <c r="AB222">
        <v>0.37464705029506368</v>
      </c>
      <c r="AC222">
        <v>0.5329824808206074</v>
      </c>
      <c r="AD222">
        <v>4.4352445849943081</v>
      </c>
      <c r="AE222">
        <v>0</v>
      </c>
      <c r="AF222">
        <v>0.2136000654580846</v>
      </c>
      <c r="AG222">
        <v>4.8826366915380683</v>
      </c>
      <c r="AH222">
        <v>0</v>
      </c>
      <c r="AI222">
        <v>0.21538384359386034</v>
      </c>
      <c r="AJ222">
        <v>0.72913159016681151</v>
      </c>
      <c r="AK222">
        <v>1.7699513997898602</v>
      </c>
      <c r="AL222">
        <v>24.835311795880777</v>
      </c>
    </row>
    <row r="223" spans="1:38" x14ac:dyDescent="0.35">
      <c r="A223" t="s">
        <v>274</v>
      </c>
      <c r="B223" t="s">
        <v>73</v>
      </c>
      <c r="C223">
        <v>1</v>
      </c>
      <c r="D223" t="s">
        <v>69</v>
      </c>
      <c r="E223">
        <v>4</v>
      </c>
      <c r="F223">
        <v>38</v>
      </c>
      <c r="G223" t="s">
        <v>8</v>
      </c>
      <c r="H223">
        <v>25</v>
      </c>
      <c r="I223">
        <v>30</v>
      </c>
      <c r="J223">
        <v>0.15010000000000001</v>
      </c>
      <c r="K223">
        <v>0.73284477015389005</v>
      </c>
      <c r="L223">
        <v>6.2934918784053037E-2</v>
      </c>
      <c r="M223">
        <v>0.90246569758726503</v>
      </c>
      <c r="N223">
        <v>0.49713411160026766</v>
      </c>
      <c r="O223">
        <v>20.308264934122658</v>
      </c>
      <c r="P223">
        <v>1.9182802846758231</v>
      </c>
      <c r="Q223">
        <v>2.912523482125871</v>
      </c>
      <c r="R223">
        <v>0.64343384167171569</v>
      </c>
      <c r="S223">
        <v>0.39169739566459877</v>
      </c>
      <c r="T223">
        <v>8.4769910303431661</v>
      </c>
      <c r="U223">
        <v>16.749269807128723</v>
      </c>
      <c r="V223">
        <v>5.5651432434804757</v>
      </c>
      <c r="W223">
        <v>1.2396529722773053</v>
      </c>
      <c r="X223">
        <v>0.14335314977203681</v>
      </c>
      <c r="Y223">
        <v>0.10562158357637173</v>
      </c>
      <c r="Z223">
        <v>0.13424135474752896</v>
      </c>
      <c r="AA223">
        <v>0.97755748013264188</v>
      </c>
      <c r="AB223">
        <v>0.72142134573325367</v>
      </c>
      <c r="AC223">
        <v>0.59294237185618959</v>
      </c>
      <c r="AD223">
        <v>4.1300859822626039</v>
      </c>
      <c r="AE223">
        <v>0</v>
      </c>
      <c r="AF223">
        <v>0.17886388243244708</v>
      </c>
      <c r="AG223">
        <v>4.5880717472766683</v>
      </c>
      <c r="AH223">
        <v>0</v>
      </c>
      <c r="AI223">
        <v>0.24808430100039469</v>
      </c>
      <c r="AJ223">
        <v>0.51522369279183067</v>
      </c>
      <c r="AK223">
        <v>1.6818386086283348</v>
      </c>
      <c r="AL223">
        <v>26.314902780327781</v>
      </c>
    </row>
    <row r="224" spans="1:38" x14ac:dyDescent="0.35">
      <c r="A224" t="s">
        <v>275</v>
      </c>
      <c r="B224" t="s">
        <v>73</v>
      </c>
      <c r="C224">
        <v>1</v>
      </c>
      <c r="D224" t="s">
        <v>69</v>
      </c>
      <c r="E224">
        <v>4</v>
      </c>
      <c r="F224">
        <v>38</v>
      </c>
      <c r="G224" t="s">
        <v>8</v>
      </c>
      <c r="H224">
        <v>28</v>
      </c>
      <c r="I224">
        <v>34</v>
      </c>
      <c r="J224">
        <v>0.23960000000000001</v>
      </c>
      <c r="K224">
        <v>2.253756260433994</v>
      </c>
      <c r="L224">
        <v>4.1711053210055332E-2</v>
      </c>
      <c r="M224">
        <v>1.4119541180290303</v>
      </c>
      <c r="N224">
        <v>0.572037205471704</v>
      </c>
      <c r="O224">
        <v>17.522274347492608</v>
      </c>
      <c r="P224">
        <v>2.2160541052942579</v>
      </c>
      <c r="Q224">
        <v>5.5171013409050573</v>
      </c>
      <c r="R224">
        <v>0.57502278657527595</v>
      </c>
      <c r="S224">
        <v>0.65134367125902437</v>
      </c>
      <c r="T224">
        <v>6.3017645722130844</v>
      </c>
      <c r="U224">
        <v>22.068532637663235</v>
      </c>
      <c r="V224">
        <v>6.9615197179880512</v>
      </c>
      <c r="W224">
        <v>1.8523980013929269</v>
      </c>
      <c r="X224">
        <v>0.61876084638605111</v>
      </c>
      <c r="Y224">
        <v>0.24323342358916267</v>
      </c>
      <c r="Z224">
        <v>0.17490936798650938</v>
      </c>
      <c r="AA224">
        <v>1.5569272913737113</v>
      </c>
      <c r="AB224">
        <v>0.87060871309658128</v>
      </c>
      <c r="AC224">
        <v>0.50847855798455677</v>
      </c>
      <c r="AD224">
        <v>3.8529811710579804</v>
      </c>
      <c r="AE224">
        <v>0</v>
      </c>
      <c r="AF224">
        <v>0.48584722354790044</v>
      </c>
      <c r="AG224">
        <v>4.3640413825254116</v>
      </c>
      <c r="AH224">
        <v>0</v>
      </c>
      <c r="AI224">
        <v>0.32629916268885595</v>
      </c>
      <c r="AJ224">
        <v>0.80614575004070577</v>
      </c>
      <c r="AK224">
        <v>1.9812462233521055</v>
      </c>
      <c r="AL224">
        <v>18.518807328876147</v>
      </c>
    </row>
    <row r="225" spans="1:38" x14ac:dyDescent="0.35">
      <c r="A225" t="s">
        <v>276</v>
      </c>
      <c r="B225" t="s">
        <v>73</v>
      </c>
      <c r="C225">
        <v>1</v>
      </c>
      <c r="D225" t="s">
        <v>69</v>
      </c>
      <c r="E225">
        <v>4</v>
      </c>
      <c r="F225">
        <v>38</v>
      </c>
      <c r="G225" t="s">
        <v>8</v>
      </c>
      <c r="H225">
        <v>28</v>
      </c>
      <c r="I225">
        <v>32</v>
      </c>
      <c r="J225">
        <v>0.27510000000000001</v>
      </c>
      <c r="K225">
        <v>2.2173754998182456</v>
      </c>
      <c r="L225">
        <v>4.7811931606129836E-2</v>
      </c>
      <c r="M225">
        <v>1.30611072645499</v>
      </c>
      <c r="N225">
        <v>0.72449416010902667</v>
      </c>
      <c r="O225">
        <v>20.095156837348252</v>
      </c>
      <c r="P225">
        <v>2.401566536570769</v>
      </c>
      <c r="Q225">
        <v>4.9356793603938893</v>
      </c>
      <c r="R225">
        <v>0.74311309391904168</v>
      </c>
      <c r="S225">
        <v>0.63624405521168692</v>
      </c>
      <c r="T225">
        <v>7.6649134448927114</v>
      </c>
      <c r="U225">
        <v>19.526207412523277</v>
      </c>
      <c r="V225">
        <v>7.4398003449611876</v>
      </c>
      <c r="W225">
        <v>1.6899928608131509</v>
      </c>
      <c r="X225">
        <v>0.23319678272388739</v>
      </c>
      <c r="Y225">
        <v>0.16393821613367013</v>
      </c>
      <c r="Z225">
        <v>0.18871712088166334</v>
      </c>
      <c r="AA225">
        <v>1.2860041974178862</v>
      </c>
      <c r="AB225">
        <v>0.6970498629641102</v>
      </c>
      <c r="AC225">
        <v>0.73805188283332956</v>
      </c>
      <c r="AD225">
        <v>3.7938836887116905</v>
      </c>
      <c r="AE225">
        <v>0</v>
      </c>
      <c r="AF225">
        <v>0.15750655441655081</v>
      </c>
      <c r="AG225">
        <v>3.6061968757197564</v>
      </c>
      <c r="AH225">
        <v>0</v>
      </c>
      <c r="AI225">
        <v>0.18900221977717749</v>
      </c>
      <c r="AJ225">
        <v>0.46655728560559484</v>
      </c>
      <c r="AK225">
        <v>1.4812905896320778</v>
      </c>
      <c r="AL225">
        <v>19.787513958378387</v>
      </c>
    </row>
    <row r="226" spans="1:38" x14ac:dyDescent="0.35">
      <c r="A226" t="s">
        <v>277</v>
      </c>
      <c r="B226" t="s">
        <v>73</v>
      </c>
      <c r="C226">
        <v>1</v>
      </c>
      <c r="D226" t="s">
        <v>45</v>
      </c>
      <c r="E226">
        <v>4</v>
      </c>
      <c r="F226">
        <v>39</v>
      </c>
      <c r="G226" t="s">
        <v>12</v>
      </c>
      <c r="H226">
        <v>32</v>
      </c>
      <c r="I226">
        <v>35</v>
      </c>
      <c r="J226">
        <v>0.3523</v>
      </c>
      <c r="K226">
        <v>1.5327845586147741</v>
      </c>
      <c r="L226">
        <v>7.4587467469047361E-2</v>
      </c>
      <c r="M226">
        <v>1.0471409950942889</v>
      </c>
      <c r="N226">
        <v>0.5395803819031787</v>
      </c>
      <c r="O226">
        <v>19.49953274195553</v>
      </c>
      <c r="P226">
        <v>0.69863018887621986</v>
      </c>
      <c r="Q226">
        <v>3.5722429089383638</v>
      </c>
      <c r="R226">
        <v>1.1275146682064132</v>
      </c>
      <c r="S226">
        <v>0.74568950322840233</v>
      </c>
      <c r="T226">
        <v>8.5306673065440997</v>
      </c>
      <c r="U226">
        <v>14.811669210875595</v>
      </c>
      <c r="V226">
        <v>6.4841680070497532</v>
      </c>
      <c r="W226">
        <v>2.3014634958071891</v>
      </c>
      <c r="X226">
        <v>0.61204683103819435</v>
      </c>
      <c r="Y226">
        <v>0.17545076540603724</v>
      </c>
      <c r="Z226">
        <v>0.26387295637176394</v>
      </c>
      <c r="AA226">
        <v>1.2984786485771271</v>
      </c>
      <c r="AB226">
        <v>0.47406671862229033</v>
      </c>
      <c r="AC226">
        <v>0.41443748236870814</v>
      </c>
      <c r="AD226">
        <v>6.4056951592504578</v>
      </c>
      <c r="AE226">
        <v>0</v>
      </c>
      <c r="AF226">
        <v>0.26944057918026526</v>
      </c>
      <c r="AG226">
        <v>5.8804281288187479</v>
      </c>
      <c r="AH226">
        <v>0</v>
      </c>
      <c r="AI226">
        <v>0.3787662129339216</v>
      </c>
      <c r="AJ226">
        <v>1.1827046199301601</v>
      </c>
      <c r="AK226">
        <v>1.771924237708165</v>
      </c>
      <c r="AL226">
        <v>21.439800783846103</v>
      </c>
    </row>
    <row r="227" spans="1:38" x14ac:dyDescent="0.35">
      <c r="A227" t="s">
        <v>278</v>
      </c>
      <c r="B227" t="s">
        <v>73</v>
      </c>
      <c r="C227">
        <v>1</v>
      </c>
      <c r="D227" t="s">
        <v>45</v>
      </c>
      <c r="E227">
        <v>4</v>
      </c>
      <c r="F227">
        <v>39</v>
      </c>
      <c r="G227" t="s">
        <v>12</v>
      </c>
      <c r="H227">
        <v>32</v>
      </c>
      <c r="I227">
        <v>36</v>
      </c>
      <c r="J227">
        <v>0.30909999999999999</v>
      </c>
      <c r="K227">
        <v>2.2646392753153264</v>
      </c>
      <c r="L227">
        <v>8.8052077268904336E-2</v>
      </c>
      <c r="M227">
        <v>1.0475366930276111</v>
      </c>
      <c r="N227">
        <v>0.51390696793220059</v>
      </c>
      <c r="O227">
        <v>18.515853229454383</v>
      </c>
      <c r="P227">
        <v>0.6914135914549232</v>
      </c>
      <c r="Q227">
        <v>3.9889429001509149</v>
      </c>
      <c r="R227">
        <v>1.0570586478835862</v>
      </c>
      <c r="S227">
        <v>0.81127878492402716</v>
      </c>
      <c r="T227">
        <v>8.4076568402525709</v>
      </c>
      <c r="U227">
        <v>16.160396845627002</v>
      </c>
      <c r="V227">
        <v>6.9811631681578081</v>
      </c>
      <c r="W227">
        <v>2.2343931444566256</v>
      </c>
      <c r="X227">
        <v>0.56936170416380727</v>
      </c>
      <c r="Y227">
        <v>0.15508204445823065</v>
      </c>
      <c r="Z227">
        <v>0.2663922223457052</v>
      </c>
      <c r="AA227">
        <v>1.304437262169063</v>
      </c>
      <c r="AB227">
        <v>1.3178165720628747</v>
      </c>
      <c r="AC227">
        <v>0.38052633326826613</v>
      </c>
      <c r="AD227">
        <v>6.0894434477085451</v>
      </c>
      <c r="AE227">
        <v>0</v>
      </c>
      <c r="AF227">
        <v>0.20396448811042103</v>
      </c>
      <c r="AG227">
        <v>4.9431735713118323</v>
      </c>
      <c r="AH227">
        <v>0</v>
      </c>
      <c r="AI227">
        <v>0.50218068097933077</v>
      </c>
      <c r="AJ227">
        <v>1.2338954692242199</v>
      </c>
      <c r="AK227">
        <v>1.955791617784336</v>
      </c>
      <c r="AL227">
        <v>20.580281695822805</v>
      </c>
    </row>
    <row r="228" spans="1:38" x14ac:dyDescent="0.35">
      <c r="A228" t="s">
        <v>279</v>
      </c>
      <c r="B228" t="s">
        <v>73</v>
      </c>
      <c r="C228">
        <v>1</v>
      </c>
      <c r="D228" t="s">
        <v>45</v>
      </c>
      <c r="E228">
        <v>4</v>
      </c>
      <c r="F228">
        <v>39</v>
      </c>
      <c r="G228" t="s">
        <v>12</v>
      </c>
      <c r="H228">
        <v>30</v>
      </c>
      <c r="I228">
        <v>34</v>
      </c>
      <c r="J228">
        <v>0.27239999999999998</v>
      </c>
      <c r="K228">
        <v>2.459618208517024</v>
      </c>
      <c r="L228">
        <v>7.6775452419589232E-2</v>
      </c>
      <c r="M228">
        <v>1.1241675720285313</v>
      </c>
      <c r="N228">
        <v>0.58215474325652072</v>
      </c>
      <c r="O228">
        <v>21.036569313484243</v>
      </c>
      <c r="P228">
        <v>0.88964513894509945</v>
      </c>
      <c r="Q228">
        <v>3.9949006021150018</v>
      </c>
      <c r="R228">
        <v>1.1279966136721118</v>
      </c>
      <c r="S228">
        <v>0.80817922480212701</v>
      </c>
      <c r="T228">
        <v>8.2741952230253144</v>
      </c>
      <c r="U228">
        <v>15.256375269435413</v>
      </c>
      <c r="V228">
        <v>6.4935406490420853</v>
      </c>
      <c r="W228">
        <v>2.1161656129803239</v>
      </c>
      <c r="X228">
        <v>0.64501555108151176</v>
      </c>
      <c r="Y228">
        <v>0.15590527890111061</v>
      </c>
      <c r="Z228">
        <v>0.19937074667304738</v>
      </c>
      <c r="AA228">
        <v>0.56728594040825187</v>
      </c>
      <c r="AB228">
        <v>0.94871086558454631</v>
      </c>
      <c r="AC228">
        <v>0.34245268723683825</v>
      </c>
      <c r="AD228">
        <v>6.666298805243656</v>
      </c>
      <c r="AE228">
        <v>0</v>
      </c>
      <c r="AF228">
        <v>0.25185924691090772</v>
      </c>
      <c r="AG228">
        <v>5.2167939637427958</v>
      </c>
      <c r="AH228">
        <v>0</v>
      </c>
      <c r="AI228">
        <v>0.41299770177824924</v>
      </c>
      <c r="AJ228">
        <v>1.1728812367385226</v>
      </c>
      <c r="AK228">
        <v>1.9975208343164992</v>
      </c>
      <c r="AL228">
        <v>19.642241726177687</v>
      </c>
    </row>
    <row r="229" spans="1:38" x14ac:dyDescent="0.35">
      <c r="A229" t="s">
        <v>280</v>
      </c>
      <c r="B229" t="s">
        <v>73</v>
      </c>
      <c r="C229">
        <v>1</v>
      </c>
      <c r="D229" t="s">
        <v>57</v>
      </c>
      <c r="E229">
        <v>4</v>
      </c>
      <c r="F229">
        <v>40</v>
      </c>
      <c r="G229" t="s">
        <v>9</v>
      </c>
      <c r="H229">
        <v>29</v>
      </c>
      <c r="I229">
        <v>32</v>
      </c>
      <c r="J229">
        <v>0.1744</v>
      </c>
      <c r="K229">
        <v>2.0068807339443513</v>
      </c>
      <c r="L229">
        <v>6.9066221616520415E-2</v>
      </c>
      <c r="M229">
        <v>0.87023976001056091</v>
      </c>
      <c r="N229">
        <v>0.40620630739083258</v>
      </c>
      <c r="O229">
        <v>20.388588631492883</v>
      </c>
      <c r="P229">
        <v>1.2380306175230273</v>
      </c>
      <c r="Q229">
        <v>3.2107082134866585</v>
      </c>
      <c r="R229">
        <v>0.8321655388278687</v>
      </c>
      <c r="S229">
        <v>0.58547329478282339</v>
      </c>
      <c r="T229">
        <v>8.9389818066981306</v>
      </c>
      <c r="U229">
        <v>15.488208700561865</v>
      </c>
      <c r="V229">
        <v>5.7337593237482167</v>
      </c>
      <c r="W229">
        <v>1.6968605242352426</v>
      </c>
      <c r="X229">
        <v>0.27826241624637515</v>
      </c>
      <c r="Y229">
        <v>0.1487902806289331</v>
      </c>
      <c r="Z229">
        <v>0.17772724082814073</v>
      </c>
      <c r="AA229">
        <v>0.97950118836535593</v>
      </c>
      <c r="AB229">
        <v>0.74196230823100662</v>
      </c>
      <c r="AC229">
        <v>0.55478494954784208</v>
      </c>
      <c r="AD229">
        <v>5.1796062223919144</v>
      </c>
      <c r="AE229">
        <v>0</v>
      </c>
      <c r="AF229">
        <v>0.17551423854563514</v>
      </c>
      <c r="AG229">
        <v>4.4826308919537139</v>
      </c>
      <c r="AH229">
        <v>0</v>
      </c>
      <c r="AI229">
        <v>0.26366779655028066</v>
      </c>
      <c r="AJ229">
        <v>0.92469372539165995</v>
      </c>
      <c r="AK229">
        <v>1.738004270066885</v>
      </c>
      <c r="AL229">
        <v>24.89656553087762</v>
      </c>
    </row>
    <row r="230" spans="1:38" x14ac:dyDescent="0.35">
      <c r="A230" t="s">
        <v>281</v>
      </c>
      <c r="B230" t="s">
        <v>73</v>
      </c>
      <c r="C230">
        <v>1</v>
      </c>
      <c r="D230" t="s">
        <v>57</v>
      </c>
      <c r="E230">
        <v>4</v>
      </c>
      <c r="F230">
        <v>40</v>
      </c>
      <c r="G230" t="s">
        <v>9</v>
      </c>
      <c r="H230">
        <v>29</v>
      </c>
      <c r="I230">
        <v>32</v>
      </c>
      <c r="J230">
        <v>0.28689999999999999</v>
      </c>
      <c r="K230">
        <v>2.1610317183686867</v>
      </c>
      <c r="L230">
        <v>8.0228491327352686E-2</v>
      </c>
      <c r="M230">
        <v>1.3791427208520195</v>
      </c>
      <c r="N230">
        <v>0.584508665540594</v>
      </c>
      <c r="O230">
        <v>21.20600974835887</v>
      </c>
      <c r="P230">
        <v>1.7167249933840669</v>
      </c>
      <c r="Q230">
        <v>5.0886692459043124</v>
      </c>
      <c r="R230">
        <v>0.80134381325582382</v>
      </c>
      <c r="S230">
        <v>0.81176549781550156</v>
      </c>
      <c r="T230">
        <v>7.5898929325909696</v>
      </c>
      <c r="U230">
        <v>18.781117828562628</v>
      </c>
      <c r="V230">
        <v>7.1018475892285746</v>
      </c>
      <c r="W230">
        <v>2.0747490990279163</v>
      </c>
      <c r="X230">
        <v>0.34869295637741338</v>
      </c>
      <c r="Y230">
        <v>0.2349498971468939</v>
      </c>
      <c r="Z230">
        <v>0.18786181517021519</v>
      </c>
      <c r="AA230">
        <v>1.1051069436971572</v>
      </c>
      <c r="AB230">
        <v>1.3450041751189332</v>
      </c>
      <c r="AC230">
        <v>0.70988828389909864</v>
      </c>
      <c r="AD230">
        <v>4.5675302630103065</v>
      </c>
      <c r="AE230">
        <v>0</v>
      </c>
      <c r="AF230">
        <v>0.22699218354265663</v>
      </c>
      <c r="AG230">
        <v>4.1600202666173995</v>
      </c>
      <c r="AH230">
        <v>0</v>
      </c>
      <c r="AI230">
        <v>0.27322700150328466</v>
      </c>
      <c r="AJ230">
        <v>0.86540705809727536</v>
      </c>
      <c r="AK230">
        <v>1.7066306975578205</v>
      </c>
      <c r="AL230">
        <v>17.052687832412925</v>
      </c>
    </row>
    <row r="231" spans="1:38" x14ac:dyDescent="0.35">
      <c r="A231" t="s">
        <v>282</v>
      </c>
      <c r="B231" t="s">
        <v>73</v>
      </c>
      <c r="C231">
        <v>1</v>
      </c>
      <c r="D231" t="s">
        <v>57</v>
      </c>
      <c r="E231">
        <v>4</v>
      </c>
      <c r="F231">
        <v>40</v>
      </c>
      <c r="G231" t="s">
        <v>9</v>
      </c>
      <c r="H231">
        <v>28</v>
      </c>
      <c r="I231">
        <v>32</v>
      </c>
      <c r="J231">
        <v>0.26829999999999998</v>
      </c>
      <c r="K231">
        <v>1.7517704062615373</v>
      </c>
      <c r="L231">
        <v>4.7703315298638853E-2</v>
      </c>
      <c r="M231">
        <v>1.0185566153058718</v>
      </c>
      <c r="N231">
        <v>0.51652215332838969</v>
      </c>
      <c r="O231">
        <v>21.42279390946786</v>
      </c>
      <c r="P231">
        <v>1.3628146588306611</v>
      </c>
      <c r="Q231">
        <v>4.2753272579952029</v>
      </c>
      <c r="R231">
        <v>0.79633478324891216</v>
      </c>
      <c r="S231">
        <v>0.86397019872829728</v>
      </c>
      <c r="T231">
        <v>7.6223767976820982</v>
      </c>
      <c r="U231">
        <v>17.328568806179828</v>
      </c>
      <c r="V231">
        <v>6.5562643816151649</v>
      </c>
      <c r="W231">
        <v>1.9337095483169782</v>
      </c>
      <c r="X231">
        <v>0.27989841283096178</v>
      </c>
      <c r="Y231">
        <v>0.20120101045213437</v>
      </c>
      <c r="Z231">
        <v>0.17437020051129967</v>
      </c>
      <c r="AA231">
        <v>0.70081591332956461</v>
      </c>
      <c r="AB231">
        <v>0.48342438066883198</v>
      </c>
      <c r="AC231">
        <v>0.63433576115805734</v>
      </c>
      <c r="AD231">
        <v>5.6496504558852561</v>
      </c>
      <c r="AE231">
        <v>0</v>
      </c>
      <c r="AF231">
        <v>0.17440387230792068</v>
      </c>
      <c r="AG231">
        <v>4.3459145676450284</v>
      </c>
      <c r="AH231">
        <v>0</v>
      </c>
      <c r="AI231">
        <v>0.29033747149291561</v>
      </c>
      <c r="AJ231">
        <v>0.99112773012029276</v>
      </c>
      <c r="AK231">
        <v>1.8279568573531759</v>
      </c>
      <c r="AL231">
        <v>20.501620940246582</v>
      </c>
    </row>
    <row r="232" spans="1:38" x14ac:dyDescent="0.35">
      <c r="A232" t="s">
        <v>283</v>
      </c>
      <c r="B232" t="s">
        <v>73</v>
      </c>
      <c r="C232">
        <v>1</v>
      </c>
      <c r="D232" t="s">
        <v>57</v>
      </c>
      <c r="E232">
        <v>4</v>
      </c>
      <c r="F232">
        <v>41</v>
      </c>
      <c r="G232" t="s">
        <v>9</v>
      </c>
      <c r="H232">
        <v>25</v>
      </c>
      <c r="I232">
        <v>29</v>
      </c>
      <c r="J232">
        <v>0.1943</v>
      </c>
      <c r="K232">
        <v>2.3160061760156427</v>
      </c>
      <c r="L232">
        <v>6.0955935160568415E-2</v>
      </c>
      <c r="M232">
        <v>0.97945137569609364</v>
      </c>
      <c r="N232">
        <v>0.46794236547775614</v>
      </c>
      <c r="O232">
        <v>20.942293540573736</v>
      </c>
      <c r="P232">
        <v>1.4843128077043992</v>
      </c>
      <c r="Q232">
        <v>3.5282763908567487</v>
      </c>
      <c r="R232">
        <v>0.81356181839567498</v>
      </c>
      <c r="S232">
        <v>0.62961514680493313</v>
      </c>
      <c r="T232">
        <v>8.2371580727411775</v>
      </c>
      <c r="U232">
        <v>16.423965866592589</v>
      </c>
      <c r="V232">
        <v>5.9361024204581518</v>
      </c>
      <c r="W232">
        <v>1.6723306179250672</v>
      </c>
      <c r="X232">
        <v>0.27436063385817583</v>
      </c>
      <c r="Y232">
        <v>0.16053355237189765</v>
      </c>
      <c r="Z232">
        <v>0.18593098039341935</v>
      </c>
      <c r="AA232">
        <v>0.91602822896290603</v>
      </c>
      <c r="AB232">
        <v>0.9846655758429651</v>
      </c>
      <c r="AC232">
        <v>0.60914447680531747</v>
      </c>
      <c r="AD232">
        <v>4.838542991894629</v>
      </c>
      <c r="AE232">
        <v>0</v>
      </c>
      <c r="AF232">
        <v>0.27119302164105763</v>
      </c>
      <c r="AG232">
        <v>4.3826530747166705</v>
      </c>
      <c r="AH232">
        <v>0</v>
      </c>
      <c r="AI232">
        <v>0.24352671711314278</v>
      </c>
      <c r="AJ232">
        <v>0.89597147562324064</v>
      </c>
      <c r="AK232">
        <v>1.6379295444092141</v>
      </c>
      <c r="AL232">
        <v>23.423553367980453</v>
      </c>
    </row>
    <row r="233" spans="1:38" x14ac:dyDescent="0.35">
      <c r="A233" t="s">
        <v>284</v>
      </c>
      <c r="B233" t="s">
        <v>73</v>
      </c>
      <c r="C233">
        <v>1</v>
      </c>
      <c r="D233" t="s">
        <v>57</v>
      </c>
      <c r="E233">
        <v>4</v>
      </c>
      <c r="F233">
        <v>41</v>
      </c>
      <c r="G233" t="s">
        <v>9</v>
      </c>
      <c r="H233">
        <v>28</v>
      </c>
      <c r="I233">
        <v>31</v>
      </c>
      <c r="J233">
        <v>0.25180000000000002</v>
      </c>
      <c r="K233">
        <v>2.4225575853852237</v>
      </c>
      <c r="L233">
        <v>5.67915746178764E-2</v>
      </c>
      <c r="M233">
        <v>1.1604105800584013</v>
      </c>
      <c r="N233">
        <v>0.47768370303085483</v>
      </c>
      <c r="O233">
        <v>18.902092654050904</v>
      </c>
      <c r="P233">
        <v>1.4275200418644451</v>
      </c>
      <c r="Q233">
        <v>4.761933018615645</v>
      </c>
      <c r="R233">
        <v>0.79576985168608583</v>
      </c>
      <c r="S233">
        <v>0.87244774736529396</v>
      </c>
      <c r="T233">
        <v>7.3781913338064467</v>
      </c>
      <c r="U233">
        <v>17.740735624044721</v>
      </c>
      <c r="V233">
        <v>7.0815033083661465</v>
      </c>
      <c r="W233">
        <v>2.2266694179711055</v>
      </c>
      <c r="X233">
        <v>0.36659542790172323</v>
      </c>
      <c r="Y233">
        <v>0.27576942160641194</v>
      </c>
      <c r="Z233">
        <v>0.23450958273991612</v>
      </c>
      <c r="AA233">
        <v>1.1293036199244237</v>
      </c>
      <c r="AB233">
        <v>0.51697510911597977</v>
      </c>
      <c r="AC233">
        <v>0.65374399319718768</v>
      </c>
      <c r="AD233">
        <v>5.3644033433899452</v>
      </c>
      <c r="AE233">
        <v>0</v>
      </c>
      <c r="AF233">
        <v>0.21289802190072588</v>
      </c>
      <c r="AG233">
        <v>4.2789190971666304</v>
      </c>
      <c r="AH233">
        <v>0</v>
      </c>
      <c r="AI233">
        <v>0.41422692346024359</v>
      </c>
      <c r="AJ233">
        <v>1.1154971239509015</v>
      </c>
      <c r="AK233">
        <v>1.9725561902727635</v>
      </c>
      <c r="AL233">
        <v>20.582853289895205</v>
      </c>
    </row>
    <row r="234" spans="1:38" x14ac:dyDescent="0.35">
      <c r="A234" t="s">
        <v>285</v>
      </c>
      <c r="B234" t="s">
        <v>73</v>
      </c>
      <c r="C234">
        <v>1</v>
      </c>
      <c r="D234" t="s">
        <v>57</v>
      </c>
      <c r="E234">
        <v>4</v>
      </c>
      <c r="F234">
        <v>41</v>
      </c>
      <c r="G234" t="s">
        <v>9</v>
      </c>
      <c r="H234">
        <v>28</v>
      </c>
      <c r="I234">
        <v>32</v>
      </c>
      <c r="J234">
        <v>0.2293</v>
      </c>
      <c r="K234">
        <v>2.8347143480160657</v>
      </c>
      <c r="L234">
        <v>5.8331717345422196E-2</v>
      </c>
      <c r="M234">
        <v>1.0609865999894903</v>
      </c>
      <c r="N234">
        <v>0.39772535302111051</v>
      </c>
      <c r="O234">
        <v>17.884502367646373</v>
      </c>
      <c r="P234">
        <v>1.2462444107337163</v>
      </c>
      <c r="Q234">
        <v>4.6010660624620314</v>
      </c>
      <c r="R234">
        <v>0.718765940069787</v>
      </c>
      <c r="S234">
        <v>0.76868893335223731</v>
      </c>
      <c r="T234">
        <v>7.2992952057937401</v>
      </c>
      <c r="U234">
        <v>18.342180048200131</v>
      </c>
      <c r="V234">
        <v>6.8390449271488709</v>
      </c>
      <c r="W234">
        <v>2.0907372650124278</v>
      </c>
      <c r="X234">
        <v>0.43409261734164323</v>
      </c>
      <c r="Y234">
        <v>0.25650075099124314</v>
      </c>
      <c r="Z234">
        <v>0.18886318608634775</v>
      </c>
      <c r="AA234">
        <v>1.0929454187411944</v>
      </c>
      <c r="AB234">
        <v>0.81083143018149673</v>
      </c>
      <c r="AC234">
        <v>0.58202876423915251</v>
      </c>
      <c r="AD234">
        <v>5.5555355256925445</v>
      </c>
      <c r="AE234">
        <v>0</v>
      </c>
      <c r="AF234">
        <v>0.27656303692509671</v>
      </c>
      <c r="AG234">
        <v>4.4202679442605604</v>
      </c>
      <c r="AH234">
        <v>0</v>
      </c>
      <c r="AI234">
        <v>0.40631675747349094</v>
      </c>
      <c r="AJ234">
        <v>1.2061765119901158</v>
      </c>
      <c r="AK234">
        <v>1.9432297839791735</v>
      </c>
      <c r="AL234">
        <v>21.519079441322617</v>
      </c>
    </row>
    <row r="235" spans="1:38" x14ac:dyDescent="0.35">
      <c r="A235" t="s">
        <v>286</v>
      </c>
      <c r="B235" t="s">
        <v>73</v>
      </c>
      <c r="C235">
        <v>1</v>
      </c>
      <c r="D235" t="s">
        <v>65</v>
      </c>
      <c r="E235">
        <v>4</v>
      </c>
      <c r="F235">
        <v>42</v>
      </c>
      <c r="G235" t="s">
        <v>7</v>
      </c>
      <c r="H235">
        <v>30</v>
      </c>
      <c r="I235">
        <v>34</v>
      </c>
      <c r="J235">
        <v>0.27129999999999999</v>
      </c>
      <c r="K235">
        <v>2.1009952082562293</v>
      </c>
      <c r="L235">
        <v>3.3788195383808416E-2</v>
      </c>
      <c r="M235">
        <v>1.0585740137517237</v>
      </c>
      <c r="N235">
        <v>0.31628934720879559</v>
      </c>
      <c r="O235">
        <v>18.142761704505606</v>
      </c>
      <c r="P235">
        <v>1.5335959088930857</v>
      </c>
      <c r="Q235">
        <v>4.0557088553261966</v>
      </c>
      <c r="R235">
        <v>0.64643897181652221</v>
      </c>
      <c r="S235">
        <v>0.69358604436684312</v>
      </c>
      <c r="T235">
        <v>7.2763889534052639</v>
      </c>
      <c r="U235">
        <v>18.311721122586277</v>
      </c>
      <c r="V235">
        <v>6.7666508238813234</v>
      </c>
      <c r="W235">
        <v>2.0337855039710298</v>
      </c>
      <c r="X235">
        <v>0.2919400361207532</v>
      </c>
      <c r="Y235">
        <v>0.20099470629011079</v>
      </c>
      <c r="Z235">
        <v>0.1467413071852946</v>
      </c>
      <c r="AA235">
        <v>1.3927587638879393</v>
      </c>
      <c r="AB235">
        <v>0.20398366970344417</v>
      </c>
      <c r="AC235">
        <v>0.87483375541995712</v>
      </c>
      <c r="AD235">
        <v>5.4721670039571739</v>
      </c>
      <c r="AE235">
        <v>0</v>
      </c>
      <c r="AF235">
        <v>0.24385595319573369</v>
      </c>
      <c r="AG235">
        <v>4.1624602543125908</v>
      </c>
      <c r="AH235">
        <v>0</v>
      </c>
      <c r="AI235">
        <v>0.37805477842396051</v>
      </c>
      <c r="AJ235">
        <v>1.4281922099349813</v>
      </c>
      <c r="AK235">
        <v>1.8357623167521704</v>
      </c>
      <c r="AL235">
        <v>22.498965799719414</v>
      </c>
    </row>
    <row r="236" spans="1:38" x14ac:dyDescent="0.35">
      <c r="A236" t="s">
        <v>287</v>
      </c>
      <c r="B236" t="s">
        <v>73</v>
      </c>
      <c r="C236">
        <v>1</v>
      </c>
      <c r="D236" t="s">
        <v>65</v>
      </c>
      <c r="E236">
        <v>4</v>
      </c>
      <c r="F236">
        <v>42</v>
      </c>
      <c r="G236" t="s">
        <v>7</v>
      </c>
      <c r="H236">
        <v>30</v>
      </c>
      <c r="I236">
        <v>35</v>
      </c>
      <c r="J236">
        <v>0.30199999999999999</v>
      </c>
      <c r="K236">
        <v>2.1854304635763593</v>
      </c>
      <c r="L236">
        <v>3.4251876442942628E-2</v>
      </c>
      <c r="M236">
        <v>1.3346606939877821</v>
      </c>
      <c r="N236">
        <v>0.35213637753176075</v>
      </c>
      <c r="O236">
        <v>18.491013896618316</v>
      </c>
      <c r="P236">
        <v>1.3234206736622816</v>
      </c>
      <c r="Q236">
        <v>4.3208082385553324</v>
      </c>
      <c r="R236">
        <v>0.77791598107538351</v>
      </c>
      <c r="S236">
        <v>0.72059304043126016</v>
      </c>
      <c r="T236">
        <v>7.6047586995957275</v>
      </c>
      <c r="U236">
        <v>18.092946319482515</v>
      </c>
      <c r="V236">
        <v>6.2757285886427931</v>
      </c>
      <c r="W236">
        <v>2.9159960095654678</v>
      </c>
      <c r="X236">
        <v>0.36561150301840428</v>
      </c>
      <c r="Y236">
        <v>0.29503123805281967</v>
      </c>
      <c r="Z236">
        <v>0.22237287507672138</v>
      </c>
      <c r="AA236">
        <v>2.3136240671217938</v>
      </c>
      <c r="AB236">
        <v>1.3752145308436818</v>
      </c>
      <c r="AC236">
        <v>0.89954683031400373</v>
      </c>
      <c r="AD236">
        <v>4.3240419514859632</v>
      </c>
      <c r="AE236">
        <v>0</v>
      </c>
      <c r="AF236">
        <v>0.27597205016855297</v>
      </c>
      <c r="AG236">
        <v>4.2023545373816287</v>
      </c>
      <c r="AH236">
        <v>0</v>
      </c>
      <c r="AI236">
        <v>0.22720362033748828</v>
      </c>
      <c r="AJ236">
        <v>0.87950965176083595</v>
      </c>
      <c r="AK236">
        <v>1.6892917406906478</v>
      </c>
      <c r="AL236">
        <v>20.685995008155885</v>
      </c>
    </row>
    <row r="237" spans="1:38" x14ac:dyDescent="0.35">
      <c r="A237" t="s">
        <v>288</v>
      </c>
      <c r="B237" t="s">
        <v>73</v>
      </c>
      <c r="C237">
        <v>1</v>
      </c>
      <c r="D237" t="s">
        <v>65</v>
      </c>
      <c r="E237">
        <v>4</v>
      </c>
      <c r="F237">
        <v>42</v>
      </c>
      <c r="G237" t="s">
        <v>7</v>
      </c>
      <c r="H237">
        <v>28</v>
      </c>
      <c r="I237">
        <v>32</v>
      </c>
      <c r="J237">
        <v>0.28100000000000003</v>
      </c>
      <c r="K237">
        <v>2.3131672597867752</v>
      </c>
      <c r="L237">
        <v>4.9548884389373882E-2</v>
      </c>
      <c r="M237">
        <v>0.8090226566181421</v>
      </c>
      <c r="N237">
        <v>0.27234633144114995</v>
      </c>
      <c r="O237">
        <v>19.36468828048573</v>
      </c>
      <c r="P237">
        <v>1.5726484299316432</v>
      </c>
      <c r="Q237">
        <v>3.035990301511351</v>
      </c>
      <c r="R237">
        <v>0.62415535263965238</v>
      </c>
      <c r="S237">
        <v>0.5541506218128005</v>
      </c>
      <c r="T237">
        <v>8.1878451062247546</v>
      </c>
      <c r="U237">
        <v>15.647254512210107</v>
      </c>
      <c r="V237">
        <v>5.3163098077925666</v>
      </c>
      <c r="W237">
        <v>1.5770953530702254</v>
      </c>
      <c r="X237">
        <v>0.19434109765013693</v>
      </c>
      <c r="Y237">
        <v>0.15990713346577468</v>
      </c>
      <c r="Z237">
        <v>0.21441229183393623</v>
      </c>
      <c r="AA237">
        <v>0.99982864830737062</v>
      </c>
      <c r="AB237">
        <v>1.2119277483721871</v>
      </c>
      <c r="AC237">
        <v>0.71531859654234831</v>
      </c>
      <c r="AD237">
        <v>5.17462384292</v>
      </c>
      <c r="AE237">
        <v>0</v>
      </c>
      <c r="AF237">
        <v>0.23038426740349055</v>
      </c>
      <c r="AG237">
        <v>3.6207349627805394</v>
      </c>
      <c r="AH237">
        <v>0</v>
      </c>
      <c r="AI237">
        <v>0.33664989567445741</v>
      </c>
      <c r="AJ237">
        <v>0.98278716792956078</v>
      </c>
      <c r="AK237">
        <v>1.8891004534931306</v>
      </c>
      <c r="AL237">
        <v>27.258928255499566</v>
      </c>
    </row>
  </sheetData>
  <sortState xmlns:xlrd2="http://schemas.microsoft.com/office/spreadsheetml/2017/richdata2" ref="A2:AL237">
    <sortCondition ref="A2:A237"/>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MetaData</vt:lpstr>
      <vt:lpstr>Survival Data</vt:lpstr>
      <vt:lpstr>FAS as mg</vt:lpstr>
      <vt:lpstr>FAS as percentage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Happel, Austin</dc:creator>
  <cp:lastModifiedBy>Happel, Austin</cp:lastModifiedBy>
  <dcterms:created xsi:type="dcterms:W3CDTF">2020-07-20T15:22:49Z</dcterms:created>
  <dcterms:modified xsi:type="dcterms:W3CDTF">2021-01-25T18:03:27Z</dcterms:modified>
</cp:coreProperties>
</file>