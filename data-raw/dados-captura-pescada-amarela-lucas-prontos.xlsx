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vml" ContentType="application/vnd.openxmlformats-officedocument.vmlDrawing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threadedComments/threadedComment1.xml" ContentType="application/vnd.ms-excel.threadedcomment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1"/>
  <bookViews>
    <workbookView xWindow="360" yWindow="15" windowWidth="20955" windowHeight="9720" activeTab="0"/>
  </bookViews>
  <sheets>
    <sheet name="captura-pescada-amarela" sheetId="1" state="visible" r:id="rId2"/>
  </sheets>
  <definedNames>
    <definedName name="_xlnm._FilterDatabase" localSheetId="0" hidden="1">'captura-pescada-amarela'!$A$1:$P$253</definedName>
  </definedNam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tc={2888C04E-2056-41D6-A814-47661119F163}</author>
  </authors>
  <commentList>
    <comment ref="O2" authorId="0" xr:uid="{2888C04E-2056-41D6-A814-47661119F163}">
      <text>
        <r>
          <rPr>
            <b/>
            <sz val="9"/>
            <rFont val="Tahoma"/>
          </rPr>
          <t xml:space="preserve">Evaldo Silva:</t>
        </r>
        <r>
          <rPr>
            <sz val="9"/>
            <rFont val="Tahoma"/>
          </rPr>
          <t xml:space="preserve">
O noe foi alterado de "Rede de Emalhar" para apenas "Rede"
</t>
        </r>
      </text>
    </comment>
  </commentList>
</comments>
</file>

<file path=xl/sharedStrings.xml><?xml version="1.0" encoding="utf-8"?>
<sst xmlns="http://schemas.openxmlformats.org/spreadsheetml/2006/main" count="43" uniqueCount="43">
  <si>
    <t>Embarcacao</t>
  </si>
  <si>
    <t xml:space="preserve">Tamanho (m)</t>
  </si>
  <si>
    <t>Precipitação</t>
  </si>
  <si>
    <t>Mês</t>
  </si>
  <si>
    <t>Ano</t>
  </si>
  <si>
    <t xml:space="preserve">Período sazonal</t>
  </si>
  <si>
    <t>Mês/ano</t>
  </si>
  <si>
    <t xml:space="preserve">Data de Saida</t>
  </si>
  <si>
    <t xml:space="preserve">Data de Chegada</t>
  </si>
  <si>
    <t xml:space="preserve">Dias ao mar</t>
  </si>
  <si>
    <t xml:space="preserve">CPUE pescada</t>
  </si>
  <si>
    <t>CPUE</t>
  </si>
  <si>
    <t xml:space="preserve">Pessoal Embarcado</t>
  </si>
  <si>
    <t xml:space="preserve">Peso Balanca</t>
  </si>
  <si>
    <t xml:space="preserve">Nome Aparelho Pesca</t>
  </si>
  <si>
    <t xml:space="preserve">Quantidade Aparelho Pesca</t>
  </si>
  <si>
    <t>B1</t>
  </si>
  <si>
    <t>Janeiro</t>
  </si>
  <si>
    <t xml:space="preserve">chuvoso </t>
  </si>
  <si>
    <t>Rede</t>
  </si>
  <si>
    <t>Fevereiro</t>
  </si>
  <si>
    <t>chuvoso</t>
  </si>
  <si>
    <t>Março</t>
  </si>
  <si>
    <t>Abril</t>
  </si>
  <si>
    <t>Maio</t>
  </si>
  <si>
    <t>Junho</t>
  </si>
  <si>
    <t>Julho</t>
  </si>
  <si>
    <t>seco</t>
  </si>
  <si>
    <t>Agosto</t>
  </si>
  <si>
    <t xml:space="preserve">seco  </t>
  </si>
  <si>
    <t>Setembro</t>
  </si>
  <si>
    <t>Outubro</t>
  </si>
  <si>
    <t>Novembro</t>
  </si>
  <si>
    <t>Dezembro</t>
  </si>
  <si>
    <t>B2</t>
  </si>
  <si>
    <t xml:space="preserve">Espinhel </t>
  </si>
  <si>
    <t>B3</t>
  </si>
  <si>
    <t>B4</t>
  </si>
  <si>
    <t>B5</t>
  </si>
  <si>
    <t>Espinhel</t>
  </si>
  <si>
    <t>B6</t>
  </si>
  <si>
    <t>B7</t>
  </si>
  <si>
    <t>15/10//2020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</si>
</sst>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7">
    <font>
      <sz val="11.000000"/>
      <color theme="1"/>
      <name val="Calibri"/>
      <scheme val="minor"/>
    </font>
    <font>
      <b/>
      <sz val="11.000000"/>
      <color rgb="FF3F3F3F"/>
      <name val="Calibri"/>
      <scheme val="minor"/>
    </font>
    <font>
      <sz val="11.000000"/>
      <name val="Calibri"/>
      <scheme val="minor"/>
    </font>
    <font>
      <b/>
      <sz val="12.000000"/>
      <name val="Times New Roman"/>
    </font>
    <font>
      <sz val="12.000000"/>
      <color theme="1"/>
      <name val="Times New Roman"/>
    </font>
    <font>
      <sz val="12.000000"/>
      <name val="Times New Roman"/>
    </font>
    <font>
      <sz val="12.000000"/>
      <color indexed="2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249977111117893"/>
      </patternFill>
    </fill>
    <fill>
      <patternFill patternType="solid">
        <fgColor theme="4" tint="0.39997558519241921"/>
      </patternFill>
    </fill>
    <fill>
      <patternFill patternType="solid">
        <fgColor theme="9" tint="0.39997558519241921"/>
      </patternFill>
    </fill>
    <fill>
      <patternFill patternType="solid">
        <fgColor rgb="FF92D050"/>
      </patternFill>
    </fill>
    <fill>
      <patternFill patternType="solid">
        <fgColor theme="0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2" borderId="1" numFmtId="0" applyNumberFormat="0" applyFont="1" applyFill="1" applyBorder="1" applyProtection="0"/>
  </cellStyleXfs>
  <cellXfs count="22">
    <xf fontId="0" fillId="0" borderId="0" numFmtId="0" xfId="0"/>
    <xf fontId="0" fillId="3" borderId="0" numFmtId="0" xfId="0" applyFill="1"/>
    <xf fontId="0" fillId="4" borderId="0" numFmtId="0" xfId="0" applyFill="1"/>
    <xf fontId="0" fillId="5" borderId="0" numFmtId="0" xfId="0" applyFill="1"/>
    <xf fontId="0" fillId="6" borderId="0" numFmtId="0" xfId="0" applyFill="1"/>
    <xf fontId="2" fillId="0" borderId="0" numFmtId="0" xfId="0" applyFont="1"/>
    <xf fontId="3" fillId="3" borderId="2" numFmtId="0" xfId="0" applyFont="1" applyFill="1" applyBorder="1" applyAlignment="1">
      <alignment horizontal="center"/>
    </xf>
    <xf fontId="3" fillId="4" borderId="2" numFmtId="0" xfId="0" applyFont="1" applyFill="1" applyBorder="1" applyAlignment="1">
      <alignment horizontal="center"/>
    </xf>
    <xf fontId="3" fillId="5" borderId="2" numFmtId="1" xfId="0" applyNumberFormat="1" applyFont="1" applyFill="1" applyBorder="1" applyAlignment="1">
      <alignment horizontal="center"/>
    </xf>
    <xf fontId="3" fillId="5" borderId="2" numFmtId="164" xfId="0" applyNumberFormat="1" applyFont="1" applyFill="1" applyBorder="1" applyAlignment="1">
      <alignment horizontal="center"/>
    </xf>
    <xf fontId="3" fillId="6" borderId="2" numFmtId="0" xfId="0" applyFont="1" applyFill="1" applyBorder="1" applyAlignment="1">
      <alignment horizontal="center"/>
    </xf>
    <xf fontId="3" fillId="7" borderId="2" numFmtId="0" xfId="0" applyFont="1" applyFill="1" applyBorder="1" applyAlignment="1">
      <alignment horizontal="center"/>
    </xf>
    <xf fontId="4" fillId="3" borderId="2" numFmtId="0" xfId="0" applyFont="1" applyFill="1" applyBorder="1" applyAlignment="1">
      <alignment horizontal="center"/>
    </xf>
    <xf fontId="4" fillId="4" borderId="2" numFmtId="0" xfId="0" applyFont="1" applyFill="1" applyBorder="1" applyAlignment="1">
      <alignment horizontal="center"/>
    </xf>
    <xf fontId="4" fillId="4" borderId="2" numFmtId="14" xfId="0" applyNumberFormat="1" applyFont="1" applyFill="1" applyBorder="1" applyAlignment="1">
      <alignment horizontal="center"/>
    </xf>
    <xf fontId="4" fillId="5" borderId="2" numFmtId="1" xfId="0" applyNumberFormat="1" applyFont="1" applyFill="1" applyBorder="1" applyAlignment="1">
      <alignment horizontal="center"/>
    </xf>
    <xf fontId="4" fillId="5" borderId="2" numFmtId="164" xfId="0" applyNumberFormat="1" applyFont="1" applyFill="1" applyBorder="1" applyAlignment="1">
      <alignment horizontal="center"/>
    </xf>
    <xf fontId="4" fillId="5" borderId="2" numFmtId="165" xfId="0" applyNumberFormat="1" applyFont="1" applyFill="1" applyBorder="1" applyAlignment="1">
      <alignment horizontal="center"/>
    </xf>
    <xf fontId="4" fillId="6" borderId="2" numFmtId="0" xfId="0" applyFont="1" applyFill="1" applyBorder="1" applyAlignment="1">
      <alignment horizontal="center"/>
    </xf>
    <xf fontId="4" fillId="0" borderId="2" numFmtId="0" xfId="0" applyFont="1" applyBorder="1" applyAlignment="1">
      <alignment horizontal="center"/>
    </xf>
    <xf fontId="5" fillId="6" borderId="2" numFmtId="0" xfId="0" applyFont="1" applyFill="1" applyBorder="1" applyAlignment="1">
      <alignment horizontal="center"/>
    </xf>
    <xf fontId="6" fillId="6" borderId="2" numFmtId="0" xfId="0" applyFont="1" applyFill="1" applyBorder="1" applyAlignment="1">
      <alignment horizontal="center"/>
    </xf>
  </cellXfs>
  <cellStyles count="2">
    <cellStyle name="Normal" xfId="0" builtinId="0"/>
    <cellStyle name="Saí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valdo Silva" id="{65C21A6E-22CB-E337-B5E5-D58C5706AF22}" userId="e985bccbbfab3628" providerId="Windows Live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2" dT="2023-05-04T13:27:29.80Z" personId="{65C21A6E-22CB-E337-B5E5-D58C5706AF22}" id="{2888C04E-2056-41D6-A814-47661119F163}" done="0">
    <text xml:space="preserve">O noe foi alterado de "Rede de Emalhar" para apenas "Rede"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78" workbookViewId="0">
      <selection activeCell="O19" activeCellId="0" sqref="O19"/>
    </sheetView>
  </sheetViews>
  <sheetFormatPr defaultRowHeight="14.25"/>
  <cols>
    <col customWidth="1" min="1" max="1" style="1" width="19.5546875"/>
    <col customWidth="1" min="2" max="2" style="1" width="26.88671875"/>
    <col customWidth="1" min="3" max="3" style="2" width="13.33203125"/>
    <col customWidth="1" min="4" max="4" style="2" width="12.109375"/>
    <col min="5" max="5" style="2" width="9.109375"/>
    <col customWidth="1" min="6" max="6" style="2" width="25.88671875"/>
    <col customWidth="1" min="7" max="7" style="2" width="12.7109375"/>
    <col customWidth="1" min="8" max="8" style="2" width="14.5546875"/>
    <col customWidth="1" min="9" max="9" style="2" width="17.6640625"/>
    <col bestFit="1" customWidth="1" min="10" max="10" style="3" width="12.5546875"/>
    <col bestFit="1" customWidth="1" min="11" max="11" style="3" width="15.33203125"/>
    <col customWidth="1" min="12" max="12" style="3" width="9.33203125"/>
    <col customWidth="1" min="13" max="13" style="4" width="20.33203125"/>
    <col customWidth="1" min="14" max="14" style="4" width="14.109375"/>
    <col customWidth="1" min="15" max="15" width="22.33203125"/>
    <col customWidth="1" min="16" max="16" width="28.44140625"/>
  </cols>
  <sheetData>
    <row r="1" s="5" customFormat="1" ht="15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9" t="s">
        <v>10</v>
      </c>
      <c r="L1" s="8" t="s">
        <v>11</v>
      </c>
      <c r="M1" s="10" t="s">
        <v>12</v>
      </c>
      <c r="N1" s="10" t="s">
        <v>13</v>
      </c>
      <c r="O1" s="11" t="s">
        <v>14</v>
      </c>
      <c r="P1" s="11" t="s">
        <v>15</v>
      </c>
    </row>
    <row r="2" ht="15">
      <c r="A2" s="12" t="s">
        <v>16</v>
      </c>
      <c r="B2" s="12">
        <v>16</v>
      </c>
      <c r="C2" s="13">
        <v>370.80000000000001</v>
      </c>
      <c r="D2" s="13" t="s">
        <v>17</v>
      </c>
      <c r="E2" s="13">
        <v>2019</v>
      </c>
      <c r="F2" s="13" t="s">
        <v>18</v>
      </c>
      <c r="G2" s="14">
        <v>43466</v>
      </c>
      <c r="H2" s="14">
        <v>43470</v>
      </c>
      <c r="I2" s="14">
        <v>43489</v>
      </c>
      <c r="J2" s="15">
        <v>19</v>
      </c>
      <c r="K2" s="16">
        <f t="shared" ref="K2:K8" si="0">N2/J2</f>
        <v>111.73684210526316</v>
      </c>
      <c r="L2" s="17">
        <f t="shared" ref="L2:L9" si="1">N2/(M2*J2)</f>
        <v>13.967105263157896</v>
      </c>
      <c r="M2" s="18">
        <v>8</v>
      </c>
      <c r="N2" s="18">
        <v>2123</v>
      </c>
      <c r="O2" s="19" t="s">
        <v>19</v>
      </c>
      <c r="P2" s="19">
        <v>15000</v>
      </c>
    </row>
    <row r="3" ht="15">
      <c r="A3" s="12" t="s">
        <v>16</v>
      </c>
      <c r="B3" s="12">
        <v>16</v>
      </c>
      <c r="C3" s="13">
        <v>426.60000000000002</v>
      </c>
      <c r="D3" s="13" t="s">
        <v>20</v>
      </c>
      <c r="E3" s="13">
        <v>2019</v>
      </c>
      <c r="F3" s="13" t="s">
        <v>21</v>
      </c>
      <c r="G3" s="14">
        <v>43497</v>
      </c>
      <c r="H3" s="14">
        <v>43499</v>
      </c>
      <c r="I3" s="14">
        <v>43520</v>
      </c>
      <c r="J3" s="15">
        <v>21</v>
      </c>
      <c r="K3" s="16">
        <f t="shared" si="0"/>
        <v>155</v>
      </c>
      <c r="L3" s="17">
        <f t="shared" si="1"/>
        <v>19.375</v>
      </c>
      <c r="M3" s="18">
        <v>8</v>
      </c>
      <c r="N3" s="18">
        <v>3255</v>
      </c>
      <c r="O3" s="19" t="s">
        <v>19</v>
      </c>
      <c r="P3" s="19">
        <v>15000</v>
      </c>
    </row>
    <row r="4" ht="15">
      <c r="A4" s="12" t="s">
        <v>16</v>
      </c>
      <c r="B4" s="12">
        <v>16</v>
      </c>
      <c r="C4" s="13">
        <v>763.79999999999995</v>
      </c>
      <c r="D4" s="13" t="s">
        <v>22</v>
      </c>
      <c r="E4" s="13">
        <v>2019</v>
      </c>
      <c r="F4" s="13" t="s">
        <v>21</v>
      </c>
      <c r="G4" s="14">
        <v>43525</v>
      </c>
      <c r="H4" s="14">
        <v>43531</v>
      </c>
      <c r="I4" s="14">
        <v>43554</v>
      </c>
      <c r="J4" s="15">
        <v>23</v>
      </c>
      <c r="K4" s="16">
        <f t="shared" si="0"/>
        <v>143.43478260869566</v>
      </c>
      <c r="L4" s="17">
        <f t="shared" si="1"/>
        <v>17.929347826086957</v>
      </c>
      <c r="M4" s="18">
        <v>8</v>
      </c>
      <c r="N4" s="18">
        <v>3299</v>
      </c>
      <c r="O4" s="19" t="s">
        <v>19</v>
      </c>
      <c r="P4" s="19">
        <v>15000</v>
      </c>
    </row>
    <row r="5" ht="15">
      <c r="A5" s="12" t="s">
        <v>16</v>
      </c>
      <c r="B5" s="12">
        <v>16</v>
      </c>
      <c r="C5" s="13">
        <v>559.60000000000002</v>
      </c>
      <c r="D5" s="13" t="s">
        <v>23</v>
      </c>
      <c r="E5" s="13">
        <v>2019</v>
      </c>
      <c r="F5" s="13" t="s">
        <v>21</v>
      </c>
      <c r="G5" s="14">
        <v>43556</v>
      </c>
      <c r="H5" s="14">
        <v>43563</v>
      </c>
      <c r="I5" s="14">
        <v>43581</v>
      </c>
      <c r="J5" s="15">
        <v>18</v>
      </c>
      <c r="K5" s="16">
        <f t="shared" si="0"/>
        <v>265.61111111111109</v>
      </c>
      <c r="L5" s="17">
        <f t="shared" si="1"/>
        <v>33.201388888888886</v>
      </c>
      <c r="M5" s="18">
        <v>8</v>
      </c>
      <c r="N5" s="18">
        <v>4781</v>
      </c>
      <c r="O5" s="19" t="s">
        <v>19</v>
      </c>
      <c r="P5" s="19">
        <v>15000</v>
      </c>
    </row>
    <row r="6" ht="15">
      <c r="A6" s="12" t="s">
        <v>16</v>
      </c>
      <c r="B6" s="12">
        <v>16</v>
      </c>
      <c r="C6" s="13">
        <v>443.39999999999998</v>
      </c>
      <c r="D6" s="13" t="s">
        <v>24</v>
      </c>
      <c r="E6" s="13">
        <v>2019</v>
      </c>
      <c r="F6" s="13" t="s">
        <v>21</v>
      </c>
      <c r="G6" s="14">
        <v>43586</v>
      </c>
      <c r="H6" s="14">
        <v>43594</v>
      </c>
      <c r="I6" s="14">
        <v>43611</v>
      </c>
      <c r="J6" s="15">
        <v>17</v>
      </c>
      <c r="K6" s="16">
        <f t="shared" si="0"/>
        <v>176.35294117647058</v>
      </c>
      <c r="L6" s="17">
        <f t="shared" si="1"/>
        <v>22.044117647058822</v>
      </c>
      <c r="M6" s="18">
        <v>8</v>
      </c>
      <c r="N6" s="18">
        <v>2998</v>
      </c>
      <c r="O6" s="19" t="s">
        <v>19</v>
      </c>
      <c r="P6" s="19">
        <v>15000</v>
      </c>
    </row>
    <row r="7" ht="15">
      <c r="A7" s="12" t="s">
        <v>16</v>
      </c>
      <c r="B7" s="12">
        <v>16</v>
      </c>
      <c r="C7" s="13">
        <v>253.59999999999999</v>
      </c>
      <c r="D7" s="13" t="s">
        <v>25</v>
      </c>
      <c r="E7" s="13">
        <v>2019</v>
      </c>
      <c r="F7" s="13" t="s">
        <v>21</v>
      </c>
      <c r="G7" s="14">
        <v>43617</v>
      </c>
      <c r="H7" s="14">
        <v>43623</v>
      </c>
      <c r="I7" s="14">
        <v>43645</v>
      </c>
      <c r="J7" s="15">
        <v>22</v>
      </c>
      <c r="K7" s="16">
        <f t="shared" si="0"/>
        <v>233.04545454545453</v>
      </c>
      <c r="L7" s="17">
        <f t="shared" si="1"/>
        <v>29.130681818181817</v>
      </c>
      <c r="M7" s="18">
        <v>8</v>
      </c>
      <c r="N7" s="18">
        <v>5127</v>
      </c>
      <c r="O7" s="19" t="s">
        <v>19</v>
      </c>
      <c r="P7" s="19">
        <v>15000</v>
      </c>
    </row>
    <row r="8" ht="15">
      <c r="A8" s="12" t="s">
        <v>16</v>
      </c>
      <c r="B8" s="12">
        <v>16</v>
      </c>
      <c r="C8" s="13">
        <v>156.19999999999999</v>
      </c>
      <c r="D8" s="13" t="s">
        <v>26</v>
      </c>
      <c r="E8" s="13">
        <v>2019</v>
      </c>
      <c r="F8" s="13" t="s">
        <v>27</v>
      </c>
      <c r="G8" s="14">
        <v>43647</v>
      </c>
      <c r="H8" s="14">
        <v>43657</v>
      </c>
      <c r="I8" s="14">
        <v>43673</v>
      </c>
      <c r="J8" s="15">
        <v>16</v>
      </c>
      <c r="K8" s="16">
        <f t="shared" si="0"/>
        <v>188.375</v>
      </c>
      <c r="L8" s="17">
        <f t="shared" si="1"/>
        <v>23.546875</v>
      </c>
      <c r="M8" s="18">
        <v>8</v>
      </c>
      <c r="N8" s="18">
        <v>3014</v>
      </c>
      <c r="O8" s="19" t="s">
        <v>19</v>
      </c>
      <c r="P8" s="19">
        <v>15000</v>
      </c>
    </row>
    <row r="9" ht="15">
      <c r="A9" s="12" t="s">
        <v>16</v>
      </c>
      <c r="B9" s="12">
        <v>16</v>
      </c>
      <c r="C9" s="13">
        <v>151</v>
      </c>
      <c r="D9" s="13" t="s">
        <v>28</v>
      </c>
      <c r="E9" s="13">
        <v>2019</v>
      </c>
      <c r="F9" s="13" t="s">
        <v>29</v>
      </c>
      <c r="G9" s="14">
        <v>43678</v>
      </c>
      <c r="H9" s="14">
        <v>43682</v>
      </c>
      <c r="I9" s="14">
        <v>43702</v>
      </c>
      <c r="J9" s="15">
        <v>15</v>
      </c>
      <c r="K9" s="16">
        <f>N6/J9</f>
        <v>199.86666666666667</v>
      </c>
      <c r="L9" s="17">
        <f t="shared" si="1"/>
        <v>68.625</v>
      </c>
      <c r="M9" s="18">
        <v>8</v>
      </c>
      <c r="N9" s="18">
        <v>8235</v>
      </c>
      <c r="O9" s="19" t="s">
        <v>19</v>
      </c>
      <c r="P9" s="19">
        <v>15000</v>
      </c>
    </row>
    <row r="10" ht="15">
      <c r="A10" s="12" t="s">
        <v>16</v>
      </c>
      <c r="B10" s="12">
        <v>16</v>
      </c>
      <c r="C10" s="13">
        <v>232.59999999999999</v>
      </c>
      <c r="D10" s="13" t="s">
        <v>30</v>
      </c>
      <c r="E10" s="13">
        <v>2019</v>
      </c>
      <c r="F10" s="13" t="s">
        <v>27</v>
      </c>
      <c r="G10" s="14">
        <v>43709</v>
      </c>
      <c r="H10" s="14">
        <v>43711</v>
      </c>
      <c r="I10" s="14">
        <v>43728</v>
      </c>
      <c r="J10" s="15">
        <v>17</v>
      </c>
      <c r="K10" s="16">
        <f>N10/10</f>
        <v>621.20000000000005</v>
      </c>
      <c r="L10" s="17">
        <f t="shared" ref="L10:L57" si="2">N10/(M10*J10)</f>
        <v>45.676470588235297</v>
      </c>
      <c r="M10" s="18">
        <v>8</v>
      </c>
      <c r="N10" s="18">
        <v>6212</v>
      </c>
      <c r="O10" s="19" t="s">
        <v>19</v>
      </c>
      <c r="P10" s="19">
        <v>15000</v>
      </c>
    </row>
    <row r="11" ht="15">
      <c r="A11" s="12" t="s">
        <v>16</v>
      </c>
      <c r="B11" s="12">
        <v>16</v>
      </c>
      <c r="C11" s="13">
        <v>274</v>
      </c>
      <c r="D11" s="13" t="s">
        <v>31</v>
      </c>
      <c r="E11" s="13">
        <v>2019</v>
      </c>
      <c r="F11" s="13" t="s">
        <v>27</v>
      </c>
      <c r="G11" s="14">
        <v>43739</v>
      </c>
      <c r="H11" s="14">
        <v>43742</v>
      </c>
      <c r="I11" s="14">
        <v>43758</v>
      </c>
      <c r="J11" s="15">
        <f>(I11-H11)+1</f>
        <v>17</v>
      </c>
      <c r="K11" s="16">
        <f>N11/11</f>
        <v>756.36363636363637</v>
      </c>
      <c r="L11" s="17">
        <f t="shared" si="2"/>
        <v>61.176470588235297</v>
      </c>
      <c r="M11" s="18">
        <v>8</v>
      </c>
      <c r="N11" s="18">
        <v>8320</v>
      </c>
      <c r="O11" s="19" t="s">
        <v>19</v>
      </c>
      <c r="P11" s="19">
        <v>15000</v>
      </c>
    </row>
    <row r="12" ht="15">
      <c r="A12" s="12" t="s">
        <v>16</v>
      </c>
      <c r="B12" s="12">
        <v>16</v>
      </c>
      <c r="C12" s="13">
        <v>250.40000000000001</v>
      </c>
      <c r="D12" s="13" t="s">
        <v>32</v>
      </c>
      <c r="E12" s="13">
        <v>2019</v>
      </c>
      <c r="F12" s="13" t="s">
        <v>27</v>
      </c>
      <c r="G12" s="14">
        <v>43770</v>
      </c>
      <c r="H12" s="14">
        <v>43784</v>
      </c>
      <c r="I12" s="14">
        <v>43772</v>
      </c>
      <c r="J12" s="15">
        <v>17</v>
      </c>
      <c r="K12" s="16">
        <f>N12/12</f>
        <v>498.91666666666669</v>
      </c>
      <c r="L12" s="17">
        <f t="shared" si="2"/>
        <v>44.022058823529413</v>
      </c>
      <c r="M12" s="18">
        <v>8</v>
      </c>
      <c r="N12" s="18">
        <v>5987</v>
      </c>
      <c r="O12" s="19" t="s">
        <v>19</v>
      </c>
      <c r="P12" s="19">
        <v>15000</v>
      </c>
    </row>
    <row r="13" ht="15">
      <c r="A13" s="12" t="s">
        <v>16</v>
      </c>
      <c r="B13" s="12">
        <v>16</v>
      </c>
      <c r="C13" s="13">
        <v>385</v>
      </c>
      <c r="D13" s="13" t="s">
        <v>33</v>
      </c>
      <c r="E13" s="13">
        <v>2019</v>
      </c>
      <c r="F13" s="13" t="s">
        <v>27</v>
      </c>
      <c r="G13" s="14">
        <v>43800</v>
      </c>
      <c r="H13" s="14">
        <v>43815</v>
      </c>
      <c r="I13" s="14">
        <v>43803</v>
      </c>
      <c r="J13" s="15">
        <v>18</v>
      </c>
      <c r="K13" s="16">
        <f>N13/13</f>
        <v>537.61538461538464</v>
      </c>
      <c r="L13" s="17">
        <f t="shared" si="2"/>
        <v>48.534722222222221</v>
      </c>
      <c r="M13" s="18">
        <v>8</v>
      </c>
      <c r="N13" s="18">
        <v>6989</v>
      </c>
      <c r="O13" s="19" t="s">
        <v>19</v>
      </c>
      <c r="P13" s="19">
        <v>15000</v>
      </c>
    </row>
    <row r="14" ht="15">
      <c r="A14" s="12" t="s">
        <v>34</v>
      </c>
      <c r="B14" s="12">
        <v>18</v>
      </c>
      <c r="C14" s="13">
        <v>370.80000000000001</v>
      </c>
      <c r="D14" s="13" t="s">
        <v>17</v>
      </c>
      <c r="E14" s="13">
        <v>2019</v>
      </c>
      <c r="F14" s="13" t="s">
        <v>18</v>
      </c>
      <c r="G14" s="14">
        <v>43466</v>
      </c>
      <c r="H14" s="14">
        <v>43470</v>
      </c>
      <c r="I14" s="14">
        <v>43488</v>
      </c>
      <c r="J14" s="15">
        <f t="shared" ref="J14:J77" si="3">(I14-H14)+1</f>
        <v>19</v>
      </c>
      <c r="K14" s="16">
        <f t="shared" ref="K14:K57" si="4">N14/J14</f>
        <v>495.94736842105266</v>
      </c>
      <c r="L14" s="17">
        <f t="shared" si="2"/>
        <v>49.594736842105263</v>
      </c>
      <c r="M14" s="18">
        <v>10</v>
      </c>
      <c r="N14" s="18">
        <v>9423</v>
      </c>
      <c r="O14" s="19" t="s">
        <v>35</v>
      </c>
      <c r="P14" s="19">
        <v>4000</v>
      </c>
    </row>
    <row r="15" ht="15">
      <c r="A15" s="12" t="s">
        <v>34</v>
      </c>
      <c r="B15" s="12">
        <v>18</v>
      </c>
      <c r="C15" s="13">
        <v>426.60000000000002</v>
      </c>
      <c r="D15" s="13" t="s">
        <v>20</v>
      </c>
      <c r="E15" s="13">
        <v>2019</v>
      </c>
      <c r="F15" s="13" t="s">
        <v>21</v>
      </c>
      <c r="G15" s="14">
        <v>43497</v>
      </c>
      <c r="H15" s="14">
        <v>43500</v>
      </c>
      <c r="I15" s="14">
        <v>43522</v>
      </c>
      <c r="J15" s="15">
        <f t="shared" si="3"/>
        <v>23</v>
      </c>
      <c r="K15" s="16">
        <f t="shared" si="4"/>
        <v>377.69565217391306</v>
      </c>
      <c r="L15" s="17">
        <f t="shared" si="2"/>
        <v>37.769565217391303</v>
      </c>
      <c r="M15" s="18">
        <v>10</v>
      </c>
      <c r="N15" s="18">
        <v>8687</v>
      </c>
      <c r="O15" s="19" t="s">
        <v>35</v>
      </c>
      <c r="P15" s="19">
        <v>4000</v>
      </c>
    </row>
    <row r="16" ht="15">
      <c r="A16" s="12" t="s">
        <v>34</v>
      </c>
      <c r="B16" s="12">
        <v>18</v>
      </c>
      <c r="C16" s="13">
        <v>763.79999999999995</v>
      </c>
      <c r="D16" s="13" t="s">
        <v>22</v>
      </c>
      <c r="E16" s="13">
        <v>2019</v>
      </c>
      <c r="F16" s="13" t="s">
        <v>21</v>
      </c>
      <c r="G16" s="14">
        <v>43525</v>
      </c>
      <c r="H16" s="14">
        <v>43527</v>
      </c>
      <c r="I16" s="14">
        <v>43551</v>
      </c>
      <c r="J16" s="15">
        <f t="shared" si="3"/>
        <v>25</v>
      </c>
      <c r="K16" s="16">
        <f t="shared" si="4"/>
        <v>280.48000000000002</v>
      </c>
      <c r="L16" s="17">
        <f t="shared" si="2"/>
        <v>28.047999999999998</v>
      </c>
      <c r="M16" s="18">
        <v>10</v>
      </c>
      <c r="N16" s="18">
        <v>7012</v>
      </c>
      <c r="O16" s="19" t="s">
        <v>35</v>
      </c>
      <c r="P16" s="19">
        <v>4000</v>
      </c>
    </row>
    <row r="17" ht="15">
      <c r="A17" s="12" t="s">
        <v>34</v>
      </c>
      <c r="B17" s="12">
        <v>18</v>
      </c>
      <c r="C17" s="13">
        <v>559.60000000000002</v>
      </c>
      <c r="D17" s="13" t="s">
        <v>23</v>
      </c>
      <c r="E17" s="13">
        <v>2019</v>
      </c>
      <c r="F17" s="13" t="s">
        <v>21</v>
      </c>
      <c r="G17" s="14">
        <v>43556</v>
      </c>
      <c r="H17" s="14">
        <v>43563</v>
      </c>
      <c r="I17" s="14">
        <v>43583</v>
      </c>
      <c r="J17" s="15">
        <f t="shared" si="3"/>
        <v>21</v>
      </c>
      <c r="K17" s="16">
        <f t="shared" si="4"/>
        <v>422.8095238095238</v>
      </c>
      <c r="L17" s="17">
        <f t="shared" si="2"/>
        <v>42.280952380952378</v>
      </c>
      <c r="M17" s="18">
        <v>10</v>
      </c>
      <c r="N17" s="18">
        <v>8879</v>
      </c>
      <c r="O17" s="19" t="s">
        <v>35</v>
      </c>
      <c r="P17" s="19">
        <v>4000</v>
      </c>
    </row>
    <row r="18" ht="15">
      <c r="A18" s="12" t="s">
        <v>34</v>
      </c>
      <c r="B18" s="12">
        <v>18</v>
      </c>
      <c r="C18" s="13">
        <v>443.39999999999998</v>
      </c>
      <c r="D18" s="13" t="s">
        <v>24</v>
      </c>
      <c r="E18" s="13">
        <v>2019</v>
      </c>
      <c r="F18" s="13" t="s">
        <v>21</v>
      </c>
      <c r="G18" s="14">
        <v>43586</v>
      </c>
      <c r="H18" s="14">
        <v>43592</v>
      </c>
      <c r="I18" s="14">
        <v>43608</v>
      </c>
      <c r="J18" s="15">
        <f t="shared" si="3"/>
        <v>17</v>
      </c>
      <c r="K18" s="16">
        <f t="shared" si="4"/>
        <v>594.47058823529414</v>
      </c>
      <c r="L18" s="17">
        <f t="shared" si="2"/>
        <v>59.44705882352941</v>
      </c>
      <c r="M18" s="18">
        <v>10</v>
      </c>
      <c r="N18" s="18">
        <v>10106</v>
      </c>
      <c r="O18" s="19" t="s">
        <v>35</v>
      </c>
      <c r="P18" s="19">
        <v>4000</v>
      </c>
    </row>
    <row r="19" ht="15">
      <c r="A19" s="12" t="s">
        <v>34</v>
      </c>
      <c r="B19" s="12">
        <v>18</v>
      </c>
      <c r="C19" s="13">
        <v>253.59999999999999</v>
      </c>
      <c r="D19" s="13" t="s">
        <v>25</v>
      </c>
      <c r="E19" s="13">
        <v>2019</v>
      </c>
      <c r="F19" s="13" t="s">
        <v>21</v>
      </c>
      <c r="G19" s="14">
        <v>43617</v>
      </c>
      <c r="H19" s="14">
        <v>43617</v>
      </c>
      <c r="I19" s="14">
        <v>43643</v>
      </c>
      <c r="J19" s="15">
        <f t="shared" si="3"/>
        <v>27</v>
      </c>
      <c r="K19" s="16">
        <f t="shared" si="4"/>
        <v>317.48148148148147</v>
      </c>
      <c r="L19" s="17">
        <f t="shared" si="2"/>
        <v>31.748148148148147</v>
      </c>
      <c r="M19" s="18">
        <v>10</v>
      </c>
      <c r="N19" s="18">
        <v>8572</v>
      </c>
      <c r="O19" s="19" t="s">
        <v>35</v>
      </c>
      <c r="P19" s="19">
        <v>4000</v>
      </c>
    </row>
    <row r="20" ht="15">
      <c r="A20" s="12" t="s">
        <v>34</v>
      </c>
      <c r="B20" s="12">
        <v>18</v>
      </c>
      <c r="C20" s="13">
        <v>156.19999999999999</v>
      </c>
      <c r="D20" s="13" t="s">
        <v>26</v>
      </c>
      <c r="E20" s="13">
        <v>2019</v>
      </c>
      <c r="F20" s="13" t="s">
        <v>27</v>
      </c>
      <c r="G20" s="14">
        <v>43647</v>
      </c>
      <c r="H20" s="14">
        <v>43656</v>
      </c>
      <c r="I20" s="14">
        <v>43671</v>
      </c>
      <c r="J20" s="15">
        <f t="shared" si="3"/>
        <v>16</v>
      </c>
      <c r="K20" s="16">
        <f t="shared" si="4"/>
        <v>561.0625</v>
      </c>
      <c r="L20" s="17">
        <f t="shared" si="2"/>
        <v>56.106250000000003</v>
      </c>
      <c r="M20" s="18">
        <v>10</v>
      </c>
      <c r="N20" s="18">
        <v>8977</v>
      </c>
      <c r="O20" s="19" t="s">
        <v>35</v>
      </c>
      <c r="P20" s="19">
        <v>4000</v>
      </c>
    </row>
    <row r="21" ht="15">
      <c r="A21" s="12" t="s">
        <v>34</v>
      </c>
      <c r="B21" s="12">
        <v>18</v>
      </c>
      <c r="C21" s="13">
        <v>151</v>
      </c>
      <c r="D21" s="13" t="s">
        <v>28</v>
      </c>
      <c r="E21" s="13">
        <v>2019</v>
      </c>
      <c r="F21" s="13" t="s">
        <v>29</v>
      </c>
      <c r="G21" s="14">
        <v>43678</v>
      </c>
      <c r="H21" s="14">
        <v>43678</v>
      </c>
      <c r="I21" s="14">
        <v>43706</v>
      </c>
      <c r="J21" s="15">
        <f t="shared" si="3"/>
        <v>29</v>
      </c>
      <c r="K21" s="16">
        <f t="shared" si="4"/>
        <v>241.89655172413794</v>
      </c>
      <c r="L21" s="17">
        <f t="shared" si="2"/>
        <v>24.189655172413794</v>
      </c>
      <c r="M21" s="18">
        <v>10</v>
      </c>
      <c r="N21" s="18">
        <v>7015</v>
      </c>
      <c r="O21" s="19" t="s">
        <v>35</v>
      </c>
      <c r="P21" s="19">
        <v>4000</v>
      </c>
    </row>
    <row r="22" ht="15">
      <c r="A22" s="12" t="s">
        <v>34</v>
      </c>
      <c r="B22" s="12">
        <v>18</v>
      </c>
      <c r="C22" s="13">
        <v>232.59999999999999</v>
      </c>
      <c r="D22" s="13" t="s">
        <v>30</v>
      </c>
      <c r="E22" s="13">
        <v>2019</v>
      </c>
      <c r="F22" s="13" t="s">
        <v>27</v>
      </c>
      <c r="G22" s="14">
        <v>43709</v>
      </c>
      <c r="H22" s="14">
        <v>43717</v>
      </c>
      <c r="I22" s="14">
        <v>43738</v>
      </c>
      <c r="J22" s="15">
        <f t="shared" si="3"/>
        <v>22</v>
      </c>
      <c r="K22" s="16">
        <f t="shared" si="4"/>
        <v>282.36363636363637</v>
      </c>
      <c r="L22" s="17">
        <f t="shared" si="2"/>
        <v>28.236363636363638</v>
      </c>
      <c r="M22" s="18">
        <v>10</v>
      </c>
      <c r="N22" s="18">
        <v>6212</v>
      </c>
      <c r="O22" s="19" t="s">
        <v>35</v>
      </c>
      <c r="P22" s="19">
        <v>4000</v>
      </c>
    </row>
    <row r="23" ht="15">
      <c r="A23" s="12" t="s">
        <v>34</v>
      </c>
      <c r="B23" s="12">
        <v>18</v>
      </c>
      <c r="C23" s="13">
        <v>274</v>
      </c>
      <c r="D23" s="13" t="s">
        <v>31</v>
      </c>
      <c r="E23" s="13">
        <v>2019</v>
      </c>
      <c r="F23" s="13" t="s">
        <v>27</v>
      </c>
      <c r="G23" s="14">
        <v>43739</v>
      </c>
      <c r="H23" s="14">
        <v>43745</v>
      </c>
      <c r="I23" s="14">
        <v>43768</v>
      </c>
      <c r="J23" s="15">
        <f t="shared" si="3"/>
        <v>24</v>
      </c>
      <c r="K23" s="16">
        <f t="shared" si="4"/>
        <v>382.79166666666669</v>
      </c>
      <c r="L23" s="17">
        <f t="shared" si="2"/>
        <v>38.279166666666669</v>
      </c>
      <c r="M23" s="18">
        <v>10</v>
      </c>
      <c r="N23" s="18">
        <v>9187</v>
      </c>
      <c r="O23" s="19" t="s">
        <v>35</v>
      </c>
      <c r="P23" s="19">
        <v>4000</v>
      </c>
    </row>
    <row r="24" ht="15">
      <c r="A24" s="12" t="s">
        <v>34</v>
      </c>
      <c r="B24" s="12">
        <v>18</v>
      </c>
      <c r="C24" s="13">
        <v>250.40000000000001</v>
      </c>
      <c r="D24" s="13" t="s">
        <v>32</v>
      </c>
      <c r="E24" s="13">
        <v>2019</v>
      </c>
      <c r="F24" s="13" t="s">
        <v>27</v>
      </c>
      <c r="G24" s="14">
        <v>43770</v>
      </c>
      <c r="H24" s="14">
        <v>43773</v>
      </c>
      <c r="I24" s="14">
        <v>43796</v>
      </c>
      <c r="J24" s="15">
        <f t="shared" si="3"/>
        <v>24</v>
      </c>
      <c r="K24" s="16">
        <f t="shared" si="4"/>
        <v>353.08333333333331</v>
      </c>
      <c r="L24" s="17">
        <f t="shared" si="2"/>
        <v>35.30833333333333</v>
      </c>
      <c r="M24" s="18">
        <v>10</v>
      </c>
      <c r="N24" s="18">
        <v>8474</v>
      </c>
      <c r="O24" s="19" t="s">
        <v>35</v>
      </c>
      <c r="P24" s="19">
        <v>4000</v>
      </c>
    </row>
    <row r="25" ht="15">
      <c r="A25" s="12" t="s">
        <v>34</v>
      </c>
      <c r="B25" s="12">
        <v>18</v>
      </c>
      <c r="C25" s="13">
        <v>385</v>
      </c>
      <c r="D25" s="13" t="s">
        <v>33</v>
      </c>
      <c r="E25" s="13">
        <v>2019</v>
      </c>
      <c r="F25" s="13" t="s">
        <v>27</v>
      </c>
      <c r="G25" s="14">
        <v>43800</v>
      </c>
      <c r="H25" s="14">
        <v>43801</v>
      </c>
      <c r="I25" s="14">
        <v>43817</v>
      </c>
      <c r="J25" s="15">
        <f t="shared" si="3"/>
        <v>17</v>
      </c>
      <c r="K25" s="16">
        <f t="shared" si="4"/>
        <v>511</v>
      </c>
      <c r="L25" s="17">
        <f t="shared" si="2"/>
        <v>51.100000000000001</v>
      </c>
      <c r="M25" s="18">
        <v>10</v>
      </c>
      <c r="N25" s="18">
        <v>8687</v>
      </c>
      <c r="O25" s="19" t="s">
        <v>35</v>
      </c>
      <c r="P25" s="19">
        <v>4000</v>
      </c>
    </row>
    <row r="26" ht="15">
      <c r="A26" s="12" t="s">
        <v>36</v>
      </c>
      <c r="B26" s="12">
        <v>18</v>
      </c>
      <c r="C26" s="13">
        <v>370.80000000000001</v>
      </c>
      <c r="D26" s="13" t="s">
        <v>17</v>
      </c>
      <c r="E26" s="13">
        <v>2019</v>
      </c>
      <c r="F26" s="13" t="s">
        <v>18</v>
      </c>
      <c r="G26" s="14">
        <v>43466</v>
      </c>
      <c r="H26" s="14">
        <v>43470</v>
      </c>
      <c r="I26" s="14">
        <v>43494</v>
      </c>
      <c r="J26" s="15">
        <f t="shared" si="3"/>
        <v>25</v>
      </c>
      <c r="K26" s="16">
        <f t="shared" si="4"/>
        <v>407.75999999999999</v>
      </c>
      <c r="L26" s="17">
        <f t="shared" si="2"/>
        <v>40.776000000000003</v>
      </c>
      <c r="M26" s="18">
        <v>10</v>
      </c>
      <c r="N26" s="18">
        <v>10194</v>
      </c>
      <c r="O26" s="19" t="s">
        <v>35</v>
      </c>
      <c r="P26" s="19">
        <v>4500</v>
      </c>
    </row>
    <row r="27" ht="15">
      <c r="A27" s="12" t="s">
        <v>36</v>
      </c>
      <c r="B27" s="12">
        <v>18</v>
      </c>
      <c r="C27" s="13">
        <v>426.60000000000002</v>
      </c>
      <c r="D27" s="13" t="s">
        <v>20</v>
      </c>
      <c r="E27" s="13">
        <v>2019</v>
      </c>
      <c r="F27" s="13" t="s">
        <v>21</v>
      </c>
      <c r="G27" s="14">
        <v>43497</v>
      </c>
      <c r="H27" s="14">
        <v>43502</v>
      </c>
      <c r="I27" s="14">
        <v>43524</v>
      </c>
      <c r="J27" s="15">
        <f t="shared" si="3"/>
        <v>23</v>
      </c>
      <c r="K27" s="16">
        <f t="shared" si="4"/>
        <v>304.86956521739131</v>
      </c>
      <c r="L27" s="17">
        <f t="shared" si="2"/>
        <v>30.486956521739131</v>
      </c>
      <c r="M27" s="18">
        <v>10</v>
      </c>
      <c r="N27" s="18">
        <v>7012</v>
      </c>
      <c r="O27" s="19" t="s">
        <v>35</v>
      </c>
      <c r="P27" s="19">
        <v>4500</v>
      </c>
    </row>
    <row r="28" ht="15">
      <c r="A28" s="12" t="s">
        <v>36</v>
      </c>
      <c r="B28" s="12">
        <v>18</v>
      </c>
      <c r="C28" s="13">
        <v>763.79999999999995</v>
      </c>
      <c r="D28" s="13" t="s">
        <v>22</v>
      </c>
      <c r="E28" s="13">
        <v>2019</v>
      </c>
      <c r="F28" s="13" t="s">
        <v>21</v>
      </c>
      <c r="G28" s="14">
        <v>43525</v>
      </c>
      <c r="H28" s="14">
        <v>43532</v>
      </c>
      <c r="I28" s="14">
        <v>43554</v>
      </c>
      <c r="J28" s="15">
        <f t="shared" si="3"/>
        <v>23</v>
      </c>
      <c r="K28" s="16">
        <f t="shared" si="4"/>
        <v>386.04347826086956</v>
      </c>
      <c r="L28" s="17">
        <f t="shared" si="2"/>
        <v>38.604347826086958</v>
      </c>
      <c r="M28" s="18">
        <v>10</v>
      </c>
      <c r="N28" s="18">
        <v>8879</v>
      </c>
      <c r="O28" s="19" t="s">
        <v>35</v>
      </c>
      <c r="P28" s="19">
        <v>4500</v>
      </c>
    </row>
    <row r="29" ht="15">
      <c r="A29" s="12" t="s">
        <v>36</v>
      </c>
      <c r="B29" s="12">
        <v>18</v>
      </c>
      <c r="C29" s="13">
        <v>559.60000000000002</v>
      </c>
      <c r="D29" s="13" t="s">
        <v>23</v>
      </c>
      <c r="E29" s="13">
        <v>2019</v>
      </c>
      <c r="F29" s="13" t="s">
        <v>21</v>
      </c>
      <c r="G29" s="14">
        <v>43556</v>
      </c>
      <c r="H29" s="14">
        <v>43559</v>
      </c>
      <c r="I29" s="14">
        <v>43577</v>
      </c>
      <c r="J29" s="15">
        <f t="shared" si="3"/>
        <v>19</v>
      </c>
      <c r="K29" s="16">
        <f t="shared" si="4"/>
        <v>531.89473684210532</v>
      </c>
      <c r="L29" s="17">
        <f t="shared" si="2"/>
        <v>53.189473684210526</v>
      </c>
      <c r="M29" s="18">
        <v>10</v>
      </c>
      <c r="N29" s="18">
        <v>10106</v>
      </c>
      <c r="O29" s="19" t="s">
        <v>35</v>
      </c>
      <c r="P29" s="19">
        <v>4500</v>
      </c>
    </row>
    <row r="30" ht="15">
      <c r="A30" s="12" t="s">
        <v>36</v>
      </c>
      <c r="B30" s="12">
        <v>18</v>
      </c>
      <c r="C30" s="13">
        <v>443.39999999999998</v>
      </c>
      <c r="D30" s="13" t="s">
        <v>24</v>
      </c>
      <c r="E30" s="13">
        <v>2019</v>
      </c>
      <c r="F30" s="13" t="s">
        <v>21</v>
      </c>
      <c r="G30" s="14">
        <v>43586</v>
      </c>
      <c r="H30" s="14">
        <v>43584</v>
      </c>
      <c r="I30" s="14">
        <v>43598</v>
      </c>
      <c r="J30" s="15">
        <f t="shared" si="3"/>
        <v>15</v>
      </c>
      <c r="K30" s="16">
        <f t="shared" si="4"/>
        <v>662.20000000000005</v>
      </c>
      <c r="L30" s="17">
        <f t="shared" si="2"/>
        <v>66.219999999999999</v>
      </c>
      <c r="M30" s="18">
        <v>10</v>
      </c>
      <c r="N30" s="18">
        <v>9933</v>
      </c>
      <c r="O30" s="19" t="s">
        <v>35</v>
      </c>
      <c r="P30" s="19">
        <v>4500</v>
      </c>
    </row>
    <row r="31" ht="15">
      <c r="A31" s="12" t="s">
        <v>36</v>
      </c>
      <c r="B31" s="12">
        <v>18</v>
      </c>
      <c r="C31" s="13">
        <v>253.59999999999999</v>
      </c>
      <c r="D31" s="13" t="s">
        <v>25</v>
      </c>
      <c r="E31" s="13">
        <v>2019</v>
      </c>
      <c r="F31" s="13" t="s">
        <v>21</v>
      </c>
      <c r="G31" s="14">
        <v>43617</v>
      </c>
      <c r="H31" s="14">
        <v>43605</v>
      </c>
      <c r="I31" s="14">
        <v>43630</v>
      </c>
      <c r="J31" s="15">
        <f t="shared" si="3"/>
        <v>26</v>
      </c>
      <c r="K31" s="16">
        <f t="shared" si="4"/>
        <v>316.73076923076923</v>
      </c>
      <c r="L31" s="17">
        <f t="shared" si="2"/>
        <v>31.673076923076923</v>
      </c>
      <c r="M31" s="18">
        <v>10</v>
      </c>
      <c r="N31" s="18">
        <v>8235</v>
      </c>
      <c r="O31" s="19" t="s">
        <v>35</v>
      </c>
      <c r="P31" s="19">
        <v>4500</v>
      </c>
    </row>
    <row r="32" ht="15">
      <c r="A32" s="12" t="s">
        <v>36</v>
      </c>
      <c r="B32" s="12">
        <v>18</v>
      </c>
      <c r="C32" s="13">
        <v>156.19999999999999</v>
      </c>
      <c r="D32" s="13" t="s">
        <v>26</v>
      </c>
      <c r="E32" s="13">
        <v>2019</v>
      </c>
      <c r="F32" s="13" t="s">
        <v>27</v>
      </c>
      <c r="G32" s="14">
        <v>43647</v>
      </c>
      <c r="H32" s="14">
        <v>43635</v>
      </c>
      <c r="I32" s="14">
        <v>43661</v>
      </c>
      <c r="J32" s="15">
        <f t="shared" si="3"/>
        <v>27</v>
      </c>
      <c r="K32" s="16">
        <f t="shared" si="4"/>
        <v>367.88888888888891</v>
      </c>
      <c r="L32" s="17">
        <f t="shared" si="2"/>
        <v>36.788888888888891</v>
      </c>
      <c r="M32" s="18">
        <v>10</v>
      </c>
      <c r="N32" s="18">
        <v>9933</v>
      </c>
      <c r="O32" s="19" t="s">
        <v>35</v>
      </c>
      <c r="P32" s="19">
        <v>4500</v>
      </c>
    </row>
    <row r="33" ht="15">
      <c r="A33" s="12" t="s">
        <v>36</v>
      </c>
      <c r="B33" s="12">
        <v>18</v>
      </c>
      <c r="C33" s="13">
        <v>151</v>
      </c>
      <c r="D33" s="13" t="s">
        <v>28</v>
      </c>
      <c r="E33" s="13">
        <v>2019</v>
      </c>
      <c r="F33" s="13" t="s">
        <v>29</v>
      </c>
      <c r="G33" s="14">
        <v>43678</v>
      </c>
      <c r="H33" s="14">
        <v>43668</v>
      </c>
      <c r="I33" s="14">
        <v>43695</v>
      </c>
      <c r="J33" s="15">
        <f t="shared" si="3"/>
        <v>28</v>
      </c>
      <c r="K33" s="16">
        <f t="shared" si="4"/>
        <v>372.35714285714283</v>
      </c>
      <c r="L33" s="17">
        <f t="shared" si="2"/>
        <v>37.235714285714288</v>
      </c>
      <c r="M33" s="18">
        <v>10</v>
      </c>
      <c r="N33" s="18">
        <v>10426</v>
      </c>
      <c r="O33" s="19" t="s">
        <v>35</v>
      </c>
      <c r="P33" s="19">
        <v>4500</v>
      </c>
    </row>
    <row r="34" ht="15">
      <c r="A34" s="12" t="s">
        <v>36</v>
      </c>
      <c r="B34" s="12">
        <v>18</v>
      </c>
      <c r="C34" s="13">
        <v>232.59999999999999</v>
      </c>
      <c r="D34" s="13" t="s">
        <v>30</v>
      </c>
      <c r="E34" s="13">
        <v>2019</v>
      </c>
      <c r="F34" s="13" t="s">
        <v>27</v>
      </c>
      <c r="G34" s="14">
        <v>43709</v>
      </c>
      <c r="H34" s="14">
        <v>43704</v>
      </c>
      <c r="I34" s="14">
        <v>43725</v>
      </c>
      <c r="J34" s="15">
        <f t="shared" si="3"/>
        <v>22</v>
      </c>
      <c r="K34" s="16">
        <f t="shared" si="4"/>
        <v>315.77272727272725</v>
      </c>
      <c r="L34" s="17">
        <f t="shared" si="2"/>
        <v>31.577272727272728</v>
      </c>
      <c r="M34" s="18">
        <v>10</v>
      </c>
      <c r="N34" s="18">
        <v>6947</v>
      </c>
      <c r="O34" s="19" t="s">
        <v>35</v>
      </c>
      <c r="P34" s="19">
        <v>4500</v>
      </c>
    </row>
    <row r="35" ht="15">
      <c r="A35" s="12" t="s">
        <v>36</v>
      </c>
      <c r="B35" s="12">
        <v>18</v>
      </c>
      <c r="C35" s="13">
        <v>274</v>
      </c>
      <c r="D35" s="13" t="s">
        <v>31</v>
      </c>
      <c r="E35" s="13">
        <v>2019</v>
      </c>
      <c r="F35" s="13" t="s">
        <v>27</v>
      </c>
      <c r="G35" s="14">
        <v>43739</v>
      </c>
      <c r="H35" s="14">
        <v>43732</v>
      </c>
      <c r="I35" s="14">
        <v>43756</v>
      </c>
      <c r="J35" s="15">
        <f t="shared" si="3"/>
        <v>25</v>
      </c>
      <c r="K35" s="16">
        <f t="shared" si="4"/>
        <v>303.80000000000001</v>
      </c>
      <c r="L35" s="17">
        <f t="shared" si="2"/>
        <v>30.379999999999999</v>
      </c>
      <c r="M35" s="18">
        <v>10</v>
      </c>
      <c r="N35" s="18">
        <v>7595</v>
      </c>
      <c r="O35" s="19" t="s">
        <v>35</v>
      </c>
      <c r="P35" s="19">
        <v>4500</v>
      </c>
    </row>
    <row r="36" ht="15">
      <c r="A36" s="12" t="s">
        <v>36</v>
      </c>
      <c r="B36" s="12">
        <v>18</v>
      </c>
      <c r="C36" s="13">
        <v>250.40000000000001</v>
      </c>
      <c r="D36" s="13" t="s">
        <v>32</v>
      </c>
      <c r="E36" s="13">
        <v>2019</v>
      </c>
      <c r="F36" s="13" t="s">
        <v>27</v>
      </c>
      <c r="G36" s="14">
        <v>43770</v>
      </c>
      <c r="H36" s="14">
        <v>43763</v>
      </c>
      <c r="I36" s="14">
        <v>43788</v>
      </c>
      <c r="J36" s="15">
        <f t="shared" si="3"/>
        <v>26</v>
      </c>
      <c r="K36" s="16">
        <f t="shared" si="4"/>
        <v>280.73076923076923</v>
      </c>
      <c r="L36" s="17">
        <f t="shared" si="2"/>
        <v>28.073076923076922</v>
      </c>
      <c r="M36" s="18">
        <v>10</v>
      </c>
      <c r="N36" s="18">
        <v>7299</v>
      </c>
      <c r="O36" s="19" t="s">
        <v>35</v>
      </c>
      <c r="P36" s="19">
        <v>4500</v>
      </c>
    </row>
    <row r="37" ht="15">
      <c r="A37" s="12" t="s">
        <v>36</v>
      </c>
      <c r="B37" s="12">
        <v>18</v>
      </c>
      <c r="C37" s="13">
        <v>385</v>
      </c>
      <c r="D37" s="13" t="s">
        <v>33</v>
      </c>
      <c r="E37" s="13">
        <v>2019</v>
      </c>
      <c r="F37" s="13" t="s">
        <v>27</v>
      </c>
      <c r="G37" s="14">
        <v>43800</v>
      </c>
      <c r="H37" s="14">
        <v>43795</v>
      </c>
      <c r="I37" s="14">
        <v>43819</v>
      </c>
      <c r="J37" s="15">
        <f t="shared" si="3"/>
        <v>25</v>
      </c>
      <c r="K37" s="16">
        <f t="shared" si="4"/>
        <v>285.19999999999999</v>
      </c>
      <c r="L37" s="17">
        <f t="shared" si="2"/>
        <v>28.52</v>
      </c>
      <c r="M37" s="18">
        <v>10</v>
      </c>
      <c r="N37" s="18">
        <v>7130</v>
      </c>
      <c r="O37" s="19" t="s">
        <v>35</v>
      </c>
      <c r="P37" s="19">
        <v>4500</v>
      </c>
    </row>
    <row r="38" ht="15">
      <c r="A38" s="12" t="s">
        <v>37</v>
      </c>
      <c r="B38" s="12">
        <v>16</v>
      </c>
      <c r="C38" s="13">
        <v>370.80000000000001</v>
      </c>
      <c r="D38" s="13" t="s">
        <v>17</v>
      </c>
      <c r="E38" s="13">
        <v>2019</v>
      </c>
      <c r="F38" s="13" t="s">
        <v>18</v>
      </c>
      <c r="G38" s="14">
        <v>43466</v>
      </c>
      <c r="H38" s="14">
        <v>43472</v>
      </c>
      <c r="I38" s="14">
        <v>43486</v>
      </c>
      <c r="J38" s="15">
        <f t="shared" si="3"/>
        <v>15</v>
      </c>
      <c r="K38" s="16">
        <f t="shared" si="4"/>
        <v>654.33333333333337</v>
      </c>
      <c r="L38" s="17">
        <f t="shared" si="2"/>
        <v>65.433333333333337</v>
      </c>
      <c r="M38" s="18">
        <v>10</v>
      </c>
      <c r="N38" s="18">
        <v>9815</v>
      </c>
      <c r="O38" s="19" t="s">
        <v>19</v>
      </c>
      <c r="P38" s="19">
        <v>7500</v>
      </c>
    </row>
    <row r="39" ht="15">
      <c r="A39" s="12" t="s">
        <v>37</v>
      </c>
      <c r="B39" s="12">
        <v>16</v>
      </c>
      <c r="C39" s="13">
        <v>426.60000000000002</v>
      </c>
      <c r="D39" s="13" t="s">
        <v>20</v>
      </c>
      <c r="E39" s="13">
        <v>2019</v>
      </c>
      <c r="F39" s="13" t="s">
        <v>21</v>
      </c>
      <c r="G39" s="14">
        <v>43497</v>
      </c>
      <c r="H39" s="14">
        <v>43493</v>
      </c>
      <c r="I39" s="14">
        <v>43518</v>
      </c>
      <c r="J39" s="15">
        <f t="shared" si="3"/>
        <v>26</v>
      </c>
      <c r="K39" s="16">
        <f t="shared" si="4"/>
        <v>226.03846153846155</v>
      </c>
      <c r="L39" s="17">
        <f t="shared" si="2"/>
        <v>22.603846153846153</v>
      </c>
      <c r="M39" s="18">
        <v>10</v>
      </c>
      <c r="N39" s="18">
        <v>5877</v>
      </c>
      <c r="O39" s="19" t="s">
        <v>19</v>
      </c>
      <c r="P39" s="19">
        <v>7500</v>
      </c>
    </row>
    <row r="40" ht="15">
      <c r="A40" s="12" t="s">
        <v>37</v>
      </c>
      <c r="B40" s="12">
        <v>16</v>
      </c>
      <c r="C40" s="13">
        <v>763.79999999999995</v>
      </c>
      <c r="D40" s="13" t="s">
        <v>22</v>
      </c>
      <c r="E40" s="13">
        <v>2019</v>
      </c>
      <c r="F40" s="13" t="s">
        <v>21</v>
      </c>
      <c r="G40" s="14">
        <v>43525</v>
      </c>
      <c r="H40" s="14">
        <v>43525</v>
      </c>
      <c r="I40" s="14">
        <v>43547</v>
      </c>
      <c r="J40" s="15">
        <f t="shared" si="3"/>
        <v>23</v>
      </c>
      <c r="K40" s="16">
        <f t="shared" si="4"/>
        <v>265.86956521739131</v>
      </c>
      <c r="L40" s="17">
        <f t="shared" si="2"/>
        <v>26.586956521739129</v>
      </c>
      <c r="M40" s="18">
        <v>10</v>
      </c>
      <c r="N40" s="18">
        <v>6115</v>
      </c>
      <c r="O40" s="19" t="s">
        <v>19</v>
      </c>
      <c r="P40" s="19">
        <v>7500</v>
      </c>
    </row>
    <row r="41" ht="15">
      <c r="A41" s="12" t="s">
        <v>37</v>
      </c>
      <c r="B41" s="12">
        <v>16</v>
      </c>
      <c r="C41" s="13">
        <v>559.60000000000002</v>
      </c>
      <c r="D41" s="13" t="s">
        <v>23</v>
      </c>
      <c r="E41" s="13">
        <v>2019</v>
      </c>
      <c r="F41" s="13" t="s">
        <v>21</v>
      </c>
      <c r="G41" s="14">
        <v>43556</v>
      </c>
      <c r="H41" s="14">
        <v>43554</v>
      </c>
      <c r="I41" s="14">
        <v>43579</v>
      </c>
      <c r="J41" s="15">
        <f t="shared" si="3"/>
        <v>26</v>
      </c>
      <c r="K41" s="16">
        <f t="shared" si="4"/>
        <v>222.65384615384616</v>
      </c>
      <c r="L41" s="17">
        <f t="shared" si="2"/>
        <v>22.265384615384615</v>
      </c>
      <c r="M41" s="18">
        <v>10</v>
      </c>
      <c r="N41" s="18">
        <v>5789</v>
      </c>
      <c r="O41" s="19" t="s">
        <v>19</v>
      </c>
      <c r="P41" s="19">
        <v>7500</v>
      </c>
    </row>
    <row r="42" ht="15">
      <c r="A42" s="12" t="s">
        <v>37</v>
      </c>
      <c r="B42" s="12">
        <v>16</v>
      </c>
      <c r="C42" s="13">
        <v>443.39999999999998</v>
      </c>
      <c r="D42" s="13" t="s">
        <v>24</v>
      </c>
      <c r="E42" s="13">
        <v>2019</v>
      </c>
      <c r="F42" s="13" t="s">
        <v>21</v>
      </c>
      <c r="G42" s="14">
        <v>43586</v>
      </c>
      <c r="H42" s="14">
        <v>43588</v>
      </c>
      <c r="I42" s="14">
        <v>43610</v>
      </c>
      <c r="J42" s="15">
        <f t="shared" si="3"/>
        <v>23</v>
      </c>
      <c r="K42" s="16">
        <f t="shared" si="4"/>
        <v>182.60869565217391</v>
      </c>
      <c r="L42" s="17">
        <f t="shared" si="2"/>
        <v>18.260869565217391</v>
      </c>
      <c r="M42" s="18">
        <v>10</v>
      </c>
      <c r="N42" s="18">
        <v>4200</v>
      </c>
      <c r="O42" s="19" t="s">
        <v>19</v>
      </c>
      <c r="P42" s="19">
        <v>7500</v>
      </c>
    </row>
    <row r="43" ht="15">
      <c r="A43" s="12" t="s">
        <v>37</v>
      </c>
      <c r="B43" s="12">
        <v>16</v>
      </c>
      <c r="C43" s="13">
        <v>253.59999999999999</v>
      </c>
      <c r="D43" s="13" t="s">
        <v>25</v>
      </c>
      <c r="E43" s="13">
        <v>2019</v>
      </c>
      <c r="F43" s="13" t="s">
        <v>21</v>
      </c>
      <c r="G43" s="14">
        <v>43617</v>
      </c>
      <c r="H43" s="14">
        <v>43620</v>
      </c>
      <c r="I43" s="14">
        <v>43642</v>
      </c>
      <c r="J43" s="15">
        <f t="shared" si="3"/>
        <v>23</v>
      </c>
      <c r="K43" s="16">
        <f t="shared" si="4"/>
        <v>232.60869565217391</v>
      </c>
      <c r="L43" s="17">
        <f t="shared" si="2"/>
        <v>23.260869565217391</v>
      </c>
      <c r="M43" s="18">
        <v>10</v>
      </c>
      <c r="N43" s="18">
        <v>5350</v>
      </c>
      <c r="O43" s="19" t="s">
        <v>19</v>
      </c>
      <c r="P43" s="19">
        <v>7500</v>
      </c>
    </row>
    <row r="44" ht="15">
      <c r="A44" s="12" t="s">
        <v>37</v>
      </c>
      <c r="B44" s="12">
        <v>16</v>
      </c>
      <c r="C44" s="13">
        <v>156.19999999999999</v>
      </c>
      <c r="D44" s="13" t="s">
        <v>26</v>
      </c>
      <c r="E44" s="13">
        <v>2019</v>
      </c>
      <c r="F44" s="13" t="s">
        <v>27</v>
      </c>
      <c r="G44" s="14">
        <v>43647</v>
      </c>
      <c r="H44" s="14">
        <v>43651</v>
      </c>
      <c r="I44" s="14">
        <v>43673</v>
      </c>
      <c r="J44" s="15">
        <f t="shared" si="3"/>
        <v>23</v>
      </c>
      <c r="K44" s="16">
        <f t="shared" si="4"/>
        <v>295.6521739130435</v>
      </c>
      <c r="L44" s="17">
        <f t="shared" si="2"/>
        <v>29.565217391304348</v>
      </c>
      <c r="M44" s="18">
        <v>10</v>
      </c>
      <c r="N44" s="18">
        <v>6800</v>
      </c>
      <c r="O44" s="19" t="s">
        <v>19</v>
      </c>
      <c r="P44" s="19">
        <v>7500</v>
      </c>
    </row>
    <row r="45" ht="15">
      <c r="A45" s="12" t="s">
        <v>37</v>
      </c>
      <c r="B45" s="12">
        <v>16</v>
      </c>
      <c r="C45" s="13">
        <v>151</v>
      </c>
      <c r="D45" s="13" t="s">
        <v>28</v>
      </c>
      <c r="E45" s="13">
        <v>2019</v>
      </c>
      <c r="F45" s="13" t="s">
        <v>29</v>
      </c>
      <c r="G45" s="14">
        <v>43678</v>
      </c>
      <c r="H45" s="14">
        <v>43681</v>
      </c>
      <c r="I45" s="14">
        <v>43705</v>
      </c>
      <c r="J45" s="15">
        <f t="shared" si="3"/>
        <v>25</v>
      </c>
      <c r="K45" s="16">
        <f t="shared" si="4"/>
        <v>292.39999999999998</v>
      </c>
      <c r="L45" s="17">
        <f t="shared" si="2"/>
        <v>29.239999999999998</v>
      </c>
      <c r="M45" s="18">
        <v>10</v>
      </c>
      <c r="N45" s="18">
        <v>7310</v>
      </c>
      <c r="O45" s="19" t="s">
        <v>19</v>
      </c>
      <c r="P45" s="19">
        <v>7500</v>
      </c>
    </row>
    <row r="46" ht="15">
      <c r="A46" s="12" t="s">
        <v>37</v>
      </c>
      <c r="B46" s="12">
        <v>16</v>
      </c>
      <c r="C46" s="13">
        <v>232.59999999999999</v>
      </c>
      <c r="D46" s="13" t="s">
        <v>30</v>
      </c>
      <c r="E46" s="13">
        <v>2019</v>
      </c>
      <c r="F46" s="13" t="s">
        <v>27</v>
      </c>
      <c r="G46" s="14">
        <v>43709</v>
      </c>
      <c r="H46" s="14">
        <v>43715</v>
      </c>
      <c r="I46" s="14">
        <v>43737</v>
      </c>
      <c r="J46" s="15">
        <f t="shared" si="3"/>
        <v>23</v>
      </c>
      <c r="K46" s="16">
        <f t="shared" si="4"/>
        <v>233.47826086956522</v>
      </c>
      <c r="L46" s="17">
        <f t="shared" si="2"/>
        <v>23.347826086956523</v>
      </c>
      <c r="M46" s="18">
        <v>10</v>
      </c>
      <c r="N46" s="18">
        <v>5370</v>
      </c>
      <c r="O46" s="19" t="s">
        <v>19</v>
      </c>
      <c r="P46" s="19">
        <v>7500</v>
      </c>
    </row>
    <row r="47" ht="15">
      <c r="A47" s="12" t="s">
        <v>37</v>
      </c>
      <c r="B47" s="12">
        <v>16</v>
      </c>
      <c r="C47" s="13">
        <v>274</v>
      </c>
      <c r="D47" s="13" t="s">
        <v>31</v>
      </c>
      <c r="E47" s="13">
        <v>2019</v>
      </c>
      <c r="F47" s="13" t="s">
        <v>27</v>
      </c>
      <c r="G47" s="14">
        <v>43739</v>
      </c>
      <c r="H47" s="14">
        <v>43748</v>
      </c>
      <c r="I47" s="14">
        <v>43768</v>
      </c>
      <c r="J47" s="15">
        <f t="shared" si="3"/>
        <v>21</v>
      </c>
      <c r="K47" s="16">
        <f t="shared" si="4"/>
        <v>380.95238095238096</v>
      </c>
      <c r="L47" s="17">
        <f t="shared" si="2"/>
        <v>38.095238095238095</v>
      </c>
      <c r="M47" s="18">
        <v>10</v>
      </c>
      <c r="N47" s="18">
        <v>8000</v>
      </c>
      <c r="O47" s="19" t="s">
        <v>19</v>
      </c>
      <c r="P47" s="19">
        <v>7500</v>
      </c>
    </row>
    <row r="48" ht="15">
      <c r="A48" s="12" t="s">
        <v>37</v>
      </c>
      <c r="B48" s="12">
        <v>16</v>
      </c>
      <c r="C48" s="13">
        <v>250.40000000000001</v>
      </c>
      <c r="D48" s="13" t="s">
        <v>32</v>
      </c>
      <c r="E48" s="13">
        <v>2019</v>
      </c>
      <c r="F48" s="13" t="s">
        <v>27</v>
      </c>
      <c r="G48" s="14">
        <v>43770</v>
      </c>
      <c r="H48" s="14">
        <v>43774</v>
      </c>
      <c r="I48" s="14">
        <v>43799</v>
      </c>
      <c r="J48" s="15">
        <f t="shared" si="3"/>
        <v>26</v>
      </c>
      <c r="K48" s="16">
        <f t="shared" si="4"/>
        <v>307.69230769230768</v>
      </c>
      <c r="L48" s="17">
        <f t="shared" si="2"/>
        <v>30.76923076923077</v>
      </c>
      <c r="M48" s="18">
        <v>10</v>
      </c>
      <c r="N48" s="18">
        <v>8000</v>
      </c>
      <c r="O48" s="19" t="s">
        <v>19</v>
      </c>
      <c r="P48" s="19">
        <v>7500</v>
      </c>
    </row>
    <row r="49" ht="15">
      <c r="A49" s="12" t="s">
        <v>37</v>
      </c>
      <c r="B49" s="12">
        <v>16</v>
      </c>
      <c r="C49" s="13">
        <v>385</v>
      </c>
      <c r="D49" s="13" t="s">
        <v>33</v>
      </c>
      <c r="E49" s="13">
        <v>2019</v>
      </c>
      <c r="F49" s="13" t="s">
        <v>27</v>
      </c>
      <c r="G49" s="14">
        <v>43800</v>
      </c>
      <c r="H49" s="14">
        <v>43806</v>
      </c>
      <c r="I49" s="14">
        <v>43822</v>
      </c>
      <c r="J49" s="15">
        <f t="shared" si="3"/>
        <v>17</v>
      </c>
      <c r="K49" s="16">
        <f t="shared" si="4"/>
        <v>554.29411764705878</v>
      </c>
      <c r="L49" s="17">
        <f t="shared" si="2"/>
        <v>55.429411764705883</v>
      </c>
      <c r="M49" s="18">
        <v>10</v>
      </c>
      <c r="N49" s="18">
        <v>9423</v>
      </c>
      <c r="O49" s="19" t="s">
        <v>19</v>
      </c>
      <c r="P49" s="19">
        <v>7500</v>
      </c>
    </row>
    <row r="50" ht="15">
      <c r="A50" s="12" t="s">
        <v>38</v>
      </c>
      <c r="B50" s="12">
        <v>17</v>
      </c>
      <c r="C50" s="13">
        <v>370.80000000000001</v>
      </c>
      <c r="D50" s="13" t="s">
        <v>17</v>
      </c>
      <c r="E50" s="13">
        <v>2019</v>
      </c>
      <c r="F50" s="13" t="s">
        <v>18</v>
      </c>
      <c r="G50" s="14">
        <v>43466</v>
      </c>
      <c r="H50" s="14">
        <v>43476</v>
      </c>
      <c r="I50" s="14">
        <v>43494</v>
      </c>
      <c r="J50" s="15">
        <f t="shared" si="3"/>
        <v>19</v>
      </c>
      <c r="K50" s="16">
        <f t="shared" si="4"/>
        <v>457.21052631578948</v>
      </c>
      <c r="L50" s="17">
        <f t="shared" si="2"/>
        <v>45.721052631578949</v>
      </c>
      <c r="M50" s="18">
        <v>10</v>
      </c>
      <c r="N50" s="18">
        <v>8687</v>
      </c>
      <c r="O50" s="19" t="s">
        <v>39</v>
      </c>
      <c r="P50" s="19">
        <v>3500</v>
      </c>
    </row>
    <row r="51" ht="15">
      <c r="A51" s="12" t="s">
        <v>38</v>
      </c>
      <c r="B51" s="12">
        <v>17</v>
      </c>
      <c r="C51" s="13">
        <v>426.60000000000002</v>
      </c>
      <c r="D51" s="13" t="s">
        <v>20</v>
      </c>
      <c r="E51" s="13">
        <v>2019</v>
      </c>
      <c r="F51" s="13" t="s">
        <v>21</v>
      </c>
      <c r="G51" s="14">
        <v>43497</v>
      </c>
      <c r="H51" s="14">
        <v>43499</v>
      </c>
      <c r="I51" s="14">
        <v>43523</v>
      </c>
      <c r="J51" s="15">
        <f t="shared" si="3"/>
        <v>25</v>
      </c>
      <c r="K51" s="16">
        <f t="shared" si="4"/>
        <v>407.75999999999999</v>
      </c>
      <c r="L51" s="17">
        <f t="shared" si="2"/>
        <v>40.776000000000003</v>
      </c>
      <c r="M51" s="18">
        <v>10</v>
      </c>
      <c r="N51" s="18">
        <v>10194</v>
      </c>
      <c r="O51" s="19" t="s">
        <v>39</v>
      </c>
      <c r="P51" s="19">
        <v>3500</v>
      </c>
    </row>
    <row r="52" ht="15">
      <c r="A52" s="12" t="s">
        <v>38</v>
      </c>
      <c r="B52" s="12">
        <v>17</v>
      </c>
      <c r="C52" s="13">
        <v>763.79999999999995</v>
      </c>
      <c r="D52" s="13" t="s">
        <v>22</v>
      </c>
      <c r="E52" s="13">
        <v>2019</v>
      </c>
      <c r="F52" s="13" t="s">
        <v>21</v>
      </c>
      <c r="G52" s="14">
        <v>43525</v>
      </c>
      <c r="H52" s="14">
        <v>43531</v>
      </c>
      <c r="I52" s="14">
        <v>43548</v>
      </c>
      <c r="J52" s="15">
        <f t="shared" si="3"/>
        <v>18</v>
      </c>
      <c r="K52" s="16">
        <f t="shared" si="4"/>
        <v>389.55555555555554</v>
      </c>
      <c r="L52" s="17">
        <f t="shared" si="2"/>
        <v>38.955555555555556</v>
      </c>
      <c r="M52" s="18">
        <v>10</v>
      </c>
      <c r="N52" s="18">
        <v>7012</v>
      </c>
      <c r="O52" s="19" t="s">
        <v>39</v>
      </c>
      <c r="P52" s="19">
        <v>3500</v>
      </c>
    </row>
    <row r="53" ht="15">
      <c r="A53" s="12" t="s">
        <v>38</v>
      </c>
      <c r="B53" s="12">
        <v>17</v>
      </c>
      <c r="C53" s="13">
        <v>559.60000000000002</v>
      </c>
      <c r="D53" s="13" t="s">
        <v>23</v>
      </c>
      <c r="E53" s="13">
        <v>2019</v>
      </c>
      <c r="F53" s="13" t="s">
        <v>21</v>
      </c>
      <c r="G53" s="14">
        <v>43556</v>
      </c>
      <c r="H53" s="14">
        <v>43553</v>
      </c>
      <c r="I53" s="14">
        <v>43582</v>
      </c>
      <c r="J53" s="15">
        <f t="shared" si="3"/>
        <v>30</v>
      </c>
      <c r="K53" s="16">
        <f t="shared" si="4"/>
        <v>295.96666666666664</v>
      </c>
      <c r="L53" s="17">
        <f t="shared" si="2"/>
        <v>29.596666666666668</v>
      </c>
      <c r="M53" s="18">
        <v>10</v>
      </c>
      <c r="N53" s="18">
        <v>8879</v>
      </c>
      <c r="O53" s="19" t="s">
        <v>39</v>
      </c>
      <c r="P53" s="19">
        <v>3500</v>
      </c>
    </row>
    <row r="54" ht="15">
      <c r="A54" s="12" t="s">
        <v>38</v>
      </c>
      <c r="B54" s="12">
        <v>17</v>
      </c>
      <c r="C54" s="13">
        <v>443.39999999999998</v>
      </c>
      <c r="D54" s="13" t="s">
        <v>24</v>
      </c>
      <c r="E54" s="13">
        <v>2019</v>
      </c>
      <c r="F54" s="13" t="s">
        <v>21</v>
      </c>
      <c r="G54" s="14">
        <v>43586</v>
      </c>
      <c r="H54" s="14">
        <v>43590</v>
      </c>
      <c r="I54" s="14">
        <v>43611</v>
      </c>
      <c r="J54" s="15">
        <f t="shared" si="3"/>
        <v>22</v>
      </c>
      <c r="K54" s="16">
        <f t="shared" si="4"/>
        <v>459.36363636363637</v>
      </c>
      <c r="L54" s="17">
        <f t="shared" si="2"/>
        <v>45.936363636363637</v>
      </c>
      <c r="M54" s="18">
        <v>10</v>
      </c>
      <c r="N54" s="18">
        <v>10106</v>
      </c>
      <c r="O54" s="19" t="s">
        <v>39</v>
      </c>
      <c r="P54" s="19">
        <v>3500</v>
      </c>
    </row>
    <row r="55" ht="15">
      <c r="A55" s="12" t="s">
        <v>38</v>
      </c>
      <c r="B55" s="12">
        <v>17</v>
      </c>
      <c r="C55" s="13">
        <v>253.59999999999999</v>
      </c>
      <c r="D55" s="13" t="s">
        <v>25</v>
      </c>
      <c r="E55" s="13">
        <v>2019</v>
      </c>
      <c r="F55" s="13" t="s">
        <v>21</v>
      </c>
      <c r="G55" s="14">
        <v>43617</v>
      </c>
      <c r="H55" s="14">
        <v>43616</v>
      </c>
      <c r="I55" s="14">
        <v>43643</v>
      </c>
      <c r="J55" s="15">
        <f t="shared" si="3"/>
        <v>28</v>
      </c>
      <c r="K55" s="16">
        <f t="shared" si="4"/>
        <v>354.75</v>
      </c>
      <c r="L55" s="17">
        <f t="shared" si="2"/>
        <v>35.475000000000001</v>
      </c>
      <c r="M55" s="18">
        <v>10</v>
      </c>
      <c r="N55" s="18">
        <v>9933</v>
      </c>
      <c r="O55" s="19" t="s">
        <v>39</v>
      </c>
      <c r="P55" s="19">
        <v>3500</v>
      </c>
    </row>
    <row r="56" ht="15">
      <c r="A56" s="12" t="s">
        <v>38</v>
      </c>
      <c r="B56" s="12">
        <v>17</v>
      </c>
      <c r="C56" s="13">
        <v>156.19999999999999</v>
      </c>
      <c r="D56" s="13" t="s">
        <v>26</v>
      </c>
      <c r="E56" s="13">
        <v>2019</v>
      </c>
      <c r="F56" s="13" t="s">
        <v>27</v>
      </c>
      <c r="G56" s="14">
        <v>43647</v>
      </c>
      <c r="H56" s="14">
        <v>43653</v>
      </c>
      <c r="I56" s="14">
        <v>43674</v>
      </c>
      <c r="J56" s="15">
        <f t="shared" si="3"/>
        <v>22</v>
      </c>
      <c r="K56" s="16">
        <f t="shared" si="4"/>
        <v>304.54545454545456</v>
      </c>
      <c r="L56" s="17">
        <f t="shared" si="2"/>
        <v>30.454545454545453</v>
      </c>
      <c r="M56" s="18">
        <v>10</v>
      </c>
      <c r="N56" s="18">
        <v>6700</v>
      </c>
      <c r="O56" s="19" t="s">
        <v>39</v>
      </c>
      <c r="P56" s="19">
        <v>3500</v>
      </c>
    </row>
    <row r="57" ht="15">
      <c r="A57" s="12" t="s">
        <v>38</v>
      </c>
      <c r="B57" s="12">
        <v>17</v>
      </c>
      <c r="C57" s="13">
        <v>151</v>
      </c>
      <c r="D57" s="13" t="s">
        <v>28</v>
      </c>
      <c r="E57" s="13">
        <v>2019</v>
      </c>
      <c r="F57" s="13" t="s">
        <v>29</v>
      </c>
      <c r="G57" s="14">
        <v>43678</v>
      </c>
      <c r="H57" s="14">
        <v>43681</v>
      </c>
      <c r="I57" s="14">
        <v>43706</v>
      </c>
      <c r="J57" s="15">
        <f t="shared" si="3"/>
        <v>26</v>
      </c>
      <c r="K57" s="16">
        <f t="shared" si="4"/>
        <v>358.53846153846155</v>
      </c>
      <c r="L57" s="17">
        <f t="shared" si="2"/>
        <v>35.853846153846156</v>
      </c>
      <c r="M57" s="18">
        <v>10</v>
      </c>
      <c r="N57" s="18">
        <v>9322</v>
      </c>
      <c r="O57" s="19" t="s">
        <v>39</v>
      </c>
      <c r="P57" s="19">
        <v>3500</v>
      </c>
    </row>
    <row r="58" ht="15">
      <c r="A58" s="12" t="s">
        <v>38</v>
      </c>
      <c r="B58" s="12">
        <v>17</v>
      </c>
      <c r="C58" s="13">
        <v>232.59999999999999</v>
      </c>
      <c r="D58" s="13" t="s">
        <v>30</v>
      </c>
      <c r="E58" s="13">
        <v>2019</v>
      </c>
      <c r="F58" s="13" t="s">
        <v>27</v>
      </c>
      <c r="G58" s="14">
        <v>43709</v>
      </c>
      <c r="H58" s="14">
        <v>43717</v>
      </c>
      <c r="I58" s="14">
        <v>43731</v>
      </c>
      <c r="J58" s="15">
        <f t="shared" si="3"/>
        <v>15</v>
      </c>
      <c r="K58" s="16">
        <f>N56/J58</f>
        <v>446.66666666666669</v>
      </c>
      <c r="L58" s="17">
        <f>N56/(M58*J58)</f>
        <v>44.666666666666664</v>
      </c>
      <c r="M58" s="18">
        <v>10</v>
      </c>
      <c r="N58" s="18">
        <v>8369</v>
      </c>
      <c r="O58" s="19" t="s">
        <v>39</v>
      </c>
      <c r="P58" s="19">
        <v>3500</v>
      </c>
    </row>
    <row r="59" ht="15">
      <c r="A59" s="12" t="s">
        <v>38</v>
      </c>
      <c r="B59" s="12">
        <v>17</v>
      </c>
      <c r="C59" s="13">
        <v>274</v>
      </c>
      <c r="D59" s="13" t="s">
        <v>31</v>
      </c>
      <c r="E59" s="13">
        <v>2019</v>
      </c>
      <c r="F59" s="13" t="s">
        <v>27</v>
      </c>
      <c r="G59" s="14">
        <v>43739</v>
      </c>
      <c r="H59" s="14">
        <v>43738</v>
      </c>
      <c r="I59" s="14">
        <v>43755</v>
      </c>
      <c r="J59" s="15">
        <f t="shared" si="3"/>
        <v>18</v>
      </c>
      <c r="K59" s="16">
        <f t="shared" ref="K59:K122" si="5">N59/J59</f>
        <v>662.27777777777783</v>
      </c>
      <c r="L59" s="17">
        <f t="shared" ref="L59:L122" si="6">N59/(M59*J59)</f>
        <v>66.227777777777774</v>
      </c>
      <c r="M59" s="18">
        <v>10</v>
      </c>
      <c r="N59" s="18">
        <v>11921</v>
      </c>
      <c r="O59" s="19" t="s">
        <v>39</v>
      </c>
      <c r="P59" s="19">
        <v>3500</v>
      </c>
    </row>
    <row r="60" ht="15">
      <c r="A60" s="12" t="s">
        <v>38</v>
      </c>
      <c r="B60" s="12">
        <v>17</v>
      </c>
      <c r="C60" s="13">
        <v>250.40000000000001</v>
      </c>
      <c r="D60" s="13" t="s">
        <v>32</v>
      </c>
      <c r="E60" s="13">
        <v>2019</v>
      </c>
      <c r="F60" s="13" t="s">
        <v>27</v>
      </c>
      <c r="G60" s="14">
        <v>43770</v>
      </c>
      <c r="H60" s="14">
        <v>43762</v>
      </c>
      <c r="I60" s="14">
        <v>43781</v>
      </c>
      <c r="J60" s="15">
        <f t="shared" si="3"/>
        <v>20</v>
      </c>
      <c r="K60" s="16">
        <f t="shared" si="5"/>
        <v>349.64999999999998</v>
      </c>
      <c r="L60" s="17">
        <f t="shared" si="6"/>
        <v>34.965000000000003</v>
      </c>
      <c r="M60" s="18">
        <v>10</v>
      </c>
      <c r="N60" s="18">
        <v>6993</v>
      </c>
      <c r="O60" s="19" t="s">
        <v>39</v>
      </c>
      <c r="P60" s="19">
        <v>3500</v>
      </c>
    </row>
    <row r="61" ht="15">
      <c r="A61" s="12" t="s">
        <v>38</v>
      </c>
      <c r="B61" s="12">
        <v>17</v>
      </c>
      <c r="C61" s="13">
        <v>385</v>
      </c>
      <c r="D61" s="13" t="s">
        <v>33</v>
      </c>
      <c r="E61" s="13">
        <v>2019</v>
      </c>
      <c r="F61" s="13" t="s">
        <v>27</v>
      </c>
      <c r="G61" s="14">
        <v>43800</v>
      </c>
      <c r="H61" s="14">
        <v>43791</v>
      </c>
      <c r="I61" s="14">
        <v>43817</v>
      </c>
      <c r="J61" s="15">
        <f t="shared" si="3"/>
        <v>27</v>
      </c>
      <c r="K61" s="16">
        <f t="shared" si="5"/>
        <v>234.25925925925927</v>
      </c>
      <c r="L61" s="17">
        <f t="shared" si="6"/>
        <v>23.425925925925927</v>
      </c>
      <c r="M61" s="18">
        <v>10</v>
      </c>
      <c r="N61" s="18">
        <v>6325</v>
      </c>
      <c r="O61" s="19" t="s">
        <v>39</v>
      </c>
      <c r="P61" s="19">
        <v>3500</v>
      </c>
    </row>
    <row r="62" ht="15">
      <c r="A62" s="12" t="s">
        <v>40</v>
      </c>
      <c r="B62" s="12">
        <v>17</v>
      </c>
      <c r="C62" s="13">
        <v>370.80000000000001</v>
      </c>
      <c r="D62" s="13" t="s">
        <v>17</v>
      </c>
      <c r="E62" s="13">
        <v>2019</v>
      </c>
      <c r="F62" s="13" t="s">
        <v>18</v>
      </c>
      <c r="G62" s="14">
        <v>43466</v>
      </c>
      <c r="H62" s="14">
        <v>43474</v>
      </c>
      <c r="I62" s="14">
        <v>43489</v>
      </c>
      <c r="J62" s="15">
        <f t="shared" si="3"/>
        <v>16</v>
      </c>
      <c r="K62" s="16">
        <f t="shared" si="5"/>
        <v>482</v>
      </c>
      <c r="L62" s="17">
        <f t="shared" si="6"/>
        <v>48.200000000000003</v>
      </c>
      <c r="M62" s="18">
        <v>10</v>
      </c>
      <c r="N62" s="18">
        <v>7712</v>
      </c>
      <c r="O62" s="19" t="s">
        <v>39</v>
      </c>
      <c r="P62" s="19">
        <v>4000</v>
      </c>
    </row>
    <row r="63" ht="15">
      <c r="A63" s="12" t="s">
        <v>40</v>
      </c>
      <c r="B63" s="12">
        <v>17</v>
      </c>
      <c r="C63" s="13">
        <v>426.60000000000002</v>
      </c>
      <c r="D63" s="13" t="s">
        <v>20</v>
      </c>
      <c r="E63" s="13">
        <v>2019</v>
      </c>
      <c r="F63" s="13" t="s">
        <v>21</v>
      </c>
      <c r="G63" s="14">
        <v>43497</v>
      </c>
      <c r="H63" s="14">
        <v>43494</v>
      </c>
      <c r="I63" s="14">
        <v>43511</v>
      </c>
      <c r="J63" s="15">
        <f t="shared" si="3"/>
        <v>18</v>
      </c>
      <c r="K63" s="16">
        <f t="shared" si="5"/>
        <v>579.22222222222217</v>
      </c>
      <c r="L63" s="17">
        <f t="shared" si="6"/>
        <v>57.922222222222224</v>
      </c>
      <c r="M63" s="18">
        <v>10</v>
      </c>
      <c r="N63" s="18">
        <v>10426</v>
      </c>
      <c r="O63" s="19" t="s">
        <v>39</v>
      </c>
      <c r="P63" s="19">
        <v>4000</v>
      </c>
    </row>
    <row r="64" ht="15">
      <c r="A64" s="12" t="s">
        <v>40</v>
      </c>
      <c r="B64" s="12">
        <v>17</v>
      </c>
      <c r="C64" s="13">
        <v>763.79999999999995</v>
      </c>
      <c r="D64" s="13" t="s">
        <v>22</v>
      </c>
      <c r="E64" s="13">
        <v>2019</v>
      </c>
      <c r="F64" s="13" t="s">
        <v>21</v>
      </c>
      <c r="G64" s="14">
        <v>43525</v>
      </c>
      <c r="H64" s="14">
        <v>43521</v>
      </c>
      <c r="I64" s="14">
        <v>43543</v>
      </c>
      <c r="J64" s="15">
        <f t="shared" si="3"/>
        <v>23</v>
      </c>
      <c r="K64" s="16">
        <f t="shared" si="5"/>
        <v>291.3478260869565</v>
      </c>
      <c r="L64" s="17">
        <f t="shared" si="6"/>
        <v>29.134782608695652</v>
      </c>
      <c r="M64" s="18">
        <v>10</v>
      </c>
      <c r="N64" s="18">
        <v>6701</v>
      </c>
      <c r="O64" s="19" t="s">
        <v>39</v>
      </c>
      <c r="P64" s="19">
        <v>4000</v>
      </c>
    </row>
    <row r="65" ht="15.6">
      <c r="A65" s="12" t="s">
        <v>40</v>
      </c>
      <c r="B65" s="12">
        <v>17</v>
      </c>
      <c r="C65" s="13">
        <v>559.60000000000002</v>
      </c>
      <c r="D65" s="13" t="s">
        <v>23</v>
      </c>
      <c r="E65" s="13">
        <v>2019</v>
      </c>
      <c r="F65" s="13" t="s">
        <v>21</v>
      </c>
      <c r="G65" s="14">
        <v>43556</v>
      </c>
      <c r="H65" s="14">
        <v>43550</v>
      </c>
      <c r="I65" s="14">
        <v>43575</v>
      </c>
      <c r="J65" s="15">
        <f t="shared" si="3"/>
        <v>26</v>
      </c>
      <c r="K65" s="16">
        <f t="shared" si="5"/>
        <v>273.07692307692309</v>
      </c>
      <c r="L65" s="17">
        <f t="shared" si="6"/>
        <v>27.307692307692307</v>
      </c>
      <c r="M65" s="18">
        <v>10</v>
      </c>
      <c r="N65" s="18">
        <v>7100</v>
      </c>
      <c r="O65" s="19" t="s">
        <v>39</v>
      </c>
      <c r="P65" s="19">
        <v>4000</v>
      </c>
    </row>
    <row r="66" ht="15.6">
      <c r="A66" s="12" t="s">
        <v>40</v>
      </c>
      <c r="B66" s="12">
        <v>17</v>
      </c>
      <c r="C66" s="13">
        <v>443.39999999999998</v>
      </c>
      <c r="D66" s="13" t="s">
        <v>24</v>
      </c>
      <c r="E66" s="13">
        <v>2019</v>
      </c>
      <c r="F66" s="13" t="s">
        <v>21</v>
      </c>
      <c r="G66" s="14">
        <v>43586</v>
      </c>
      <c r="H66" s="14">
        <v>43586</v>
      </c>
      <c r="I66" s="14">
        <v>43603</v>
      </c>
      <c r="J66" s="15">
        <f t="shared" si="3"/>
        <v>18</v>
      </c>
      <c r="K66" s="16">
        <f t="shared" si="5"/>
        <v>170</v>
      </c>
      <c r="L66" s="17">
        <f t="shared" si="6"/>
        <v>17</v>
      </c>
      <c r="M66" s="18">
        <v>10</v>
      </c>
      <c r="N66" s="18">
        <v>3060</v>
      </c>
      <c r="O66" s="19" t="s">
        <v>39</v>
      </c>
      <c r="P66" s="19">
        <v>4000</v>
      </c>
    </row>
    <row r="67" ht="15.6">
      <c r="A67" s="12" t="s">
        <v>40</v>
      </c>
      <c r="B67" s="12">
        <v>17</v>
      </c>
      <c r="C67" s="13">
        <v>253.59999999999999</v>
      </c>
      <c r="D67" s="13" t="s">
        <v>25</v>
      </c>
      <c r="E67" s="13">
        <v>2019</v>
      </c>
      <c r="F67" s="13" t="s">
        <v>21</v>
      </c>
      <c r="G67" s="14">
        <v>43617</v>
      </c>
      <c r="H67" s="14">
        <v>43610</v>
      </c>
      <c r="I67" s="14">
        <v>43635</v>
      </c>
      <c r="J67" s="15">
        <f t="shared" si="3"/>
        <v>26</v>
      </c>
      <c r="K67" s="16">
        <f t="shared" si="5"/>
        <v>196.92307692307693</v>
      </c>
      <c r="L67" s="17">
        <f t="shared" si="6"/>
        <v>19.692307692307693</v>
      </c>
      <c r="M67" s="18">
        <v>10</v>
      </c>
      <c r="N67" s="18">
        <v>5120</v>
      </c>
      <c r="O67" s="19" t="s">
        <v>39</v>
      </c>
      <c r="P67" s="19">
        <v>4000</v>
      </c>
    </row>
    <row r="68" ht="15.6">
      <c r="A68" s="12" t="s">
        <v>40</v>
      </c>
      <c r="B68" s="12">
        <v>17</v>
      </c>
      <c r="C68" s="13">
        <v>156.19999999999999</v>
      </c>
      <c r="D68" s="13" t="s">
        <v>26</v>
      </c>
      <c r="E68" s="13">
        <v>2019</v>
      </c>
      <c r="F68" s="13" t="s">
        <v>27</v>
      </c>
      <c r="G68" s="14">
        <v>43647</v>
      </c>
      <c r="H68" s="14">
        <v>43645</v>
      </c>
      <c r="I68" s="14">
        <v>43666</v>
      </c>
      <c r="J68" s="15">
        <f t="shared" si="3"/>
        <v>22</v>
      </c>
      <c r="K68" s="16">
        <f t="shared" si="5"/>
        <v>366.5</v>
      </c>
      <c r="L68" s="17">
        <f t="shared" si="6"/>
        <v>36.649999999999999</v>
      </c>
      <c r="M68" s="18">
        <v>10</v>
      </c>
      <c r="N68" s="18">
        <v>8063</v>
      </c>
      <c r="O68" s="19" t="s">
        <v>39</v>
      </c>
      <c r="P68" s="19">
        <v>4000</v>
      </c>
    </row>
    <row r="69" ht="15.6">
      <c r="A69" s="12" t="s">
        <v>40</v>
      </c>
      <c r="B69" s="12">
        <v>17</v>
      </c>
      <c r="C69" s="13">
        <v>151</v>
      </c>
      <c r="D69" s="13" t="s">
        <v>28</v>
      </c>
      <c r="E69" s="13">
        <v>2019</v>
      </c>
      <c r="F69" s="13" t="s">
        <v>29</v>
      </c>
      <c r="G69" s="14">
        <v>43678</v>
      </c>
      <c r="H69" s="14">
        <v>43676</v>
      </c>
      <c r="I69" s="14">
        <v>43698</v>
      </c>
      <c r="J69" s="15">
        <f t="shared" si="3"/>
        <v>23</v>
      </c>
      <c r="K69" s="16">
        <f t="shared" si="5"/>
        <v>49.565217391304351</v>
      </c>
      <c r="L69" s="17">
        <f t="shared" si="6"/>
        <v>4.9565217391304346</v>
      </c>
      <c r="M69" s="18">
        <v>10</v>
      </c>
      <c r="N69" s="18">
        <v>1140</v>
      </c>
      <c r="O69" s="19" t="s">
        <v>39</v>
      </c>
      <c r="P69" s="19">
        <v>4000</v>
      </c>
    </row>
    <row r="70" ht="15.6">
      <c r="A70" s="12" t="s">
        <v>40</v>
      </c>
      <c r="B70" s="12">
        <v>17</v>
      </c>
      <c r="C70" s="13">
        <v>232.59999999999999</v>
      </c>
      <c r="D70" s="13" t="s">
        <v>30</v>
      </c>
      <c r="E70" s="13">
        <v>2019</v>
      </c>
      <c r="F70" s="13" t="s">
        <v>27</v>
      </c>
      <c r="G70" s="14">
        <v>43709</v>
      </c>
      <c r="H70" s="14">
        <v>43708</v>
      </c>
      <c r="I70" s="14">
        <v>43735</v>
      </c>
      <c r="J70" s="15">
        <f t="shared" si="3"/>
        <v>28</v>
      </c>
      <c r="K70" s="16">
        <f t="shared" si="5"/>
        <v>196.42857142857142</v>
      </c>
      <c r="L70" s="17">
        <f t="shared" si="6"/>
        <v>19.642857142857142</v>
      </c>
      <c r="M70" s="18">
        <v>10</v>
      </c>
      <c r="N70" s="18">
        <v>5500</v>
      </c>
      <c r="O70" s="19" t="s">
        <v>39</v>
      </c>
      <c r="P70" s="19">
        <v>4000</v>
      </c>
    </row>
    <row r="71" ht="15.6">
      <c r="A71" s="12" t="s">
        <v>40</v>
      </c>
      <c r="B71" s="12">
        <v>17</v>
      </c>
      <c r="C71" s="13">
        <v>274</v>
      </c>
      <c r="D71" s="13" t="s">
        <v>31</v>
      </c>
      <c r="E71" s="13">
        <v>2019</v>
      </c>
      <c r="F71" s="13" t="s">
        <v>27</v>
      </c>
      <c r="G71" s="14">
        <v>43739</v>
      </c>
      <c r="H71" s="14">
        <v>43739</v>
      </c>
      <c r="I71" s="14">
        <v>43761</v>
      </c>
      <c r="J71" s="15">
        <f t="shared" si="3"/>
        <v>23</v>
      </c>
      <c r="K71" s="16">
        <f t="shared" si="5"/>
        <v>178.2608695652174</v>
      </c>
      <c r="L71" s="17">
        <f t="shared" si="6"/>
        <v>17.826086956521738</v>
      </c>
      <c r="M71" s="18">
        <v>10</v>
      </c>
      <c r="N71" s="18">
        <v>4100</v>
      </c>
      <c r="O71" s="19" t="s">
        <v>39</v>
      </c>
      <c r="P71" s="19">
        <v>4000</v>
      </c>
    </row>
    <row r="72" ht="15.6">
      <c r="A72" s="12" t="s">
        <v>40</v>
      </c>
      <c r="B72" s="12">
        <v>17</v>
      </c>
      <c r="C72" s="13">
        <v>250.40000000000001</v>
      </c>
      <c r="D72" s="13" t="s">
        <v>32</v>
      </c>
      <c r="E72" s="13">
        <v>2019</v>
      </c>
      <c r="F72" s="13" t="s">
        <v>27</v>
      </c>
      <c r="G72" s="14">
        <v>43770</v>
      </c>
      <c r="H72" s="14">
        <v>43771</v>
      </c>
      <c r="I72" s="14">
        <v>43793</v>
      </c>
      <c r="J72" s="15">
        <f t="shared" si="3"/>
        <v>23</v>
      </c>
      <c r="K72" s="16">
        <f t="shared" si="5"/>
        <v>310.43478260869563</v>
      </c>
      <c r="L72" s="17">
        <f t="shared" si="6"/>
        <v>31.043478260869566</v>
      </c>
      <c r="M72" s="18">
        <v>10</v>
      </c>
      <c r="N72" s="18">
        <v>7140</v>
      </c>
      <c r="O72" s="19" t="s">
        <v>39</v>
      </c>
      <c r="P72" s="19">
        <v>4000</v>
      </c>
    </row>
    <row r="73" ht="15.6">
      <c r="A73" s="12" t="s">
        <v>40</v>
      </c>
      <c r="B73" s="12">
        <v>17</v>
      </c>
      <c r="C73" s="13">
        <v>385</v>
      </c>
      <c r="D73" s="13" t="s">
        <v>33</v>
      </c>
      <c r="E73" s="13">
        <v>2019</v>
      </c>
      <c r="F73" s="13" t="s">
        <v>27</v>
      </c>
      <c r="G73" s="14">
        <v>43800</v>
      </c>
      <c r="H73" s="14">
        <v>43799</v>
      </c>
      <c r="I73" s="14">
        <v>43821</v>
      </c>
      <c r="J73" s="15">
        <f t="shared" si="3"/>
        <v>23</v>
      </c>
      <c r="K73" s="16">
        <f t="shared" si="5"/>
        <v>361.78260869565219</v>
      </c>
      <c r="L73" s="17">
        <f t="shared" si="6"/>
        <v>36.178260869565214</v>
      </c>
      <c r="M73" s="18">
        <v>10</v>
      </c>
      <c r="N73" s="18">
        <v>8321</v>
      </c>
      <c r="O73" s="19" t="s">
        <v>39</v>
      </c>
      <c r="P73" s="19">
        <v>4000</v>
      </c>
    </row>
    <row r="74" ht="15.6">
      <c r="A74" s="12" t="s">
        <v>41</v>
      </c>
      <c r="B74" s="12">
        <v>22</v>
      </c>
      <c r="C74" s="13">
        <v>370.80000000000001</v>
      </c>
      <c r="D74" s="13" t="s">
        <v>17</v>
      </c>
      <c r="E74" s="13">
        <v>2019</v>
      </c>
      <c r="F74" s="13" t="s">
        <v>18</v>
      </c>
      <c r="G74" s="14">
        <v>43466</v>
      </c>
      <c r="H74" s="14">
        <v>43469</v>
      </c>
      <c r="I74" s="14">
        <v>43492</v>
      </c>
      <c r="J74" s="15">
        <f t="shared" si="3"/>
        <v>24</v>
      </c>
      <c r="K74" s="16">
        <f t="shared" si="5"/>
        <v>253.08333333333334</v>
      </c>
      <c r="L74" s="17">
        <f t="shared" si="6"/>
        <v>25.308333333333334</v>
      </c>
      <c r="M74" s="18">
        <v>10</v>
      </c>
      <c r="N74" s="18">
        <v>6074</v>
      </c>
      <c r="O74" s="19" t="s">
        <v>39</v>
      </c>
      <c r="P74" s="19">
        <v>5000</v>
      </c>
    </row>
    <row r="75" ht="15.6">
      <c r="A75" s="12" t="s">
        <v>41</v>
      </c>
      <c r="B75" s="12">
        <v>22</v>
      </c>
      <c r="C75" s="13">
        <v>426.60000000000002</v>
      </c>
      <c r="D75" s="13" t="s">
        <v>20</v>
      </c>
      <c r="E75" s="13">
        <v>2019</v>
      </c>
      <c r="F75" s="13" t="s">
        <v>21</v>
      </c>
      <c r="G75" s="14">
        <v>43497</v>
      </c>
      <c r="H75" s="14">
        <v>43498</v>
      </c>
      <c r="I75" s="14">
        <v>43523</v>
      </c>
      <c r="J75" s="15">
        <f t="shared" si="3"/>
        <v>26</v>
      </c>
      <c r="K75" s="16">
        <f t="shared" si="5"/>
        <v>307.80769230769232</v>
      </c>
      <c r="L75" s="17">
        <f t="shared" si="6"/>
        <v>30.780769230769231</v>
      </c>
      <c r="M75" s="18">
        <v>10</v>
      </c>
      <c r="N75" s="18">
        <v>8003</v>
      </c>
      <c r="O75" s="19" t="s">
        <v>39</v>
      </c>
      <c r="P75" s="19">
        <v>5000</v>
      </c>
    </row>
    <row r="76" ht="15.6">
      <c r="A76" s="12" t="s">
        <v>41</v>
      </c>
      <c r="B76" s="12">
        <v>22</v>
      </c>
      <c r="C76" s="13">
        <v>763.79999999999995</v>
      </c>
      <c r="D76" s="13" t="s">
        <v>22</v>
      </c>
      <c r="E76" s="13">
        <v>2019</v>
      </c>
      <c r="F76" s="13" t="s">
        <v>21</v>
      </c>
      <c r="G76" s="14">
        <v>43525</v>
      </c>
      <c r="H76" s="14">
        <v>43530</v>
      </c>
      <c r="I76" s="14">
        <v>43552</v>
      </c>
      <c r="J76" s="15">
        <f t="shared" si="3"/>
        <v>23</v>
      </c>
      <c r="K76" s="16">
        <f t="shared" si="5"/>
        <v>222.17391304347825</v>
      </c>
      <c r="L76" s="17">
        <f t="shared" si="6"/>
        <v>22.217391304347824</v>
      </c>
      <c r="M76" s="18">
        <v>10</v>
      </c>
      <c r="N76" s="18">
        <v>5110</v>
      </c>
      <c r="O76" s="19" t="s">
        <v>39</v>
      </c>
      <c r="P76" s="19">
        <v>5000</v>
      </c>
    </row>
    <row r="77" ht="15.6">
      <c r="A77" s="12" t="s">
        <v>41</v>
      </c>
      <c r="B77" s="12">
        <v>22</v>
      </c>
      <c r="C77" s="13">
        <v>559.60000000000002</v>
      </c>
      <c r="D77" s="13" t="s">
        <v>23</v>
      </c>
      <c r="E77" s="13">
        <v>2019</v>
      </c>
      <c r="F77" s="13" t="s">
        <v>21</v>
      </c>
      <c r="G77" s="14">
        <v>43556</v>
      </c>
      <c r="H77" s="14">
        <v>43562</v>
      </c>
      <c r="I77" s="14">
        <v>43585</v>
      </c>
      <c r="J77" s="15">
        <f t="shared" si="3"/>
        <v>24</v>
      </c>
      <c r="K77" s="16">
        <f t="shared" si="5"/>
        <v>256.25</v>
      </c>
      <c r="L77" s="17">
        <f t="shared" si="6"/>
        <v>25.625</v>
      </c>
      <c r="M77" s="18">
        <v>10</v>
      </c>
      <c r="N77" s="18">
        <v>6150</v>
      </c>
      <c r="O77" s="19" t="s">
        <v>39</v>
      </c>
      <c r="P77" s="19">
        <v>5000</v>
      </c>
    </row>
    <row r="78" ht="15.6">
      <c r="A78" s="12" t="s">
        <v>41</v>
      </c>
      <c r="B78" s="12">
        <v>22</v>
      </c>
      <c r="C78" s="13">
        <v>443.39999999999998</v>
      </c>
      <c r="D78" s="13" t="s">
        <v>24</v>
      </c>
      <c r="E78" s="13">
        <v>2019</v>
      </c>
      <c r="F78" s="13" t="s">
        <v>21</v>
      </c>
      <c r="G78" s="14">
        <v>43586</v>
      </c>
      <c r="H78" s="14">
        <v>43590</v>
      </c>
      <c r="I78" s="14">
        <v>43615</v>
      </c>
      <c r="J78" s="15">
        <f t="shared" ref="J78:J141" si="7">(I78-H78)+1</f>
        <v>26</v>
      </c>
      <c r="K78" s="16">
        <f t="shared" si="5"/>
        <v>222.30769230769232</v>
      </c>
      <c r="L78" s="17">
        <f t="shared" si="6"/>
        <v>22.23076923076923</v>
      </c>
      <c r="M78" s="18">
        <v>10</v>
      </c>
      <c r="N78" s="18">
        <v>5780</v>
      </c>
      <c r="O78" s="19" t="s">
        <v>39</v>
      </c>
      <c r="P78" s="19">
        <v>5000</v>
      </c>
    </row>
    <row r="79" ht="15.6">
      <c r="A79" s="12" t="s">
        <v>41</v>
      </c>
      <c r="B79" s="12">
        <v>22</v>
      </c>
      <c r="C79" s="13">
        <v>253.59999999999999</v>
      </c>
      <c r="D79" s="13" t="s">
        <v>25</v>
      </c>
      <c r="E79" s="13">
        <v>2019</v>
      </c>
      <c r="F79" s="13" t="s">
        <v>21</v>
      </c>
      <c r="G79" s="14">
        <v>43617</v>
      </c>
      <c r="H79" s="14">
        <v>43594</v>
      </c>
      <c r="I79" s="14">
        <v>43617</v>
      </c>
      <c r="J79" s="15">
        <f t="shared" si="7"/>
        <v>24</v>
      </c>
      <c r="K79" s="16">
        <f t="shared" si="5"/>
        <v>208.75</v>
      </c>
      <c r="L79" s="17">
        <f t="shared" si="6"/>
        <v>20.875</v>
      </c>
      <c r="M79" s="18">
        <v>10</v>
      </c>
      <c r="N79" s="18">
        <v>5010</v>
      </c>
      <c r="O79" s="19" t="s">
        <v>39</v>
      </c>
      <c r="P79" s="19">
        <v>5000</v>
      </c>
    </row>
    <row r="80" ht="15.6">
      <c r="A80" s="12" t="s">
        <v>41</v>
      </c>
      <c r="B80" s="12">
        <v>22</v>
      </c>
      <c r="C80" s="13">
        <v>156.19999999999999</v>
      </c>
      <c r="D80" s="13" t="s">
        <v>26</v>
      </c>
      <c r="E80" s="13">
        <v>2019</v>
      </c>
      <c r="F80" s="13" t="s">
        <v>27</v>
      </c>
      <c r="G80" s="14">
        <v>43647</v>
      </c>
      <c r="H80" s="14">
        <v>43626</v>
      </c>
      <c r="I80" s="14">
        <v>43648</v>
      </c>
      <c r="J80" s="15">
        <f t="shared" si="7"/>
        <v>23</v>
      </c>
      <c r="K80" s="16">
        <f t="shared" si="5"/>
        <v>391.73913043478262</v>
      </c>
      <c r="L80" s="17">
        <f t="shared" si="6"/>
        <v>39.173913043478258</v>
      </c>
      <c r="M80" s="18">
        <v>10</v>
      </c>
      <c r="N80" s="18">
        <v>9010</v>
      </c>
      <c r="O80" s="19" t="s">
        <v>39</v>
      </c>
      <c r="P80" s="19">
        <v>5000</v>
      </c>
    </row>
    <row r="81" ht="15.6">
      <c r="A81" s="12" t="s">
        <v>41</v>
      </c>
      <c r="B81" s="12">
        <v>22</v>
      </c>
      <c r="C81" s="13">
        <v>151</v>
      </c>
      <c r="D81" s="13" t="s">
        <v>28</v>
      </c>
      <c r="E81" s="13">
        <v>2019</v>
      </c>
      <c r="F81" s="13" t="s">
        <v>29</v>
      </c>
      <c r="G81" s="14">
        <v>43678</v>
      </c>
      <c r="H81" s="14">
        <v>43658</v>
      </c>
      <c r="I81" s="14">
        <v>43680</v>
      </c>
      <c r="J81" s="15">
        <f t="shared" si="7"/>
        <v>23</v>
      </c>
      <c r="K81" s="16">
        <f t="shared" si="5"/>
        <v>350.43478260869563</v>
      </c>
      <c r="L81" s="17">
        <f t="shared" si="6"/>
        <v>35.043478260869563</v>
      </c>
      <c r="M81" s="18">
        <v>10</v>
      </c>
      <c r="N81" s="18">
        <v>8060</v>
      </c>
      <c r="O81" s="19" t="s">
        <v>39</v>
      </c>
      <c r="P81" s="19">
        <v>5000</v>
      </c>
    </row>
    <row r="82" ht="15.6">
      <c r="A82" s="12" t="s">
        <v>41</v>
      </c>
      <c r="B82" s="12">
        <v>22</v>
      </c>
      <c r="C82" s="13">
        <v>232.59999999999999</v>
      </c>
      <c r="D82" s="13" t="s">
        <v>30</v>
      </c>
      <c r="E82" s="13">
        <v>2019</v>
      </c>
      <c r="F82" s="13" t="s">
        <v>27</v>
      </c>
      <c r="G82" s="14">
        <v>43709</v>
      </c>
      <c r="H82" s="14">
        <v>43684</v>
      </c>
      <c r="I82" s="14">
        <v>43712</v>
      </c>
      <c r="J82" s="15">
        <f t="shared" si="7"/>
        <v>29</v>
      </c>
      <c r="K82" s="16">
        <f t="shared" si="5"/>
        <v>242.06896551724137</v>
      </c>
      <c r="L82" s="17">
        <f t="shared" si="6"/>
        <v>24.206896551724139</v>
      </c>
      <c r="M82" s="18">
        <v>10</v>
      </c>
      <c r="N82" s="18">
        <v>7020</v>
      </c>
      <c r="O82" s="19" t="s">
        <v>39</v>
      </c>
      <c r="P82" s="19">
        <v>5000</v>
      </c>
    </row>
    <row r="83" ht="15.6">
      <c r="A83" s="12" t="s">
        <v>41</v>
      </c>
      <c r="B83" s="12">
        <v>22</v>
      </c>
      <c r="C83" s="13">
        <v>274</v>
      </c>
      <c r="D83" s="13" t="s">
        <v>31</v>
      </c>
      <c r="E83" s="13">
        <v>2019</v>
      </c>
      <c r="F83" s="13" t="s">
        <v>27</v>
      </c>
      <c r="G83" s="14">
        <v>43739</v>
      </c>
      <c r="H83" s="14">
        <v>43721</v>
      </c>
      <c r="I83" s="14">
        <v>43743</v>
      </c>
      <c r="J83" s="15">
        <f t="shared" si="7"/>
        <v>23</v>
      </c>
      <c r="K83" s="16">
        <f t="shared" si="5"/>
        <v>226.08695652173913</v>
      </c>
      <c r="L83" s="17">
        <f t="shared" si="6"/>
        <v>22.608695652173914</v>
      </c>
      <c r="M83" s="18">
        <v>10</v>
      </c>
      <c r="N83" s="18">
        <v>5200</v>
      </c>
      <c r="O83" s="19" t="s">
        <v>39</v>
      </c>
      <c r="P83" s="19">
        <v>5000</v>
      </c>
    </row>
    <row r="84" ht="15.6">
      <c r="A84" s="12" t="s">
        <v>41</v>
      </c>
      <c r="B84" s="12">
        <v>22</v>
      </c>
      <c r="C84" s="13">
        <v>250.40000000000001</v>
      </c>
      <c r="D84" s="13" t="s">
        <v>32</v>
      </c>
      <c r="E84" s="13">
        <v>2019</v>
      </c>
      <c r="F84" s="13" t="s">
        <v>27</v>
      </c>
      <c r="G84" s="14">
        <v>43770</v>
      </c>
      <c r="H84" s="14">
        <v>43747</v>
      </c>
      <c r="I84" s="14">
        <v>43775</v>
      </c>
      <c r="J84" s="15">
        <f t="shared" si="7"/>
        <v>29</v>
      </c>
      <c r="K84" s="16">
        <f t="shared" si="5"/>
        <v>127.58620689655173</v>
      </c>
      <c r="L84" s="17">
        <f t="shared" si="6"/>
        <v>12.758620689655173</v>
      </c>
      <c r="M84" s="18">
        <v>10</v>
      </c>
      <c r="N84" s="18">
        <v>3700</v>
      </c>
      <c r="O84" s="19" t="s">
        <v>39</v>
      </c>
      <c r="P84" s="19">
        <v>5000</v>
      </c>
    </row>
    <row r="85" ht="15.6">
      <c r="A85" s="12" t="s">
        <v>41</v>
      </c>
      <c r="B85" s="12">
        <v>22</v>
      </c>
      <c r="C85" s="13">
        <v>385</v>
      </c>
      <c r="D85" s="13" t="s">
        <v>33</v>
      </c>
      <c r="E85" s="13">
        <v>2019</v>
      </c>
      <c r="F85" s="13" t="s">
        <v>27</v>
      </c>
      <c r="G85" s="14">
        <v>43800</v>
      </c>
      <c r="H85" s="14">
        <v>43784</v>
      </c>
      <c r="I85" s="14">
        <v>43813</v>
      </c>
      <c r="J85" s="15">
        <f t="shared" si="7"/>
        <v>30</v>
      </c>
      <c r="K85" s="16">
        <f t="shared" si="5"/>
        <v>216.66666666666666</v>
      </c>
      <c r="L85" s="17">
        <f t="shared" si="6"/>
        <v>27.083333333333332</v>
      </c>
      <c r="M85" s="18">
        <v>8</v>
      </c>
      <c r="N85" s="18">
        <v>6500</v>
      </c>
      <c r="O85" s="19" t="s">
        <v>39</v>
      </c>
      <c r="P85" s="19">
        <v>5000</v>
      </c>
    </row>
    <row r="86" ht="15.6">
      <c r="A86" s="12" t="s">
        <v>16</v>
      </c>
      <c r="B86" s="12">
        <v>16</v>
      </c>
      <c r="C86" s="13">
        <v>455.80000000000001</v>
      </c>
      <c r="D86" s="13" t="s">
        <v>17</v>
      </c>
      <c r="E86" s="13">
        <v>2020</v>
      </c>
      <c r="F86" s="13" t="s">
        <v>18</v>
      </c>
      <c r="G86" s="14">
        <v>43831</v>
      </c>
      <c r="H86" s="14">
        <v>43839</v>
      </c>
      <c r="I86" s="14">
        <v>43857</v>
      </c>
      <c r="J86" s="15">
        <f t="shared" si="7"/>
        <v>19</v>
      </c>
      <c r="K86" s="16">
        <f t="shared" si="5"/>
        <v>436.84210526315792</v>
      </c>
      <c r="L86" s="17">
        <f t="shared" si="6"/>
        <v>54.60526315789474</v>
      </c>
      <c r="M86" s="18">
        <v>8</v>
      </c>
      <c r="N86" s="18">
        <v>8300</v>
      </c>
      <c r="O86" s="19" t="s">
        <v>19</v>
      </c>
      <c r="P86" s="19">
        <v>15000</v>
      </c>
    </row>
    <row r="87" ht="15.6">
      <c r="A87" s="12" t="s">
        <v>16</v>
      </c>
      <c r="B87" s="12">
        <v>16</v>
      </c>
      <c r="C87" s="13">
        <v>553.79999999999995</v>
      </c>
      <c r="D87" s="13" t="s">
        <v>20</v>
      </c>
      <c r="E87" s="13">
        <v>2020</v>
      </c>
      <c r="F87" s="13" t="s">
        <v>21</v>
      </c>
      <c r="G87" s="14">
        <v>43862</v>
      </c>
      <c r="H87" s="14">
        <v>43869</v>
      </c>
      <c r="I87" s="14">
        <v>43884</v>
      </c>
      <c r="J87" s="15">
        <f t="shared" si="7"/>
        <v>16</v>
      </c>
      <c r="K87" s="16">
        <f t="shared" si="5"/>
        <v>306.25</v>
      </c>
      <c r="L87" s="17">
        <f t="shared" si="6"/>
        <v>38.28125</v>
      </c>
      <c r="M87" s="18">
        <v>8</v>
      </c>
      <c r="N87" s="18">
        <v>4900</v>
      </c>
      <c r="O87" s="19" t="s">
        <v>19</v>
      </c>
      <c r="P87" s="19">
        <v>15000</v>
      </c>
    </row>
    <row r="88" ht="15.6">
      <c r="A88" s="12" t="s">
        <v>16</v>
      </c>
      <c r="B88" s="12">
        <v>16</v>
      </c>
      <c r="C88" s="13">
        <v>570.39999999999998</v>
      </c>
      <c r="D88" s="13" t="s">
        <v>22</v>
      </c>
      <c r="E88" s="13">
        <v>2020</v>
      </c>
      <c r="F88" s="13" t="s">
        <v>21</v>
      </c>
      <c r="G88" s="14">
        <v>43891</v>
      </c>
      <c r="H88" s="14">
        <v>43888</v>
      </c>
      <c r="I88" s="14">
        <v>43914</v>
      </c>
      <c r="J88" s="15">
        <f t="shared" si="7"/>
        <v>27</v>
      </c>
      <c r="K88" s="16">
        <f t="shared" si="5"/>
        <v>189.07407407407408</v>
      </c>
      <c r="L88" s="17">
        <f t="shared" si="6"/>
        <v>23.63425925925926</v>
      </c>
      <c r="M88" s="18">
        <v>8</v>
      </c>
      <c r="N88" s="18">
        <v>5105</v>
      </c>
      <c r="O88" s="19" t="s">
        <v>19</v>
      </c>
      <c r="P88" s="19">
        <v>15000</v>
      </c>
    </row>
    <row r="89" ht="15.6">
      <c r="A89" s="12" t="s">
        <v>16</v>
      </c>
      <c r="B89" s="12">
        <v>16</v>
      </c>
      <c r="C89" s="13">
        <v>444</v>
      </c>
      <c r="D89" s="13" t="s">
        <v>23</v>
      </c>
      <c r="E89" s="13">
        <v>2020</v>
      </c>
      <c r="F89" s="13" t="s">
        <v>21</v>
      </c>
      <c r="G89" s="14">
        <v>43922</v>
      </c>
      <c r="H89" s="14">
        <v>43920</v>
      </c>
      <c r="I89" s="14">
        <v>43948</v>
      </c>
      <c r="J89" s="15">
        <f t="shared" si="7"/>
        <v>29</v>
      </c>
      <c r="K89" s="16">
        <f t="shared" si="5"/>
        <v>141.72413793103448</v>
      </c>
      <c r="L89" s="17">
        <f t="shared" si="6"/>
        <v>17.71551724137931</v>
      </c>
      <c r="M89" s="18">
        <v>8</v>
      </c>
      <c r="N89" s="18">
        <v>4110</v>
      </c>
      <c r="O89" s="19" t="s">
        <v>19</v>
      </c>
      <c r="P89" s="19">
        <v>15000</v>
      </c>
    </row>
    <row r="90" ht="15.6">
      <c r="A90" s="12" t="s">
        <v>16</v>
      </c>
      <c r="B90" s="12">
        <v>16</v>
      </c>
      <c r="C90" s="13">
        <v>452.19999999999999</v>
      </c>
      <c r="D90" s="13" t="s">
        <v>24</v>
      </c>
      <c r="E90" s="13">
        <v>2020</v>
      </c>
      <c r="F90" s="13" t="s">
        <v>21</v>
      </c>
      <c r="G90" s="14">
        <v>43952</v>
      </c>
      <c r="H90" s="14">
        <v>43964</v>
      </c>
      <c r="I90" s="14">
        <v>43979</v>
      </c>
      <c r="J90" s="15">
        <f t="shared" si="7"/>
        <v>16</v>
      </c>
      <c r="K90" s="16">
        <f t="shared" si="5"/>
        <v>388.125</v>
      </c>
      <c r="L90" s="17">
        <f t="shared" si="6"/>
        <v>48.515625</v>
      </c>
      <c r="M90" s="18">
        <v>8</v>
      </c>
      <c r="N90" s="18">
        <v>6210</v>
      </c>
      <c r="O90" s="19" t="s">
        <v>19</v>
      </c>
      <c r="P90" s="19">
        <v>15000</v>
      </c>
    </row>
    <row r="91" ht="15.6">
      <c r="A91" s="12" t="s">
        <v>16</v>
      </c>
      <c r="B91" s="12">
        <v>16</v>
      </c>
      <c r="C91" s="13">
        <v>248.80000000000001</v>
      </c>
      <c r="D91" s="13" t="s">
        <v>25</v>
      </c>
      <c r="E91" s="13">
        <v>2020</v>
      </c>
      <c r="F91" s="13" t="s">
        <v>21</v>
      </c>
      <c r="G91" s="14">
        <v>43983</v>
      </c>
      <c r="H91" s="14">
        <v>43986</v>
      </c>
      <c r="I91" s="14">
        <v>44009</v>
      </c>
      <c r="J91" s="15">
        <f t="shared" si="7"/>
        <v>24</v>
      </c>
      <c r="K91" s="16">
        <f t="shared" si="5"/>
        <v>170.83333333333334</v>
      </c>
      <c r="L91" s="17">
        <f t="shared" si="6"/>
        <v>21.354166666666668</v>
      </c>
      <c r="M91" s="18">
        <v>8</v>
      </c>
      <c r="N91" s="18">
        <v>4100</v>
      </c>
      <c r="O91" s="19" t="s">
        <v>19</v>
      </c>
      <c r="P91" s="19">
        <v>15000</v>
      </c>
    </row>
    <row r="92" ht="15.6">
      <c r="A92" s="12" t="s">
        <v>16</v>
      </c>
      <c r="B92" s="12">
        <v>16</v>
      </c>
      <c r="C92" s="13">
        <v>151.59999999999999</v>
      </c>
      <c r="D92" s="13" t="s">
        <v>26</v>
      </c>
      <c r="E92" s="13">
        <v>2020</v>
      </c>
      <c r="F92" s="13" t="s">
        <v>27</v>
      </c>
      <c r="G92" s="14">
        <v>44013</v>
      </c>
      <c r="H92" s="14">
        <v>44021</v>
      </c>
      <c r="I92" s="14">
        <v>44041</v>
      </c>
      <c r="J92" s="15">
        <f t="shared" si="7"/>
        <v>21</v>
      </c>
      <c r="K92" s="16">
        <f t="shared" si="5"/>
        <v>209.52380952380952</v>
      </c>
      <c r="L92" s="17">
        <f t="shared" si="6"/>
        <v>26.19047619047619</v>
      </c>
      <c r="M92" s="18">
        <v>8</v>
      </c>
      <c r="N92" s="18">
        <v>4400</v>
      </c>
      <c r="O92" s="19" t="s">
        <v>19</v>
      </c>
      <c r="P92" s="19">
        <v>15000</v>
      </c>
    </row>
    <row r="93" ht="15.6">
      <c r="A93" s="12" t="s">
        <v>16</v>
      </c>
      <c r="B93" s="12">
        <v>16</v>
      </c>
      <c r="C93" s="13">
        <v>110.8</v>
      </c>
      <c r="D93" s="13" t="s">
        <v>28</v>
      </c>
      <c r="E93" s="13">
        <v>2020</v>
      </c>
      <c r="F93" s="13" t="s">
        <v>29</v>
      </c>
      <c r="G93" s="14">
        <v>44044</v>
      </c>
      <c r="H93" s="14">
        <v>44054</v>
      </c>
      <c r="I93" s="14">
        <v>44072</v>
      </c>
      <c r="J93" s="15">
        <f t="shared" si="7"/>
        <v>19</v>
      </c>
      <c r="K93" s="16">
        <f t="shared" si="5"/>
        <v>267.89473684210526</v>
      </c>
      <c r="L93" s="17">
        <f t="shared" si="6"/>
        <v>33.486842105263158</v>
      </c>
      <c r="M93" s="18">
        <v>8</v>
      </c>
      <c r="N93" s="18">
        <v>5090</v>
      </c>
      <c r="O93" s="19" t="s">
        <v>19</v>
      </c>
      <c r="P93" s="19">
        <v>15000</v>
      </c>
    </row>
    <row r="94" ht="15.6">
      <c r="A94" s="12" t="s">
        <v>16</v>
      </c>
      <c r="B94" s="12">
        <v>16</v>
      </c>
      <c r="C94" s="13">
        <v>151.59999999999999</v>
      </c>
      <c r="D94" s="13" t="s">
        <v>30</v>
      </c>
      <c r="E94" s="13">
        <v>2020</v>
      </c>
      <c r="F94" s="13" t="s">
        <v>27</v>
      </c>
      <c r="G94" s="14">
        <v>44075</v>
      </c>
      <c r="H94" s="14">
        <v>44081</v>
      </c>
      <c r="I94" s="14">
        <v>44104</v>
      </c>
      <c r="J94" s="15">
        <f t="shared" si="7"/>
        <v>24</v>
      </c>
      <c r="K94" s="16">
        <f t="shared" si="5"/>
        <v>417.08333333333331</v>
      </c>
      <c r="L94" s="17">
        <f t="shared" si="6"/>
        <v>52.135416666666664</v>
      </c>
      <c r="M94" s="18">
        <v>8</v>
      </c>
      <c r="N94" s="18">
        <v>10010</v>
      </c>
      <c r="O94" s="19" t="s">
        <v>19</v>
      </c>
      <c r="P94" s="19">
        <v>15000</v>
      </c>
    </row>
    <row r="95" ht="15.6">
      <c r="A95" s="12" t="s">
        <v>16</v>
      </c>
      <c r="B95" s="12">
        <v>16</v>
      </c>
      <c r="C95" s="13">
        <v>295</v>
      </c>
      <c r="D95" s="13" t="s">
        <v>31</v>
      </c>
      <c r="E95" s="13">
        <v>2020</v>
      </c>
      <c r="F95" s="13" t="s">
        <v>27</v>
      </c>
      <c r="G95" s="14">
        <v>44105</v>
      </c>
      <c r="H95" s="14">
        <v>44115</v>
      </c>
      <c r="I95" s="14">
        <v>44135</v>
      </c>
      <c r="J95" s="15">
        <f t="shared" si="7"/>
        <v>21</v>
      </c>
      <c r="K95" s="16">
        <f t="shared" si="5"/>
        <v>623.80952380952385</v>
      </c>
      <c r="L95" s="17">
        <f t="shared" si="6"/>
        <v>77.976190476190482</v>
      </c>
      <c r="M95" s="18">
        <v>8</v>
      </c>
      <c r="N95" s="18">
        <v>13100</v>
      </c>
      <c r="O95" s="19" t="s">
        <v>19</v>
      </c>
      <c r="P95" s="19">
        <v>15000</v>
      </c>
    </row>
    <row r="96" ht="15.6">
      <c r="A96" s="12" t="s">
        <v>16</v>
      </c>
      <c r="B96" s="12">
        <v>16</v>
      </c>
      <c r="C96" s="13">
        <v>414.80000000000001</v>
      </c>
      <c r="D96" s="13" t="s">
        <v>32</v>
      </c>
      <c r="E96" s="13">
        <v>2020</v>
      </c>
      <c r="F96" s="13" t="s">
        <v>27</v>
      </c>
      <c r="G96" s="14">
        <v>44136</v>
      </c>
      <c r="H96" s="14">
        <v>44144</v>
      </c>
      <c r="I96" s="14">
        <v>44161</v>
      </c>
      <c r="J96" s="15">
        <f t="shared" si="7"/>
        <v>18</v>
      </c>
      <c r="K96" s="16">
        <f t="shared" si="5"/>
        <v>205.55555555555554</v>
      </c>
      <c r="L96" s="17">
        <f t="shared" si="6"/>
        <v>25.694444444444443</v>
      </c>
      <c r="M96" s="18">
        <v>8</v>
      </c>
      <c r="N96" s="18">
        <v>3700</v>
      </c>
      <c r="O96" s="19" t="s">
        <v>19</v>
      </c>
      <c r="P96" s="19">
        <v>15000</v>
      </c>
    </row>
    <row r="97" ht="15.6">
      <c r="A97" s="12" t="s">
        <v>16</v>
      </c>
      <c r="B97" s="12">
        <v>16</v>
      </c>
      <c r="C97" s="13">
        <v>226.80000000000001</v>
      </c>
      <c r="D97" s="13" t="s">
        <v>33</v>
      </c>
      <c r="E97" s="13">
        <v>2020</v>
      </c>
      <c r="F97" s="13" t="s">
        <v>27</v>
      </c>
      <c r="G97" s="14">
        <v>44166</v>
      </c>
      <c r="H97" s="14">
        <v>44172</v>
      </c>
      <c r="I97" s="14">
        <v>44187</v>
      </c>
      <c r="J97" s="15">
        <f t="shared" si="7"/>
        <v>16</v>
      </c>
      <c r="K97" s="16">
        <f t="shared" si="5"/>
        <v>450</v>
      </c>
      <c r="L97" s="17">
        <f t="shared" si="6"/>
        <v>45</v>
      </c>
      <c r="M97" s="18">
        <v>10</v>
      </c>
      <c r="N97" s="18">
        <v>7200</v>
      </c>
      <c r="O97" s="19" t="s">
        <v>19</v>
      </c>
      <c r="P97" s="19">
        <v>15000</v>
      </c>
    </row>
    <row r="98" ht="15.6">
      <c r="A98" s="12" t="s">
        <v>34</v>
      </c>
      <c r="B98" s="12">
        <v>18</v>
      </c>
      <c r="C98" s="13">
        <v>455.80000000000001</v>
      </c>
      <c r="D98" s="13" t="s">
        <v>17</v>
      </c>
      <c r="E98" s="13">
        <v>2020</v>
      </c>
      <c r="F98" s="13" t="s">
        <v>18</v>
      </c>
      <c r="G98" s="14">
        <v>43831</v>
      </c>
      <c r="H98" s="14">
        <v>43832</v>
      </c>
      <c r="I98" s="14">
        <v>43849</v>
      </c>
      <c r="J98" s="15">
        <f t="shared" si="7"/>
        <v>18</v>
      </c>
      <c r="K98" s="16">
        <f t="shared" si="5"/>
        <v>340</v>
      </c>
      <c r="L98" s="17">
        <f t="shared" si="6"/>
        <v>42.5</v>
      </c>
      <c r="M98" s="18">
        <v>8</v>
      </c>
      <c r="N98" s="18">
        <v>6120</v>
      </c>
      <c r="O98" s="19" t="s">
        <v>39</v>
      </c>
      <c r="P98" s="19">
        <v>4000</v>
      </c>
    </row>
    <row r="99" ht="15.6">
      <c r="A99" s="12" t="s">
        <v>34</v>
      </c>
      <c r="B99" s="12">
        <v>18</v>
      </c>
      <c r="C99" s="13">
        <v>553.79999999999995</v>
      </c>
      <c r="D99" s="13" t="s">
        <v>20</v>
      </c>
      <c r="E99" s="13">
        <v>2020</v>
      </c>
      <c r="F99" s="13" t="s">
        <v>21</v>
      </c>
      <c r="G99" s="14">
        <v>43862</v>
      </c>
      <c r="H99" s="14">
        <v>43854</v>
      </c>
      <c r="I99" s="14">
        <v>43875</v>
      </c>
      <c r="J99" s="15">
        <f t="shared" si="7"/>
        <v>22</v>
      </c>
      <c r="K99" s="16">
        <f t="shared" si="5"/>
        <v>456.81818181818181</v>
      </c>
      <c r="L99" s="17">
        <f t="shared" si="6"/>
        <v>57.102272727272727</v>
      </c>
      <c r="M99" s="18">
        <v>8</v>
      </c>
      <c r="N99" s="18">
        <v>10050</v>
      </c>
      <c r="O99" s="19" t="s">
        <v>39</v>
      </c>
      <c r="P99" s="19">
        <v>4000</v>
      </c>
    </row>
    <row r="100" ht="15.6">
      <c r="A100" s="12" t="s">
        <v>34</v>
      </c>
      <c r="B100" s="12">
        <v>18</v>
      </c>
      <c r="C100" s="13">
        <v>570.39999999999998</v>
      </c>
      <c r="D100" s="13" t="s">
        <v>22</v>
      </c>
      <c r="E100" s="13">
        <v>2020</v>
      </c>
      <c r="F100" s="13" t="s">
        <v>21</v>
      </c>
      <c r="G100" s="14">
        <v>43891</v>
      </c>
      <c r="H100" s="14">
        <v>43884</v>
      </c>
      <c r="I100" s="14">
        <v>43900</v>
      </c>
      <c r="J100" s="15">
        <f t="shared" si="7"/>
        <v>17</v>
      </c>
      <c r="K100" s="16">
        <f t="shared" si="5"/>
        <v>281.76470588235293</v>
      </c>
      <c r="L100" s="17">
        <f t="shared" si="6"/>
        <v>35.220588235294116</v>
      </c>
      <c r="M100" s="18">
        <v>8</v>
      </c>
      <c r="N100" s="18">
        <v>4790</v>
      </c>
      <c r="O100" s="19" t="s">
        <v>39</v>
      </c>
      <c r="P100" s="19">
        <v>4000</v>
      </c>
    </row>
    <row r="101" ht="15.6">
      <c r="A101" s="12" t="s">
        <v>34</v>
      </c>
      <c r="B101" s="12">
        <v>18</v>
      </c>
      <c r="C101" s="13">
        <v>444</v>
      </c>
      <c r="D101" s="13" t="s">
        <v>23</v>
      </c>
      <c r="E101" s="13">
        <v>2020</v>
      </c>
      <c r="F101" s="13" t="s">
        <v>21</v>
      </c>
      <c r="G101" s="14">
        <v>43922</v>
      </c>
      <c r="H101" s="14">
        <v>43914</v>
      </c>
      <c r="I101" s="14">
        <v>43938</v>
      </c>
      <c r="J101" s="15">
        <f t="shared" si="7"/>
        <v>25</v>
      </c>
      <c r="K101" s="16">
        <f t="shared" si="5"/>
        <v>244.59999999999999</v>
      </c>
      <c r="L101" s="17">
        <f t="shared" si="6"/>
        <v>30.574999999999999</v>
      </c>
      <c r="M101" s="18">
        <v>8</v>
      </c>
      <c r="N101" s="18">
        <v>6115</v>
      </c>
      <c r="O101" s="19" t="s">
        <v>39</v>
      </c>
      <c r="P101" s="19">
        <v>4000</v>
      </c>
    </row>
    <row r="102" ht="15.6">
      <c r="A102" s="12" t="s">
        <v>34</v>
      </c>
      <c r="B102" s="12">
        <v>18</v>
      </c>
      <c r="C102" s="13">
        <v>452.19999999999999</v>
      </c>
      <c r="D102" s="13" t="s">
        <v>24</v>
      </c>
      <c r="E102" s="13">
        <v>2020</v>
      </c>
      <c r="F102" s="13" t="s">
        <v>21</v>
      </c>
      <c r="G102" s="14">
        <v>43952</v>
      </c>
      <c r="H102" s="14">
        <v>43946</v>
      </c>
      <c r="I102" s="14">
        <v>43965</v>
      </c>
      <c r="J102" s="15">
        <f t="shared" si="7"/>
        <v>20</v>
      </c>
      <c r="K102" s="16">
        <f t="shared" si="5"/>
        <v>356</v>
      </c>
      <c r="L102" s="17">
        <f t="shared" si="6"/>
        <v>44.5</v>
      </c>
      <c r="M102" s="18">
        <v>8</v>
      </c>
      <c r="N102" s="18">
        <v>7120</v>
      </c>
      <c r="O102" s="19" t="s">
        <v>39</v>
      </c>
      <c r="P102" s="19">
        <v>4000</v>
      </c>
    </row>
    <row r="103" ht="15.6">
      <c r="A103" s="12" t="s">
        <v>34</v>
      </c>
      <c r="B103" s="12">
        <v>18</v>
      </c>
      <c r="C103" s="13">
        <v>248.80000000000001</v>
      </c>
      <c r="D103" s="13" t="s">
        <v>25</v>
      </c>
      <c r="E103" s="13">
        <v>2020</v>
      </c>
      <c r="F103" s="13" t="s">
        <v>21</v>
      </c>
      <c r="G103" s="14">
        <v>43983</v>
      </c>
      <c r="H103" s="14">
        <v>43972</v>
      </c>
      <c r="I103" s="14">
        <v>43990</v>
      </c>
      <c r="J103" s="15">
        <f t="shared" si="7"/>
        <v>19</v>
      </c>
      <c r="K103" s="16">
        <f t="shared" si="5"/>
        <v>214.26315789473685</v>
      </c>
      <c r="L103" s="17">
        <f t="shared" si="6"/>
        <v>26.782894736842106</v>
      </c>
      <c r="M103" s="18">
        <v>8</v>
      </c>
      <c r="N103" s="18">
        <v>4071</v>
      </c>
      <c r="O103" s="19" t="s">
        <v>39</v>
      </c>
      <c r="P103" s="19">
        <v>4000</v>
      </c>
    </row>
    <row r="104" ht="15.6">
      <c r="A104" s="12" t="s">
        <v>34</v>
      </c>
      <c r="B104" s="12">
        <v>18</v>
      </c>
      <c r="C104" s="13">
        <v>151.59999999999999</v>
      </c>
      <c r="D104" s="13" t="s">
        <v>26</v>
      </c>
      <c r="E104" s="13">
        <v>2020</v>
      </c>
      <c r="F104" s="13" t="s">
        <v>27</v>
      </c>
      <c r="G104" s="14">
        <v>44013</v>
      </c>
      <c r="H104" s="14">
        <v>43999</v>
      </c>
      <c r="I104" s="14">
        <v>44021</v>
      </c>
      <c r="J104" s="15">
        <f t="shared" si="7"/>
        <v>23</v>
      </c>
      <c r="K104" s="16">
        <f t="shared" si="5"/>
        <v>299.56521739130437</v>
      </c>
      <c r="L104" s="17">
        <f t="shared" si="6"/>
        <v>37.445652173913047</v>
      </c>
      <c r="M104" s="18">
        <v>8</v>
      </c>
      <c r="N104" s="18">
        <v>6890</v>
      </c>
      <c r="O104" s="19" t="s">
        <v>39</v>
      </c>
      <c r="P104" s="19">
        <v>4000</v>
      </c>
    </row>
    <row r="105" ht="15.6">
      <c r="A105" s="12" t="s">
        <v>34</v>
      </c>
      <c r="B105" s="12">
        <v>18</v>
      </c>
      <c r="C105" s="13">
        <v>110.8</v>
      </c>
      <c r="D105" s="13" t="s">
        <v>28</v>
      </c>
      <c r="E105" s="13">
        <v>2020</v>
      </c>
      <c r="F105" s="13" t="s">
        <v>29</v>
      </c>
      <c r="G105" s="14">
        <v>44044</v>
      </c>
      <c r="H105" s="14">
        <v>44026</v>
      </c>
      <c r="I105" s="14">
        <v>44053</v>
      </c>
      <c r="J105" s="15">
        <f t="shared" si="7"/>
        <v>28</v>
      </c>
      <c r="K105" s="16">
        <f t="shared" si="5"/>
        <v>147.5</v>
      </c>
      <c r="L105" s="17">
        <f t="shared" si="6"/>
        <v>18.4375</v>
      </c>
      <c r="M105" s="18">
        <v>8</v>
      </c>
      <c r="N105" s="18">
        <v>4130</v>
      </c>
      <c r="O105" s="19" t="s">
        <v>39</v>
      </c>
      <c r="P105" s="19">
        <v>4000</v>
      </c>
    </row>
    <row r="106" ht="15.6">
      <c r="A106" s="12" t="s">
        <v>34</v>
      </c>
      <c r="B106" s="12">
        <v>18</v>
      </c>
      <c r="C106" s="13">
        <v>151.59999999999999</v>
      </c>
      <c r="D106" s="13" t="s">
        <v>30</v>
      </c>
      <c r="E106" s="13">
        <v>2020</v>
      </c>
      <c r="F106" s="13" t="s">
        <v>27</v>
      </c>
      <c r="G106" s="14">
        <v>44075</v>
      </c>
      <c r="H106" s="14">
        <v>44062</v>
      </c>
      <c r="I106" s="14">
        <v>44085</v>
      </c>
      <c r="J106" s="15">
        <f t="shared" si="7"/>
        <v>24</v>
      </c>
      <c r="K106" s="16">
        <f t="shared" si="5"/>
        <v>255</v>
      </c>
      <c r="L106" s="17">
        <f t="shared" si="6"/>
        <v>31.875</v>
      </c>
      <c r="M106" s="18">
        <v>8</v>
      </c>
      <c r="N106" s="18">
        <v>6120</v>
      </c>
      <c r="O106" s="19" t="s">
        <v>39</v>
      </c>
      <c r="P106" s="19">
        <v>4000</v>
      </c>
    </row>
    <row r="107" ht="15.6">
      <c r="A107" s="12" t="s">
        <v>34</v>
      </c>
      <c r="B107" s="12">
        <v>18</v>
      </c>
      <c r="C107" s="13">
        <v>295</v>
      </c>
      <c r="D107" s="13" t="s">
        <v>31</v>
      </c>
      <c r="E107" s="13">
        <v>2020</v>
      </c>
      <c r="F107" s="13" t="s">
        <v>27</v>
      </c>
      <c r="G107" s="14">
        <v>44105</v>
      </c>
      <c r="H107" s="14">
        <v>44090</v>
      </c>
      <c r="I107" s="14">
        <v>44116</v>
      </c>
      <c r="J107" s="15">
        <f t="shared" si="7"/>
        <v>27</v>
      </c>
      <c r="K107" s="16">
        <f t="shared" si="5"/>
        <v>259.18518518518516</v>
      </c>
      <c r="L107" s="17">
        <f t="shared" si="6"/>
        <v>32.398148148148145</v>
      </c>
      <c r="M107" s="18">
        <v>8</v>
      </c>
      <c r="N107" s="18">
        <v>6998</v>
      </c>
      <c r="O107" s="19" t="s">
        <v>39</v>
      </c>
      <c r="P107" s="19">
        <v>4000</v>
      </c>
    </row>
    <row r="108" ht="15.6">
      <c r="A108" s="12" t="s">
        <v>34</v>
      </c>
      <c r="B108" s="12">
        <v>18</v>
      </c>
      <c r="C108" s="13">
        <v>414.80000000000001</v>
      </c>
      <c r="D108" s="13" t="s">
        <v>32</v>
      </c>
      <c r="E108" s="13">
        <v>2020</v>
      </c>
      <c r="F108" s="13" t="s">
        <v>27</v>
      </c>
      <c r="G108" s="14">
        <v>44136</v>
      </c>
      <c r="H108" s="14">
        <v>44127</v>
      </c>
      <c r="I108" s="14">
        <v>44148</v>
      </c>
      <c r="J108" s="15">
        <f t="shared" si="7"/>
        <v>22</v>
      </c>
      <c r="K108" s="16">
        <f t="shared" si="5"/>
        <v>370.40909090909093</v>
      </c>
      <c r="L108" s="17">
        <f t="shared" si="6"/>
        <v>46.301136363636367</v>
      </c>
      <c r="M108" s="18">
        <v>8</v>
      </c>
      <c r="N108" s="18">
        <v>8149</v>
      </c>
      <c r="O108" s="19" t="s">
        <v>39</v>
      </c>
      <c r="P108" s="19">
        <v>4000</v>
      </c>
    </row>
    <row r="109" ht="15.6">
      <c r="A109" s="12" t="s">
        <v>34</v>
      </c>
      <c r="B109" s="12">
        <v>18</v>
      </c>
      <c r="C109" s="13">
        <v>226.80000000000001</v>
      </c>
      <c r="D109" s="13" t="s">
        <v>33</v>
      </c>
      <c r="E109" s="13">
        <v>2020</v>
      </c>
      <c r="F109" s="13" t="s">
        <v>27</v>
      </c>
      <c r="G109" s="14">
        <v>44166</v>
      </c>
      <c r="H109" s="14">
        <v>44153</v>
      </c>
      <c r="I109" s="14">
        <v>44179</v>
      </c>
      <c r="J109" s="15">
        <f t="shared" si="7"/>
        <v>27</v>
      </c>
      <c r="K109" s="16">
        <f t="shared" si="5"/>
        <v>358.77777777777777</v>
      </c>
      <c r="L109" s="17">
        <f t="shared" si="6"/>
        <v>44.847222222222221</v>
      </c>
      <c r="M109" s="18">
        <v>8</v>
      </c>
      <c r="N109" s="18">
        <v>9687</v>
      </c>
      <c r="O109" s="19" t="s">
        <v>39</v>
      </c>
      <c r="P109" s="19">
        <v>4000</v>
      </c>
    </row>
    <row r="110" ht="15.6">
      <c r="A110" s="12" t="s">
        <v>36</v>
      </c>
      <c r="B110" s="12">
        <v>18</v>
      </c>
      <c r="C110" s="13">
        <v>455.80000000000001</v>
      </c>
      <c r="D110" s="13" t="s">
        <v>17</v>
      </c>
      <c r="E110" s="13">
        <v>2020</v>
      </c>
      <c r="F110" s="13" t="s">
        <v>18</v>
      </c>
      <c r="G110" s="14">
        <v>43831</v>
      </c>
      <c r="H110" s="14">
        <v>43832</v>
      </c>
      <c r="I110" s="14">
        <v>43855</v>
      </c>
      <c r="J110" s="15">
        <f t="shared" si="7"/>
        <v>24</v>
      </c>
      <c r="K110" s="16">
        <f t="shared" si="5"/>
        <v>249.45833333333334</v>
      </c>
      <c r="L110" s="17">
        <f t="shared" si="6"/>
        <v>24.945833333333333</v>
      </c>
      <c r="M110" s="18">
        <v>10</v>
      </c>
      <c r="N110" s="18">
        <v>5987</v>
      </c>
      <c r="O110" s="19" t="s">
        <v>39</v>
      </c>
      <c r="P110" s="19">
        <v>4500</v>
      </c>
    </row>
    <row r="111" ht="15.6">
      <c r="A111" s="12" t="s">
        <v>36</v>
      </c>
      <c r="B111" s="12">
        <v>18</v>
      </c>
      <c r="C111" s="13">
        <v>553.79999999999995</v>
      </c>
      <c r="D111" s="13" t="s">
        <v>20</v>
      </c>
      <c r="E111" s="13">
        <v>2020</v>
      </c>
      <c r="F111" s="13" t="s">
        <v>21</v>
      </c>
      <c r="G111" s="14">
        <v>43862</v>
      </c>
      <c r="H111" s="14">
        <v>43868</v>
      </c>
      <c r="I111" s="14">
        <v>43887</v>
      </c>
      <c r="J111" s="15">
        <f t="shared" si="7"/>
        <v>20</v>
      </c>
      <c r="K111" s="16">
        <f t="shared" si="5"/>
        <v>372.25</v>
      </c>
      <c r="L111" s="17">
        <f t="shared" si="6"/>
        <v>37.225000000000001</v>
      </c>
      <c r="M111" s="18">
        <v>10</v>
      </c>
      <c r="N111" s="18">
        <v>7445</v>
      </c>
      <c r="O111" s="19" t="s">
        <v>39</v>
      </c>
      <c r="P111" s="19">
        <v>4500</v>
      </c>
    </row>
    <row r="112" ht="15.6">
      <c r="A112" s="12" t="s">
        <v>36</v>
      </c>
      <c r="B112" s="12">
        <v>18</v>
      </c>
      <c r="C112" s="13">
        <v>570.39999999999998</v>
      </c>
      <c r="D112" s="13" t="s">
        <v>22</v>
      </c>
      <c r="E112" s="13">
        <v>2020</v>
      </c>
      <c r="F112" s="13" t="s">
        <v>21</v>
      </c>
      <c r="G112" s="14">
        <v>43891</v>
      </c>
      <c r="H112" s="14">
        <v>43894</v>
      </c>
      <c r="I112" s="14">
        <v>43907</v>
      </c>
      <c r="J112" s="15">
        <f t="shared" si="7"/>
        <v>14</v>
      </c>
      <c r="K112" s="16">
        <f t="shared" si="5"/>
        <v>698.64285714285711</v>
      </c>
      <c r="L112" s="17">
        <f t="shared" si="6"/>
        <v>69.864285714285714</v>
      </c>
      <c r="M112" s="18">
        <v>10</v>
      </c>
      <c r="N112" s="18">
        <v>9781</v>
      </c>
      <c r="O112" s="19" t="s">
        <v>39</v>
      </c>
      <c r="P112" s="19">
        <v>4500</v>
      </c>
    </row>
    <row r="113" ht="15.6">
      <c r="A113" s="12" t="s">
        <v>36</v>
      </c>
      <c r="B113" s="12">
        <v>18</v>
      </c>
      <c r="C113" s="13">
        <v>444</v>
      </c>
      <c r="D113" s="13" t="s">
        <v>23</v>
      </c>
      <c r="E113" s="13">
        <v>2020</v>
      </c>
      <c r="F113" s="13" t="s">
        <v>21</v>
      </c>
      <c r="G113" s="14">
        <v>43922</v>
      </c>
      <c r="H113" s="14">
        <v>43915</v>
      </c>
      <c r="I113" s="14">
        <v>43936</v>
      </c>
      <c r="J113" s="15">
        <f t="shared" si="7"/>
        <v>22</v>
      </c>
      <c r="K113" s="16">
        <f t="shared" si="5"/>
        <v>374.31818181818181</v>
      </c>
      <c r="L113" s="17">
        <f t="shared" si="6"/>
        <v>37.43181818181818</v>
      </c>
      <c r="M113" s="18">
        <v>10</v>
      </c>
      <c r="N113" s="18">
        <v>8235</v>
      </c>
      <c r="O113" s="19" t="s">
        <v>39</v>
      </c>
      <c r="P113" s="19">
        <v>4500</v>
      </c>
    </row>
    <row r="114" ht="15.6">
      <c r="A114" s="12" t="s">
        <v>36</v>
      </c>
      <c r="B114" s="12">
        <v>18</v>
      </c>
      <c r="C114" s="13">
        <v>452.19999999999999</v>
      </c>
      <c r="D114" s="13" t="s">
        <v>24</v>
      </c>
      <c r="E114" s="13">
        <v>2020</v>
      </c>
      <c r="F114" s="13" t="s">
        <v>21</v>
      </c>
      <c r="G114" s="14">
        <v>43952</v>
      </c>
      <c r="H114" s="14">
        <v>43947</v>
      </c>
      <c r="I114" s="14">
        <v>43970</v>
      </c>
      <c r="J114" s="15">
        <f t="shared" si="7"/>
        <v>24</v>
      </c>
      <c r="K114" s="16">
        <f t="shared" si="5"/>
        <v>213.75</v>
      </c>
      <c r="L114" s="17">
        <f t="shared" si="6"/>
        <v>21.375</v>
      </c>
      <c r="M114" s="18">
        <v>10</v>
      </c>
      <c r="N114" s="18">
        <v>5130</v>
      </c>
      <c r="O114" s="19" t="s">
        <v>39</v>
      </c>
      <c r="P114" s="19">
        <v>4500</v>
      </c>
    </row>
    <row r="115" ht="15.6">
      <c r="A115" s="12" t="s">
        <v>36</v>
      </c>
      <c r="B115" s="12">
        <v>18</v>
      </c>
      <c r="C115" s="13">
        <v>248.80000000000001</v>
      </c>
      <c r="D115" s="13" t="s">
        <v>25</v>
      </c>
      <c r="E115" s="13">
        <v>2020</v>
      </c>
      <c r="F115" s="13" t="s">
        <v>21</v>
      </c>
      <c r="G115" s="14">
        <v>43983</v>
      </c>
      <c r="H115" s="14">
        <v>43978</v>
      </c>
      <c r="I115" s="14">
        <v>44002</v>
      </c>
      <c r="J115" s="15">
        <f t="shared" si="7"/>
        <v>25</v>
      </c>
      <c r="K115" s="16">
        <f t="shared" si="5"/>
        <v>384.60000000000002</v>
      </c>
      <c r="L115" s="17">
        <f t="shared" si="6"/>
        <v>38.460000000000001</v>
      </c>
      <c r="M115" s="18">
        <v>10</v>
      </c>
      <c r="N115" s="18">
        <v>9615</v>
      </c>
      <c r="O115" s="19" t="s">
        <v>39</v>
      </c>
      <c r="P115" s="19">
        <v>4500</v>
      </c>
    </row>
    <row r="116" ht="15.6">
      <c r="A116" s="12" t="s">
        <v>36</v>
      </c>
      <c r="B116" s="12">
        <v>18</v>
      </c>
      <c r="C116" s="13">
        <v>151.59999999999999</v>
      </c>
      <c r="D116" s="13" t="s">
        <v>26</v>
      </c>
      <c r="E116" s="13">
        <v>2020</v>
      </c>
      <c r="F116" s="13" t="s">
        <v>27</v>
      </c>
      <c r="G116" s="14">
        <v>44013</v>
      </c>
      <c r="H116" s="14">
        <v>44006</v>
      </c>
      <c r="I116" s="14">
        <v>44033</v>
      </c>
      <c r="J116" s="15">
        <f t="shared" si="7"/>
        <v>28</v>
      </c>
      <c r="K116" s="16">
        <f t="shared" si="5"/>
        <v>196.17857142857142</v>
      </c>
      <c r="L116" s="17">
        <f t="shared" si="6"/>
        <v>19.617857142857144</v>
      </c>
      <c r="M116" s="18">
        <v>10</v>
      </c>
      <c r="N116" s="18">
        <v>5493</v>
      </c>
      <c r="O116" s="19" t="s">
        <v>39</v>
      </c>
      <c r="P116" s="19">
        <v>4500</v>
      </c>
    </row>
    <row r="117" ht="15.6">
      <c r="A117" s="12" t="s">
        <v>36</v>
      </c>
      <c r="B117" s="12">
        <v>18</v>
      </c>
      <c r="C117" s="13">
        <v>110.8</v>
      </c>
      <c r="D117" s="13" t="s">
        <v>28</v>
      </c>
      <c r="E117" s="13">
        <v>2020</v>
      </c>
      <c r="F117" s="13" t="s">
        <v>29</v>
      </c>
      <c r="G117" s="14">
        <v>44044</v>
      </c>
      <c r="H117" s="14">
        <v>44041</v>
      </c>
      <c r="I117" s="14">
        <v>44065</v>
      </c>
      <c r="J117" s="15">
        <f t="shared" si="7"/>
        <v>25</v>
      </c>
      <c r="K117" s="16">
        <f t="shared" si="5"/>
        <v>284.48000000000002</v>
      </c>
      <c r="L117" s="17">
        <f t="shared" si="6"/>
        <v>28.448</v>
      </c>
      <c r="M117" s="18">
        <v>10</v>
      </c>
      <c r="N117" s="18">
        <v>7112</v>
      </c>
      <c r="O117" s="19" t="s">
        <v>39</v>
      </c>
      <c r="P117" s="19">
        <v>4500</v>
      </c>
    </row>
    <row r="118" ht="15.6">
      <c r="A118" s="12" t="s">
        <v>36</v>
      </c>
      <c r="B118" s="12">
        <v>18</v>
      </c>
      <c r="C118" s="13">
        <v>151.59999999999999</v>
      </c>
      <c r="D118" s="13" t="s">
        <v>30</v>
      </c>
      <c r="E118" s="13">
        <v>2020</v>
      </c>
      <c r="F118" s="13" t="s">
        <v>27</v>
      </c>
      <c r="G118" s="14">
        <v>44075</v>
      </c>
      <c r="H118" s="14">
        <v>44073</v>
      </c>
      <c r="I118" s="14">
        <v>44097</v>
      </c>
      <c r="J118" s="15">
        <f t="shared" si="7"/>
        <v>25</v>
      </c>
      <c r="K118" s="16">
        <f t="shared" si="5"/>
        <v>204.40000000000001</v>
      </c>
      <c r="L118" s="17">
        <f t="shared" si="6"/>
        <v>20.440000000000001</v>
      </c>
      <c r="M118" s="18">
        <v>10</v>
      </c>
      <c r="N118" s="18">
        <v>5110</v>
      </c>
      <c r="O118" s="19" t="s">
        <v>39</v>
      </c>
      <c r="P118" s="19">
        <v>4500</v>
      </c>
    </row>
    <row r="119" ht="15.6">
      <c r="A119" s="12" t="s">
        <v>36</v>
      </c>
      <c r="B119" s="12">
        <v>18</v>
      </c>
      <c r="C119" s="13">
        <v>295</v>
      </c>
      <c r="D119" s="13" t="s">
        <v>31</v>
      </c>
      <c r="E119" s="13">
        <v>2020</v>
      </c>
      <c r="F119" s="13" t="s">
        <v>27</v>
      </c>
      <c r="G119" s="14">
        <v>44105</v>
      </c>
      <c r="H119" s="14">
        <v>44101</v>
      </c>
      <c r="I119" s="14" t="s">
        <v>42</v>
      </c>
      <c r="J119" s="15">
        <v>20</v>
      </c>
      <c r="K119" s="16">
        <f t="shared" si="5"/>
        <v>284</v>
      </c>
      <c r="L119" s="17">
        <f t="shared" si="6"/>
        <v>28.399999999999999</v>
      </c>
      <c r="M119" s="18">
        <v>10</v>
      </c>
      <c r="N119" s="18">
        <v>5680</v>
      </c>
      <c r="O119" s="19" t="s">
        <v>39</v>
      </c>
      <c r="P119" s="19">
        <v>4500</v>
      </c>
    </row>
    <row r="120" ht="15.6">
      <c r="A120" s="12" t="s">
        <v>36</v>
      </c>
      <c r="B120" s="12">
        <v>18</v>
      </c>
      <c r="C120" s="13">
        <v>414.80000000000001</v>
      </c>
      <c r="D120" s="13" t="s">
        <v>32</v>
      </c>
      <c r="E120" s="13">
        <v>2020</v>
      </c>
      <c r="F120" s="13" t="s">
        <v>27</v>
      </c>
      <c r="G120" s="14">
        <v>44136</v>
      </c>
      <c r="H120" s="14">
        <v>44126</v>
      </c>
      <c r="I120" s="14">
        <v>44150</v>
      </c>
      <c r="J120" s="15">
        <f t="shared" si="7"/>
        <v>25</v>
      </c>
      <c r="K120" s="16">
        <f t="shared" si="5"/>
        <v>368.60000000000002</v>
      </c>
      <c r="L120" s="17">
        <f t="shared" si="6"/>
        <v>36.859999999999999</v>
      </c>
      <c r="M120" s="18">
        <v>10</v>
      </c>
      <c r="N120" s="18">
        <v>9215</v>
      </c>
      <c r="O120" s="19" t="s">
        <v>39</v>
      </c>
      <c r="P120" s="19">
        <v>4500</v>
      </c>
    </row>
    <row r="121" ht="15.6">
      <c r="A121" s="12" t="s">
        <v>36</v>
      </c>
      <c r="B121" s="12">
        <v>18</v>
      </c>
      <c r="C121" s="13">
        <v>226.80000000000001</v>
      </c>
      <c r="D121" s="13" t="s">
        <v>33</v>
      </c>
      <c r="E121" s="13">
        <v>2020</v>
      </c>
      <c r="F121" s="13" t="s">
        <v>27</v>
      </c>
      <c r="G121" s="14">
        <v>44166</v>
      </c>
      <c r="H121" s="14">
        <v>44155</v>
      </c>
      <c r="I121" s="14">
        <v>44181</v>
      </c>
      <c r="J121" s="15">
        <f t="shared" si="7"/>
        <v>27</v>
      </c>
      <c r="K121" s="16">
        <f t="shared" si="5"/>
        <v>322.74074074074076</v>
      </c>
      <c r="L121" s="17">
        <f t="shared" si="6"/>
        <v>32.274074074074072</v>
      </c>
      <c r="M121" s="18">
        <v>10</v>
      </c>
      <c r="N121" s="18">
        <v>8714</v>
      </c>
      <c r="O121" s="19" t="s">
        <v>39</v>
      </c>
      <c r="P121" s="19">
        <v>4500</v>
      </c>
    </row>
    <row r="122" ht="15.6">
      <c r="A122" s="12" t="s">
        <v>37</v>
      </c>
      <c r="B122" s="12">
        <v>16</v>
      </c>
      <c r="C122" s="13">
        <v>455.80000000000001</v>
      </c>
      <c r="D122" s="13" t="s">
        <v>17</v>
      </c>
      <c r="E122" s="13">
        <v>2020</v>
      </c>
      <c r="F122" s="13" t="s">
        <v>18</v>
      </c>
      <c r="G122" s="14">
        <v>43831</v>
      </c>
      <c r="H122" s="14">
        <v>43844</v>
      </c>
      <c r="I122" s="14">
        <v>43873</v>
      </c>
      <c r="J122" s="15">
        <f t="shared" si="7"/>
        <v>30</v>
      </c>
      <c r="K122" s="16">
        <f t="shared" si="5"/>
        <v>485.69999999999999</v>
      </c>
      <c r="L122" s="17">
        <f t="shared" si="6"/>
        <v>48.57</v>
      </c>
      <c r="M122" s="18">
        <v>10</v>
      </c>
      <c r="N122" s="18">
        <v>14571</v>
      </c>
      <c r="O122" s="19" t="s">
        <v>19</v>
      </c>
      <c r="P122" s="19">
        <v>7500</v>
      </c>
    </row>
    <row r="123" ht="15.6">
      <c r="A123" s="12" t="s">
        <v>37</v>
      </c>
      <c r="B123" s="12">
        <v>16</v>
      </c>
      <c r="C123" s="13">
        <v>553.79999999999995</v>
      </c>
      <c r="D123" s="13" t="s">
        <v>20</v>
      </c>
      <c r="E123" s="13">
        <v>2020</v>
      </c>
      <c r="F123" s="13" t="s">
        <v>21</v>
      </c>
      <c r="G123" s="14">
        <v>43862</v>
      </c>
      <c r="H123" s="14">
        <v>43886</v>
      </c>
      <c r="I123" s="14">
        <v>43908</v>
      </c>
      <c r="J123" s="15">
        <f t="shared" si="7"/>
        <v>23</v>
      </c>
      <c r="K123" s="16">
        <f t="shared" ref="K123:K186" si="8">N123/J123</f>
        <v>270.13043478260869</v>
      </c>
      <c r="L123" s="17">
        <f t="shared" ref="L123:L186" si="9">N123/(M123*J123)</f>
        <v>27.013043478260869</v>
      </c>
      <c r="M123" s="18">
        <v>10</v>
      </c>
      <c r="N123" s="18">
        <v>6213</v>
      </c>
      <c r="O123" s="19" t="s">
        <v>19</v>
      </c>
      <c r="P123" s="19">
        <v>7500</v>
      </c>
    </row>
    <row r="124" ht="15.6">
      <c r="A124" s="12" t="s">
        <v>37</v>
      </c>
      <c r="B124" s="12">
        <v>16</v>
      </c>
      <c r="C124" s="13">
        <v>570.39999999999998</v>
      </c>
      <c r="D124" s="13" t="s">
        <v>22</v>
      </c>
      <c r="E124" s="13">
        <v>2020</v>
      </c>
      <c r="F124" s="13" t="s">
        <v>21</v>
      </c>
      <c r="G124" s="14">
        <v>43891</v>
      </c>
      <c r="H124" s="14">
        <v>43916</v>
      </c>
      <c r="I124" s="14">
        <v>43940</v>
      </c>
      <c r="J124" s="15">
        <f t="shared" si="7"/>
        <v>25</v>
      </c>
      <c r="K124" s="16">
        <f t="shared" si="8"/>
        <v>320.60000000000002</v>
      </c>
      <c r="L124" s="17">
        <f t="shared" si="9"/>
        <v>32.060000000000002</v>
      </c>
      <c r="M124" s="18">
        <v>10</v>
      </c>
      <c r="N124" s="18">
        <v>8015</v>
      </c>
      <c r="O124" s="19" t="s">
        <v>19</v>
      </c>
      <c r="P124" s="19">
        <v>7500</v>
      </c>
    </row>
    <row r="125" ht="15.6">
      <c r="A125" s="12" t="s">
        <v>37</v>
      </c>
      <c r="B125" s="12">
        <v>16</v>
      </c>
      <c r="C125" s="13">
        <v>444</v>
      </c>
      <c r="D125" s="13" t="s">
        <v>23</v>
      </c>
      <c r="E125" s="13">
        <v>2020</v>
      </c>
      <c r="F125" s="13" t="s">
        <v>21</v>
      </c>
      <c r="G125" s="14">
        <v>43922</v>
      </c>
      <c r="H125" s="14">
        <v>43944</v>
      </c>
      <c r="I125" s="14">
        <v>43965</v>
      </c>
      <c r="J125" s="15">
        <f t="shared" si="7"/>
        <v>22</v>
      </c>
      <c r="K125" s="16">
        <f t="shared" si="8"/>
        <v>411.22727272727275</v>
      </c>
      <c r="L125" s="17">
        <f t="shared" si="9"/>
        <v>41.122727272727275</v>
      </c>
      <c r="M125" s="18">
        <v>10</v>
      </c>
      <c r="N125" s="18">
        <v>9047</v>
      </c>
      <c r="O125" s="19" t="s">
        <v>19</v>
      </c>
      <c r="P125" s="19">
        <v>7500</v>
      </c>
    </row>
    <row r="126" ht="15.6">
      <c r="A126" s="12" t="s">
        <v>37</v>
      </c>
      <c r="B126" s="12">
        <v>16</v>
      </c>
      <c r="C126" s="13">
        <v>452.19999999999999</v>
      </c>
      <c r="D126" s="13" t="s">
        <v>24</v>
      </c>
      <c r="E126" s="13">
        <v>2020</v>
      </c>
      <c r="F126" s="13" t="s">
        <v>21</v>
      </c>
      <c r="G126" s="14">
        <v>43952</v>
      </c>
      <c r="H126" s="14">
        <v>43969</v>
      </c>
      <c r="I126" s="14">
        <v>43984</v>
      </c>
      <c r="J126" s="15">
        <f t="shared" si="7"/>
        <v>16</v>
      </c>
      <c r="K126" s="16">
        <f t="shared" si="8"/>
        <v>549.8125</v>
      </c>
      <c r="L126" s="17">
        <f t="shared" si="9"/>
        <v>54.981250000000003</v>
      </c>
      <c r="M126" s="18">
        <v>10</v>
      </c>
      <c r="N126" s="18">
        <v>8797</v>
      </c>
      <c r="O126" s="19" t="s">
        <v>19</v>
      </c>
      <c r="P126" s="19">
        <v>7500</v>
      </c>
    </row>
    <row r="127" ht="15.6">
      <c r="A127" s="12" t="s">
        <v>37</v>
      </c>
      <c r="B127" s="12">
        <v>16</v>
      </c>
      <c r="C127" s="13">
        <v>248.80000000000001</v>
      </c>
      <c r="D127" s="13" t="s">
        <v>25</v>
      </c>
      <c r="E127" s="13">
        <v>2020</v>
      </c>
      <c r="F127" s="13" t="s">
        <v>21</v>
      </c>
      <c r="G127" s="14">
        <v>43983</v>
      </c>
      <c r="H127" s="14">
        <v>43991</v>
      </c>
      <c r="I127" s="14">
        <v>44015</v>
      </c>
      <c r="J127" s="15">
        <f t="shared" si="7"/>
        <v>25</v>
      </c>
      <c r="K127" s="16">
        <f t="shared" si="8"/>
        <v>254.08000000000001</v>
      </c>
      <c r="L127" s="17">
        <f t="shared" si="9"/>
        <v>25.408000000000001</v>
      </c>
      <c r="M127" s="18">
        <v>10</v>
      </c>
      <c r="N127" s="18">
        <v>6352</v>
      </c>
      <c r="O127" s="19" t="s">
        <v>19</v>
      </c>
      <c r="P127" s="19">
        <v>7500</v>
      </c>
    </row>
    <row r="128" ht="15.6">
      <c r="A128" s="12" t="s">
        <v>37</v>
      </c>
      <c r="B128" s="12">
        <v>16</v>
      </c>
      <c r="C128" s="13">
        <v>151.59999999999999</v>
      </c>
      <c r="D128" s="13" t="s">
        <v>26</v>
      </c>
      <c r="E128" s="13">
        <v>2020</v>
      </c>
      <c r="F128" s="13" t="s">
        <v>27</v>
      </c>
      <c r="G128" s="14">
        <v>44013</v>
      </c>
      <c r="H128" s="14">
        <v>44024</v>
      </c>
      <c r="I128" s="14">
        <v>44047</v>
      </c>
      <c r="J128" s="15">
        <f t="shared" si="7"/>
        <v>24</v>
      </c>
      <c r="K128" s="16">
        <f t="shared" si="8"/>
        <v>421.95833333333331</v>
      </c>
      <c r="L128" s="17">
        <f t="shared" si="9"/>
        <v>42.195833333333333</v>
      </c>
      <c r="M128" s="18">
        <v>10</v>
      </c>
      <c r="N128" s="18">
        <v>10127</v>
      </c>
      <c r="O128" s="19" t="s">
        <v>19</v>
      </c>
      <c r="P128" s="19">
        <v>7500</v>
      </c>
    </row>
    <row r="129" ht="15.6">
      <c r="A129" s="12" t="s">
        <v>37</v>
      </c>
      <c r="B129" s="12">
        <v>16</v>
      </c>
      <c r="C129" s="13">
        <v>110.8</v>
      </c>
      <c r="D129" s="13" t="s">
        <v>28</v>
      </c>
      <c r="E129" s="13">
        <v>2020</v>
      </c>
      <c r="F129" s="13" t="s">
        <v>29</v>
      </c>
      <c r="G129" s="14">
        <v>44044</v>
      </c>
      <c r="H129" s="14">
        <v>44058</v>
      </c>
      <c r="I129" s="14">
        <v>44079</v>
      </c>
      <c r="J129" s="15">
        <f t="shared" si="7"/>
        <v>22</v>
      </c>
      <c r="K129" s="16">
        <f t="shared" si="8"/>
        <v>453.68181818181819</v>
      </c>
      <c r="L129" s="17">
        <f t="shared" si="9"/>
        <v>45.368181818181817</v>
      </c>
      <c r="M129" s="18">
        <v>10</v>
      </c>
      <c r="N129" s="18">
        <v>9981</v>
      </c>
      <c r="O129" s="19" t="s">
        <v>19</v>
      </c>
      <c r="P129" s="19">
        <v>7500</v>
      </c>
    </row>
    <row r="130" ht="15.6">
      <c r="A130" s="12" t="s">
        <v>37</v>
      </c>
      <c r="B130" s="12">
        <v>16</v>
      </c>
      <c r="C130" s="13">
        <v>151.59999999999999</v>
      </c>
      <c r="D130" s="13" t="s">
        <v>30</v>
      </c>
      <c r="E130" s="13">
        <v>2020</v>
      </c>
      <c r="F130" s="13" t="s">
        <v>27</v>
      </c>
      <c r="G130" s="14">
        <v>44075</v>
      </c>
      <c r="H130" s="14">
        <v>44086</v>
      </c>
      <c r="I130" s="14">
        <v>44110</v>
      </c>
      <c r="J130" s="15">
        <f t="shared" si="7"/>
        <v>25</v>
      </c>
      <c r="K130" s="16">
        <f t="shared" si="8"/>
        <v>351.63999999999999</v>
      </c>
      <c r="L130" s="17">
        <f t="shared" si="9"/>
        <v>35.164000000000001</v>
      </c>
      <c r="M130" s="18">
        <v>10</v>
      </c>
      <c r="N130" s="18">
        <v>8791</v>
      </c>
      <c r="O130" s="19" t="s">
        <v>19</v>
      </c>
      <c r="P130" s="19">
        <v>7500</v>
      </c>
    </row>
    <row r="131" ht="15.6">
      <c r="A131" s="12" t="s">
        <v>37</v>
      </c>
      <c r="B131" s="12">
        <v>16</v>
      </c>
      <c r="C131" s="13">
        <v>295</v>
      </c>
      <c r="D131" s="13" t="s">
        <v>31</v>
      </c>
      <c r="E131" s="13">
        <v>2020</v>
      </c>
      <c r="F131" s="13" t="s">
        <v>27</v>
      </c>
      <c r="G131" s="14">
        <v>44105</v>
      </c>
      <c r="H131" s="14">
        <v>44115</v>
      </c>
      <c r="I131" s="14">
        <v>44142</v>
      </c>
      <c r="J131" s="15">
        <f t="shared" si="7"/>
        <v>28</v>
      </c>
      <c r="K131" s="16">
        <f t="shared" si="8"/>
        <v>205.82142857142858</v>
      </c>
      <c r="L131" s="17">
        <f t="shared" si="9"/>
        <v>20.582142857142856</v>
      </c>
      <c r="M131" s="18">
        <v>10</v>
      </c>
      <c r="N131" s="18">
        <v>5763</v>
      </c>
      <c r="O131" s="19" t="s">
        <v>19</v>
      </c>
      <c r="P131" s="19">
        <v>7500</v>
      </c>
    </row>
    <row r="132" ht="15.6">
      <c r="A132" s="12" t="s">
        <v>37</v>
      </c>
      <c r="B132" s="12">
        <v>16</v>
      </c>
      <c r="C132" s="13">
        <v>414.80000000000001</v>
      </c>
      <c r="D132" s="13" t="s">
        <v>32</v>
      </c>
      <c r="E132" s="13">
        <v>2020</v>
      </c>
      <c r="F132" s="13" t="s">
        <v>27</v>
      </c>
      <c r="G132" s="14">
        <v>44136</v>
      </c>
      <c r="H132" s="14">
        <v>44149</v>
      </c>
      <c r="I132" s="14">
        <v>44173</v>
      </c>
      <c r="J132" s="15">
        <f t="shared" si="7"/>
        <v>25</v>
      </c>
      <c r="K132" s="16">
        <f t="shared" si="8"/>
        <v>258.36000000000001</v>
      </c>
      <c r="L132" s="17">
        <f t="shared" si="9"/>
        <v>25.835999999999999</v>
      </c>
      <c r="M132" s="18">
        <v>10</v>
      </c>
      <c r="N132" s="18">
        <v>6459</v>
      </c>
      <c r="O132" s="19" t="s">
        <v>19</v>
      </c>
      <c r="P132" s="19">
        <v>7500</v>
      </c>
    </row>
    <row r="133" ht="15.6">
      <c r="A133" s="12" t="s">
        <v>37</v>
      </c>
      <c r="B133" s="12">
        <v>16</v>
      </c>
      <c r="C133" s="13">
        <v>226.80000000000001</v>
      </c>
      <c r="D133" s="13" t="s">
        <v>33</v>
      </c>
      <c r="E133" s="13">
        <v>2020</v>
      </c>
      <c r="F133" s="13" t="s">
        <v>27</v>
      </c>
      <c r="G133" s="14">
        <v>44166</v>
      </c>
      <c r="H133" s="14">
        <v>43835</v>
      </c>
      <c r="I133" s="14">
        <v>43849</v>
      </c>
      <c r="J133" s="15">
        <f t="shared" si="7"/>
        <v>15</v>
      </c>
      <c r="K133" s="16">
        <f t="shared" si="8"/>
        <v>414.06666666666666</v>
      </c>
      <c r="L133" s="17">
        <f t="shared" si="9"/>
        <v>41.406666666666666</v>
      </c>
      <c r="M133" s="18">
        <v>10</v>
      </c>
      <c r="N133" s="18">
        <v>6211</v>
      </c>
      <c r="O133" s="19" t="s">
        <v>19</v>
      </c>
      <c r="P133" s="19">
        <v>7500</v>
      </c>
    </row>
    <row r="134" ht="15.6">
      <c r="A134" s="12" t="s">
        <v>38</v>
      </c>
      <c r="B134" s="12">
        <v>17</v>
      </c>
      <c r="C134" s="13">
        <v>455.80000000000001</v>
      </c>
      <c r="D134" s="13" t="s">
        <v>17</v>
      </c>
      <c r="E134" s="13">
        <v>2020</v>
      </c>
      <c r="F134" s="13" t="s">
        <v>18</v>
      </c>
      <c r="G134" s="14">
        <v>43831</v>
      </c>
      <c r="H134" s="14">
        <v>43856</v>
      </c>
      <c r="I134" s="14">
        <v>43871</v>
      </c>
      <c r="J134" s="15">
        <f t="shared" si="7"/>
        <v>16</v>
      </c>
      <c r="K134" s="16">
        <f t="shared" si="8"/>
        <v>374.4375</v>
      </c>
      <c r="L134" s="17">
        <f t="shared" si="9"/>
        <v>37.443750000000001</v>
      </c>
      <c r="M134" s="18">
        <v>10</v>
      </c>
      <c r="N134" s="18">
        <v>5991</v>
      </c>
      <c r="O134" s="19" t="s">
        <v>39</v>
      </c>
      <c r="P134" s="19">
        <v>3500</v>
      </c>
    </row>
    <row r="135" ht="15.6">
      <c r="A135" s="12" t="s">
        <v>38</v>
      </c>
      <c r="B135" s="12">
        <v>17</v>
      </c>
      <c r="C135" s="13">
        <v>553.79999999999995</v>
      </c>
      <c r="D135" s="13" t="s">
        <v>20</v>
      </c>
      <c r="E135" s="13">
        <v>2020</v>
      </c>
      <c r="F135" s="13" t="s">
        <v>21</v>
      </c>
      <c r="G135" s="14">
        <v>43862</v>
      </c>
      <c r="H135" s="14">
        <v>43878</v>
      </c>
      <c r="I135" s="14">
        <v>43901</v>
      </c>
      <c r="J135" s="15">
        <f t="shared" si="7"/>
        <v>24</v>
      </c>
      <c r="K135" s="16">
        <f t="shared" si="8"/>
        <v>433.79166666666669</v>
      </c>
      <c r="L135" s="17">
        <f t="shared" si="9"/>
        <v>43.37916666666667</v>
      </c>
      <c r="M135" s="18">
        <v>10</v>
      </c>
      <c r="N135" s="18">
        <v>10411</v>
      </c>
      <c r="O135" s="19" t="s">
        <v>39</v>
      </c>
      <c r="P135" s="19">
        <v>3500</v>
      </c>
    </row>
    <row r="136" ht="15.6">
      <c r="A136" s="12" t="s">
        <v>38</v>
      </c>
      <c r="B136" s="12">
        <v>17</v>
      </c>
      <c r="C136" s="13">
        <v>570.39999999999998</v>
      </c>
      <c r="D136" s="13" t="s">
        <v>22</v>
      </c>
      <c r="E136" s="13">
        <v>2020</v>
      </c>
      <c r="F136" s="13" t="s">
        <v>21</v>
      </c>
      <c r="G136" s="14">
        <v>43891</v>
      </c>
      <c r="H136" s="14">
        <v>43918</v>
      </c>
      <c r="I136" s="14">
        <v>43933</v>
      </c>
      <c r="J136" s="15">
        <f t="shared" si="7"/>
        <v>16</v>
      </c>
      <c r="K136" s="16">
        <f t="shared" si="8"/>
        <v>423.375</v>
      </c>
      <c r="L136" s="17">
        <f t="shared" si="9"/>
        <v>42.337499999999999</v>
      </c>
      <c r="M136" s="18">
        <v>10</v>
      </c>
      <c r="N136" s="18">
        <v>6774</v>
      </c>
      <c r="O136" s="19" t="s">
        <v>39</v>
      </c>
      <c r="P136" s="19">
        <v>3500</v>
      </c>
    </row>
    <row r="137" ht="15.6">
      <c r="A137" s="12" t="s">
        <v>38</v>
      </c>
      <c r="B137" s="12">
        <v>17</v>
      </c>
      <c r="C137" s="13">
        <v>444</v>
      </c>
      <c r="D137" s="13" t="s">
        <v>23</v>
      </c>
      <c r="E137" s="13">
        <v>2020</v>
      </c>
      <c r="F137" s="13" t="s">
        <v>21</v>
      </c>
      <c r="G137" s="14">
        <v>43922</v>
      </c>
      <c r="H137" s="14">
        <v>43940</v>
      </c>
      <c r="I137" s="14">
        <v>43964</v>
      </c>
      <c r="J137" s="15">
        <f t="shared" si="7"/>
        <v>25</v>
      </c>
      <c r="K137" s="16">
        <f t="shared" si="8"/>
        <v>311.75999999999999</v>
      </c>
      <c r="L137" s="17">
        <f t="shared" si="9"/>
        <v>31.175999999999998</v>
      </c>
      <c r="M137" s="18">
        <v>10</v>
      </c>
      <c r="N137" s="18">
        <v>7794</v>
      </c>
      <c r="O137" s="19" t="s">
        <v>39</v>
      </c>
      <c r="P137" s="19">
        <v>3500</v>
      </c>
    </row>
    <row r="138" ht="15.6">
      <c r="A138" s="12" t="s">
        <v>38</v>
      </c>
      <c r="B138" s="12">
        <v>17</v>
      </c>
      <c r="C138" s="13">
        <v>452.19999999999999</v>
      </c>
      <c r="D138" s="13" t="s">
        <v>24</v>
      </c>
      <c r="E138" s="13">
        <v>2020</v>
      </c>
      <c r="F138" s="13" t="s">
        <v>21</v>
      </c>
      <c r="G138" s="14">
        <v>43952</v>
      </c>
      <c r="H138" s="14">
        <v>43972</v>
      </c>
      <c r="I138" s="14">
        <v>43996</v>
      </c>
      <c r="J138" s="15">
        <f t="shared" si="7"/>
        <v>25</v>
      </c>
      <c r="K138" s="16">
        <f t="shared" si="8"/>
        <v>280.07999999999998</v>
      </c>
      <c r="L138" s="17">
        <f t="shared" si="9"/>
        <v>28.007999999999999</v>
      </c>
      <c r="M138" s="18">
        <v>10</v>
      </c>
      <c r="N138" s="18">
        <v>7002</v>
      </c>
      <c r="O138" s="19" t="s">
        <v>39</v>
      </c>
      <c r="P138" s="19">
        <v>3500</v>
      </c>
    </row>
    <row r="139" ht="15.6">
      <c r="A139" s="12" t="s">
        <v>38</v>
      </c>
      <c r="B139" s="12">
        <v>17</v>
      </c>
      <c r="C139" s="13">
        <v>248.80000000000001</v>
      </c>
      <c r="D139" s="13" t="s">
        <v>25</v>
      </c>
      <c r="E139" s="13">
        <v>2020</v>
      </c>
      <c r="F139" s="13" t="s">
        <v>21</v>
      </c>
      <c r="G139" s="14">
        <v>43983</v>
      </c>
      <c r="H139" s="14">
        <v>44001</v>
      </c>
      <c r="I139" s="14">
        <v>44027</v>
      </c>
      <c r="J139" s="15">
        <f t="shared" si="7"/>
        <v>27</v>
      </c>
      <c r="K139" s="16">
        <f t="shared" si="8"/>
        <v>259.07407407407408</v>
      </c>
      <c r="L139" s="17">
        <f t="shared" si="9"/>
        <v>25.907407407407408</v>
      </c>
      <c r="M139" s="18">
        <v>10</v>
      </c>
      <c r="N139" s="18">
        <v>6995</v>
      </c>
      <c r="O139" s="19" t="s">
        <v>39</v>
      </c>
      <c r="P139" s="19">
        <v>3500</v>
      </c>
    </row>
    <row r="140" ht="15.6">
      <c r="A140" s="12" t="s">
        <v>38</v>
      </c>
      <c r="B140" s="12">
        <v>17</v>
      </c>
      <c r="C140" s="13">
        <v>151.59999999999999</v>
      </c>
      <c r="D140" s="13" t="s">
        <v>26</v>
      </c>
      <c r="E140" s="13">
        <v>2020</v>
      </c>
      <c r="F140" s="13" t="s">
        <v>27</v>
      </c>
      <c r="G140" s="14">
        <v>44013</v>
      </c>
      <c r="H140" s="14">
        <v>44035</v>
      </c>
      <c r="I140" s="14">
        <v>44059</v>
      </c>
      <c r="J140" s="15">
        <f t="shared" si="7"/>
        <v>25</v>
      </c>
      <c r="K140" s="16">
        <f t="shared" si="8"/>
        <v>199.91999999999999</v>
      </c>
      <c r="L140" s="17">
        <f t="shared" si="9"/>
        <v>19.992000000000001</v>
      </c>
      <c r="M140" s="18">
        <v>10</v>
      </c>
      <c r="N140" s="18">
        <v>4998</v>
      </c>
      <c r="O140" s="19" t="s">
        <v>39</v>
      </c>
      <c r="P140" s="19">
        <v>3500</v>
      </c>
    </row>
    <row r="141" ht="15.6">
      <c r="A141" s="12" t="s">
        <v>38</v>
      </c>
      <c r="B141" s="12">
        <v>17</v>
      </c>
      <c r="C141" s="13">
        <v>110.8</v>
      </c>
      <c r="D141" s="13" t="s">
        <v>28</v>
      </c>
      <c r="E141" s="13">
        <v>2020</v>
      </c>
      <c r="F141" s="13" t="s">
        <v>29</v>
      </c>
      <c r="G141" s="14">
        <v>44044</v>
      </c>
      <c r="H141" s="14">
        <v>44063</v>
      </c>
      <c r="I141" s="14">
        <v>44091</v>
      </c>
      <c r="J141" s="15">
        <f t="shared" si="7"/>
        <v>29</v>
      </c>
      <c r="K141" s="16">
        <f t="shared" si="8"/>
        <v>171.58620689655172</v>
      </c>
      <c r="L141" s="17">
        <f t="shared" si="9"/>
        <v>17.158620689655173</v>
      </c>
      <c r="M141" s="18">
        <v>10</v>
      </c>
      <c r="N141" s="18">
        <v>4976</v>
      </c>
      <c r="O141" s="19" t="s">
        <v>39</v>
      </c>
      <c r="P141" s="19">
        <v>3500</v>
      </c>
    </row>
    <row r="142" ht="15.6">
      <c r="A142" s="12" t="s">
        <v>38</v>
      </c>
      <c r="B142" s="12">
        <v>17</v>
      </c>
      <c r="C142" s="13">
        <v>151.59999999999999</v>
      </c>
      <c r="D142" s="13" t="s">
        <v>30</v>
      </c>
      <c r="E142" s="13">
        <v>2020</v>
      </c>
      <c r="F142" s="13" t="s">
        <v>27</v>
      </c>
      <c r="G142" s="14">
        <v>44075</v>
      </c>
      <c r="H142" s="14">
        <v>44099</v>
      </c>
      <c r="I142" s="14">
        <v>44122</v>
      </c>
      <c r="J142" s="15">
        <f t="shared" ref="J142:J205" si="10">(I142-H142)+1</f>
        <v>24</v>
      </c>
      <c r="K142" s="16">
        <f t="shared" si="8"/>
        <v>412.95833333333331</v>
      </c>
      <c r="L142" s="17">
        <f t="shared" si="9"/>
        <v>41.295833333333334</v>
      </c>
      <c r="M142" s="18">
        <v>10</v>
      </c>
      <c r="N142" s="18">
        <v>9911</v>
      </c>
      <c r="O142" s="19" t="s">
        <v>39</v>
      </c>
      <c r="P142" s="19">
        <v>3500</v>
      </c>
    </row>
    <row r="143" ht="15.6">
      <c r="A143" s="12" t="s">
        <v>38</v>
      </c>
      <c r="B143" s="12">
        <v>17</v>
      </c>
      <c r="C143" s="13">
        <v>295</v>
      </c>
      <c r="D143" s="13" t="s">
        <v>31</v>
      </c>
      <c r="E143" s="13">
        <v>2020</v>
      </c>
      <c r="F143" s="13" t="s">
        <v>27</v>
      </c>
      <c r="G143" s="14">
        <v>44105</v>
      </c>
      <c r="H143" s="14">
        <v>44127</v>
      </c>
      <c r="I143" s="14">
        <v>44154</v>
      </c>
      <c r="J143" s="15">
        <f t="shared" si="10"/>
        <v>28</v>
      </c>
      <c r="K143" s="16">
        <f t="shared" si="8"/>
        <v>179</v>
      </c>
      <c r="L143" s="17">
        <f t="shared" si="9"/>
        <v>17.899999999999999</v>
      </c>
      <c r="M143" s="18">
        <v>10</v>
      </c>
      <c r="N143" s="18">
        <v>5012</v>
      </c>
      <c r="O143" s="19" t="s">
        <v>39</v>
      </c>
      <c r="P143" s="19">
        <v>3500</v>
      </c>
    </row>
    <row r="144" ht="15.6">
      <c r="A144" s="12" t="s">
        <v>38</v>
      </c>
      <c r="B144" s="12">
        <v>17</v>
      </c>
      <c r="C144" s="13">
        <v>414.80000000000001</v>
      </c>
      <c r="D144" s="13" t="s">
        <v>32</v>
      </c>
      <c r="E144" s="13">
        <v>2020</v>
      </c>
      <c r="F144" s="13" t="s">
        <v>27</v>
      </c>
      <c r="G144" s="14">
        <v>44136</v>
      </c>
      <c r="H144" s="14">
        <v>44162</v>
      </c>
      <c r="I144" s="14">
        <v>44185</v>
      </c>
      <c r="J144" s="15">
        <f t="shared" si="10"/>
        <v>24</v>
      </c>
      <c r="K144" s="16">
        <f t="shared" si="8"/>
        <v>380.29166666666669</v>
      </c>
      <c r="L144" s="17">
        <f t="shared" si="9"/>
        <v>38.029166666666669</v>
      </c>
      <c r="M144" s="18">
        <v>10</v>
      </c>
      <c r="N144" s="18">
        <v>9127</v>
      </c>
      <c r="O144" s="19" t="s">
        <v>39</v>
      </c>
      <c r="P144" s="19">
        <v>3500</v>
      </c>
    </row>
    <row r="145" ht="15.6">
      <c r="A145" s="12" t="s">
        <v>38</v>
      </c>
      <c r="B145" s="12">
        <v>17</v>
      </c>
      <c r="C145" s="13">
        <v>226.80000000000001</v>
      </c>
      <c r="D145" s="13" t="s">
        <v>33</v>
      </c>
      <c r="E145" s="13">
        <v>2020</v>
      </c>
      <c r="F145" s="13" t="s">
        <v>27</v>
      </c>
      <c r="G145" s="14">
        <v>44166</v>
      </c>
      <c r="H145" s="14">
        <v>44173</v>
      </c>
      <c r="I145" s="14">
        <v>44190</v>
      </c>
      <c r="J145" s="15">
        <f t="shared" si="10"/>
        <v>18</v>
      </c>
      <c r="K145" s="16">
        <f t="shared" si="8"/>
        <v>369.5</v>
      </c>
      <c r="L145" s="17">
        <f t="shared" si="9"/>
        <v>36.950000000000003</v>
      </c>
      <c r="M145" s="18">
        <v>10</v>
      </c>
      <c r="N145" s="18">
        <v>6651</v>
      </c>
      <c r="O145" s="19" t="s">
        <v>39</v>
      </c>
      <c r="P145" s="19">
        <v>3500</v>
      </c>
    </row>
    <row r="146" ht="15.6">
      <c r="A146" s="12" t="s">
        <v>40</v>
      </c>
      <c r="B146" s="12">
        <v>17</v>
      </c>
      <c r="C146" s="13">
        <v>455.80000000000001</v>
      </c>
      <c r="D146" s="13" t="s">
        <v>17</v>
      </c>
      <c r="E146" s="13">
        <v>2020</v>
      </c>
      <c r="F146" s="13" t="s">
        <v>18</v>
      </c>
      <c r="G146" s="14">
        <v>43831</v>
      </c>
      <c r="H146" s="14">
        <v>43839</v>
      </c>
      <c r="I146" s="14">
        <v>43854</v>
      </c>
      <c r="J146" s="15">
        <f t="shared" si="10"/>
        <v>16</v>
      </c>
      <c r="K146" s="16">
        <f t="shared" si="8"/>
        <v>278.25</v>
      </c>
      <c r="L146" s="17">
        <f t="shared" si="9"/>
        <v>27.824999999999999</v>
      </c>
      <c r="M146" s="18">
        <v>10</v>
      </c>
      <c r="N146" s="20">
        <v>4452</v>
      </c>
      <c r="O146" s="19" t="s">
        <v>39</v>
      </c>
      <c r="P146" s="19">
        <v>4000</v>
      </c>
    </row>
    <row r="147" ht="15.6">
      <c r="A147" s="12" t="s">
        <v>40</v>
      </c>
      <c r="B147" s="12">
        <v>17</v>
      </c>
      <c r="C147" s="13">
        <v>553.79999999999995</v>
      </c>
      <c r="D147" s="13" t="s">
        <v>20</v>
      </c>
      <c r="E147" s="13">
        <v>2020</v>
      </c>
      <c r="F147" s="13" t="s">
        <v>21</v>
      </c>
      <c r="G147" s="14">
        <v>43862</v>
      </c>
      <c r="H147" s="14">
        <v>43871</v>
      </c>
      <c r="I147" s="14">
        <v>43889</v>
      </c>
      <c r="J147" s="15">
        <f t="shared" si="10"/>
        <v>19</v>
      </c>
      <c r="K147" s="16">
        <f t="shared" si="8"/>
        <v>293.63157894736844</v>
      </c>
      <c r="L147" s="17">
        <f t="shared" si="9"/>
        <v>29.36315789473684</v>
      </c>
      <c r="M147" s="18">
        <v>10</v>
      </c>
      <c r="N147" s="20">
        <v>5579</v>
      </c>
      <c r="O147" s="19" t="s">
        <v>39</v>
      </c>
      <c r="P147" s="19">
        <v>4000</v>
      </c>
    </row>
    <row r="148" ht="15.6">
      <c r="A148" s="12" t="s">
        <v>40</v>
      </c>
      <c r="B148" s="12">
        <v>17</v>
      </c>
      <c r="C148" s="13">
        <v>570.39999999999998</v>
      </c>
      <c r="D148" s="13" t="s">
        <v>22</v>
      </c>
      <c r="E148" s="13">
        <v>2020</v>
      </c>
      <c r="F148" s="13" t="s">
        <v>21</v>
      </c>
      <c r="G148" s="14">
        <v>43891</v>
      </c>
      <c r="H148" s="14">
        <v>43895</v>
      </c>
      <c r="I148" s="14">
        <v>43914</v>
      </c>
      <c r="J148" s="15">
        <f t="shared" si="10"/>
        <v>20</v>
      </c>
      <c r="K148" s="16">
        <f t="shared" si="8"/>
        <v>239.94999999999999</v>
      </c>
      <c r="L148" s="17">
        <f t="shared" si="9"/>
        <v>23.995000000000001</v>
      </c>
      <c r="M148" s="18">
        <v>10</v>
      </c>
      <c r="N148" s="18">
        <v>4799</v>
      </c>
      <c r="O148" s="19" t="s">
        <v>39</v>
      </c>
      <c r="P148" s="19">
        <v>4000</v>
      </c>
    </row>
    <row r="149" ht="15.6">
      <c r="A149" s="12" t="s">
        <v>40</v>
      </c>
      <c r="B149" s="12">
        <v>17</v>
      </c>
      <c r="C149" s="13">
        <v>444</v>
      </c>
      <c r="D149" s="13" t="s">
        <v>23</v>
      </c>
      <c r="E149" s="13">
        <v>2020</v>
      </c>
      <c r="F149" s="13" t="s">
        <v>21</v>
      </c>
      <c r="G149" s="14">
        <v>43922</v>
      </c>
      <c r="H149" s="14">
        <v>43923</v>
      </c>
      <c r="I149" s="14">
        <v>43946</v>
      </c>
      <c r="J149" s="15">
        <f t="shared" si="10"/>
        <v>24</v>
      </c>
      <c r="K149" s="16">
        <f t="shared" si="8"/>
        <v>139.875</v>
      </c>
      <c r="L149" s="17">
        <f t="shared" si="9"/>
        <v>13.987500000000001</v>
      </c>
      <c r="M149" s="18">
        <v>10</v>
      </c>
      <c r="N149" s="18">
        <v>3357</v>
      </c>
      <c r="O149" s="19" t="s">
        <v>39</v>
      </c>
      <c r="P149" s="19">
        <v>4000</v>
      </c>
    </row>
    <row r="150" ht="15.6">
      <c r="A150" s="12" t="s">
        <v>40</v>
      </c>
      <c r="B150" s="12">
        <v>17</v>
      </c>
      <c r="C150" s="13">
        <v>452.19999999999999</v>
      </c>
      <c r="D150" s="13" t="s">
        <v>24</v>
      </c>
      <c r="E150" s="13">
        <v>2020</v>
      </c>
      <c r="F150" s="13" t="s">
        <v>21</v>
      </c>
      <c r="G150" s="14">
        <v>43952</v>
      </c>
      <c r="H150" s="14">
        <v>43954</v>
      </c>
      <c r="I150" s="14">
        <v>43977</v>
      </c>
      <c r="J150" s="15">
        <f t="shared" si="10"/>
        <v>24</v>
      </c>
      <c r="K150" s="16">
        <f t="shared" si="8"/>
        <v>276.33333333333331</v>
      </c>
      <c r="L150" s="17">
        <f t="shared" si="9"/>
        <v>27.633333333333333</v>
      </c>
      <c r="M150" s="18">
        <v>10</v>
      </c>
      <c r="N150" s="18">
        <v>6632</v>
      </c>
      <c r="O150" s="19" t="s">
        <v>39</v>
      </c>
      <c r="P150" s="19">
        <v>4000</v>
      </c>
    </row>
    <row r="151" ht="15.6">
      <c r="A151" s="12" t="s">
        <v>40</v>
      </c>
      <c r="B151" s="12">
        <v>17</v>
      </c>
      <c r="C151" s="13">
        <v>248.80000000000001</v>
      </c>
      <c r="D151" s="13" t="s">
        <v>25</v>
      </c>
      <c r="E151" s="13">
        <v>2020</v>
      </c>
      <c r="F151" s="13" t="s">
        <v>21</v>
      </c>
      <c r="G151" s="14">
        <v>43983</v>
      </c>
      <c r="H151" s="14">
        <v>43983</v>
      </c>
      <c r="I151" s="14">
        <v>44009</v>
      </c>
      <c r="J151" s="15">
        <f t="shared" si="10"/>
        <v>27</v>
      </c>
      <c r="K151" s="16">
        <f t="shared" si="8"/>
        <v>211.03703703703704</v>
      </c>
      <c r="L151" s="17">
        <f t="shared" si="9"/>
        <v>21.103703703703705</v>
      </c>
      <c r="M151" s="18">
        <v>10</v>
      </c>
      <c r="N151" s="18">
        <v>5698</v>
      </c>
      <c r="O151" s="19" t="s">
        <v>39</v>
      </c>
      <c r="P151" s="19">
        <v>4000</v>
      </c>
    </row>
    <row r="152" ht="15.6">
      <c r="A152" s="12" t="s">
        <v>40</v>
      </c>
      <c r="B152" s="12">
        <v>17</v>
      </c>
      <c r="C152" s="13">
        <v>151.59999999999999</v>
      </c>
      <c r="D152" s="13" t="s">
        <v>26</v>
      </c>
      <c r="E152" s="13">
        <v>2020</v>
      </c>
      <c r="F152" s="13" t="s">
        <v>27</v>
      </c>
      <c r="G152" s="14">
        <v>44013</v>
      </c>
      <c r="H152" s="14">
        <v>44022</v>
      </c>
      <c r="I152" s="14">
        <v>44040</v>
      </c>
      <c r="J152" s="15">
        <f t="shared" si="10"/>
        <v>19</v>
      </c>
      <c r="K152" s="16">
        <f t="shared" si="8"/>
        <v>524.26315789473688</v>
      </c>
      <c r="L152" s="17">
        <f t="shared" si="9"/>
        <v>52.426315789473684</v>
      </c>
      <c r="M152" s="18">
        <v>10</v>
      </c>
      <c r="N152" s="18">
        <v>9961</v>
      </c>
      <c r="O152" s="19" t="s">
        <v>39</v>
      </c>
      <c r="P152" s="19">
        <v>4000</v>
      </c>
    </row>
    <row r="153" ht="15.6">
      <c r="A153" s="12" t="s">
        <v>40</v>
      </c>
      <c r="B153" s="12">
        <v>17</v>
      </c>
      <c r="C153" s="13">
        <v>110.8</v>
      </c>
      <c r="D153" s="13" t="s">
        <v>28</v>
      </c>
      <c r="E153" s="13">
        <v>2020</v>
      </c>
      <c r="F153" s="13" t="s">
        <v>29</v>
      </c>
      <c r="G153" s="14">
        <v>44044</v>
      </c>
      <c r="H153" s="14">
        <v>44049</v>
      </c>
      <c r="I153" s="14">
        <v>44072</v>
      </c>
      <c r="J153" s="15">
        <f t="shared" si="10"/>
        <v>24</v>
      </c>
      <c r="K153" s="16">
        <f t="shared" si="8"/>
        <v>249.91666666666666</v>
      </c>
      <c r="L153" s="17">
        <f t="shared" si="9"/>
        <v>24.991666666666667</v>
      </c>
      <c r="M153" s="18">
        <v>10</v>
      </c>
      <c r="N153" s="18">
        <v>5998</v>
      </c>
      <c r="O153" s="19" t="s">
        <v>39</v>
      </c>
      <c r="P153" s="19">
        <v>4000</v>
      </c>
    </row>
    <row r="154" ht="15.6">
      <c r="A154" s="12" t="s">
        <v>40</v>
      </c>
      <c r="B154" s="12">
        <v>17</v>
      </c>
      <c r="C154" s="13">
        <v>151.59999999999999</v>
      </c>
      <c r="D154" s="13" t="s">
        <v>30</v>
      </c>
      <c r="E154" s="13">
        <v>2020</v>
      </c>
      <c r="F154" s="13" t="s">
        <v>27</v>
      </c>
      <c r="G154" s="14">
        <v>44075</v>
      </c>
      <c r="H154" s="14">
        <v>44081</v>
      </c>
      <c r="I154" s="14">
        <v>44099</v>
      </c>
      <c r="J154" s="15">
        <f t="shared" si="10"/>
        <v>19</v>
      </c>
      <c r="K154" s="16">
        <f t="shared" si="8"/>
        <v>392.05263157894734</v>
      </c>
      <c r="L154" s="17">
        <f t="shared" si="9"/>
        <v>39.205263157894734</v>
      </c>
      <c r="M154" s="18">
        <v>10</v>
      </c>
      <c r="N154" s="18">
        <v>7449</v>
      </c>
      <c r="O154" s="19" t="s">
        <v>39</v>
      </c>
      <c r="P154" s="19">
        <v>4000</v>
      </c>
    </row>
    <row r="155" ht="15.6">
      <c r="A155" s="12" t="s">
        <v>40</v>
      </c>
      <c r="B155" s="12">
        <v>17</v>
      </c>
      <c r="C155" s="13">
        <v>295</v>
      </c>
      <c r="D155" s="13" t="s">
        <v>31</v>
      </c>
      <c r="E155" s="13">
        <v>2020</v>
      </c>
      <c r="F155" s="13" t="s">
        <v>27</v>
      </c>
      <c r="G155" s="14">
        <v>44105</v>
      </c>
      <c r="H155" s="14">
        <v>44118</v>
      </c>
      <c r="I155" s="14">
        <v>44135</v>
      </c>
      <c r="J155" s="15">
        <v>18</v>
      </c>
      <c r="K155" s="16">
        <f t="shared" si="8"/>
        <v>547.5</v>
      </c>
      <c r="L155" s="17">
        <f t="shared" si="9"/>
        <v>54.75</v>
      </c>
      <c r="M155" s="18">
        <v>10</v>
      </c>
      <c r="N155" s="18">
        <v>9855</v>
      </c>
      <c r="O155" s="19" t="s">
        <v>39</v>
      </c>
      <c r="P155" s="19">
        <v>4000</v>
      </c>
    </row>
    <row r="156" ht="15.6">
      <c r="A156" s="12" t="s">
        <v>40</v>
      </c>
      <c r="B156" s="12">
        <v>17</v>
      </c>
      <c r="C156" s="13">
        <v>414.80000000000001</v>
      </c>
      <c r="D156" s="13" t="s">
        <v>32</v>
      </c>
      <c r="E156" s="13">
        <v>2020</v>
      </c>
      <c r="F156" s="13" t="s">
        <v>27</v>
      </c>
      <c r="G156" s="14">
        <v>44136</v>
      </c>
      <c r="H156" s="14">
        <v>44140</v>
      </c>
      <c r="I156" s="14">
        <v>44157</v>
      </c>
      <c r="J156" s="15">
        <f t="shared" si="10"/>
        <v>18</v>
      </c>
      <c r="K156" s="16">
        <f t="shared" si="8"/>
        <v>367.33333333333331</v>
      </c>
      <c r="L156" s="17">
        <f t="shared" si="9"/>
        <v>36.733333333333334</v>
      </c>
      <c r="M156" s="18">
        <v>10</v>
      </c>
      <c r="N156" s="18">
        <v>6612</v>
      </c>
      <c r="O156" s="19" t="s">
        <v>39</v>
      </c>
      <c r="P156" s="19">
        <v>4000</v>
      </c>
    </row>
    <row r="157" ht="15.6">
      <c r="A157" s="12" t="s">
        <v>40</v>
      </c>
      <c r="B157" s="12">
        <v>17</v>
      </c>
      <c r="C157" s="13">
        <v>226.80000000000001</v>
      </c>
      <c r="D157" s="13" t="s">
        <v>33</v>
      </c>
      <c r="E157" s="13">
        <v>2020</v>
      </c>
      <c r="F157" s="13" t="s">
        <v>27</v>
      </c>
      <c r="G157" s="14">
        <v>44166</v>
      </c>
      <c r="H157" s="14">
        <v>44168</v>
      </c>
      <c r="I157" s="14">
        <v>44187</v>
      </c>
      <c r="J157" s="15">
        <f t="shared" si="10"/>
        <v>20</v>
      </c>
      <c r="K157" s="16">
        <f t="shared" si="8"/>
        <v>527.70000000000005</v>
      </c>
      <c r="L157" s="17">
        <f t="shared" si="9"/>
        <v>52.770000000000003</v>
      </c>
      <c r="M157" s="18">
        <v>10</v>
      </c>
      <c r="N157" s="18">
        <v>10554</v>
      </c>
      <c r="O157" s="19" t="s">
        <v>39</v>
      </c>
      <c r="P157" s="19">
        <v>4000</v>
      </c>
    </row>
    <row r="158" ht="15.6">
      <c r="A158" s="12" t="s">
        <v>41</v>
      </c>
      <c r="B158" s="12">
        <v>22</v>
      </c>
      <c r="C158" s="13">
        <v>455.80000000000001</v>
      </c>
      <c r="D158" s="13" t="s">
        <v>17</v>
      </c>
      <c r="E158" s="13">
        <v>2020</v>
      </c>
      <c r="F158" s="13" t="s">
        <v>18</v>
      </c>
      <c r="G158" s="14">
        <v>43831</v>
      </c>
      <c r="H158" s="14">
        <v>43835</v>
      </c>
      <c r="I158" s="14">
        <v>43853</v>
      </c>
      <c r="J158" s="15">
        <f t="shared" si="10"/>
        <v>19</v>
      </c>
      <c r="K158" s="16">
        <f t="shared" si="8"/>
        <v>232.10526315789474</v>
      </c>
      <c r="L158" s="17">
        <f t="shared" si="9"/>
        <v>23.210526315789473</v>
      </c>
      <c r="M158" s="18">
        <v>10</v>
      </c>
      <c r="N158" s="18">
        <v>4410</v>
      </c>
      <c r="O158" s="19" t="s">
        <v>39</v>
      </c>
      <c r="P158" s="19">
        <v>5000</v>
      </c>
    </row>
    <row r="159" ht="15.6">
      <c r="A159" s="12" t="s">
        <v>41</v>
      </c>
      <c r="B159" s="12">
        <v>22</v>
      </c>
      <c r="C159" s="13">
        <v>553.79999999999995</v>
      </c>
      <c r="D159" s="13" t="s">
        <v>20</v>
      </c>
      <c r="E159" s="13">
        <v>2020</v>
      </c>
      <c r="F159" s="13" t="s">
        <v>21</v>
      </c>
      <c r="G159" s="14">
        <v>43862</v>
      </c>
      <c r="H159" s="14">
        <v>43859</v>
      </c>
      <c r="I159" s="14">
        <v>43875</v>
      </c>
      <c r="J159" s="15">
        <f t="shared" si="10"/>
        <v>17</v>
      </c>
      <c r="K159" s="16">
        <f t="shared" si="8"/>
        <v>287.11764705882354</v>
      </c>
      <c r="L159" s="17">
        <f t="shared" si="9"/>
        <v>28.711764705882352</v>
      </c>
      <c r="M159" s="18">
        <v>10</v>
      </c>
      <c r="N159" s="18">
        <v>4881</v>
      </c>
      <c r="O159" s="19" t="s">
        <v>39</v>
      </c>
      <c r="P159" s="19">
        <v>5000</v>
      </c>
    </row>
    <row r="160" ht="15.6">
      <c r="A160" s="12" t="s">
        <v>41</v>
      </c>
      <c r="B160" s="12">
        <v>22</v>
      </c>
      <c r="C160" s="13">
        <v>570.39999999999998</v>
      </c>
      <c r="D160" s="13" t="s">
        <v>22</v>
      </c>
      <c r="E160" s="13">
        <v>2020</v>
      </c>
      <c r="F160" s="13" t="s">
        <v>21</v>
      </c>
      <c r="G160" s="14">
        <v>43891</v>
      </c>
      <c r="H160" s="14">
        <v>43879</v>
      </c>
      <c r="I160" s="14">
        <v>43895</v>
      </c>
      <c r="J160" s="15">
        <f t="shared" si="10"/>
        <v>17</v>
      </c>
      <c r="K160" s="16">
        <f t="shared" si="8"/>
        <v>324.23529411764707</v>
      </c>
      <c r="L160" s="17">
        <f t="shared" si="9"/>
        <v>32.423529411764704</v>
      </c>
      <c r="M160" s="18">
        <v>10</v>
      </c>
      <c r="N160" s="18">
        <v>5512</v>
      </c>
      <c r="O160" s="19" t="s">
        <v>39</v>
      </c>
      <c r="P160" s="19">
        <v>5000</v>
      </c>
    </row>
    <row r="161" ht="15.6">
      <c r="A161" s="12" t="s">
        <v>41</v>
      </c>
      <c r="B161" s="12">
        <v>22</v>
      </c>
      <c r="C161" s="13">
        <v>444</v>
      </c>
      <c r="D161" s="13" t="s">
        <v>23</v>
      </c>
      <c r="E161" s="13">
        <v>2020</v>
      </c>
      <c r="F161" s="13" t="s">
        <v>21</v>
      </c>
      <c r="G161" s="14">
        <v>43922</v>
      </c>
      <c r="H161" s="14">
        <v>43899</v>
      </c>
      <c r="I161" s="14">
        <v>43927</v>
      </c>
      <c r="J161" s="15">
        <f t="shared" si="10"/>
        <v>29</v>
      </c>
      <c r="K161" s="16">
        <f t="shared" si="8"/>
        <v>172.48275862068965</v>
      </c>
      <c r="L161" s="17">
        <f t="shared" si="9"/>
        <v>17.248275862068965</v>
      </c>
      <c r="M161" s="18">
        <v>10</v>
      </c>
      <c r="N161" s="18">
        <v>5002</v>
      </c>
      <c r="O161" s="19" t="s">
        <v>39</v>
      </c>
      <c r="P161" s="19">
        <v>5000</v>
      </c>
    </row>
    <row r="162" ht="15.6">
      <c r="A162" s="12" t="s">
        <v>41</v>
      </c>
      <c r="B162" s="12">
        <v>22</v>
      </c>
      <c r="C162" s="13">
        <v>452.19999999999999</v>
      </c>
      <c r="D162" s="13" t="s">
        <v>24</v>
      </c>
      <c r="E162" s="13">
        <v>2020</v>
      </c>
      <c r="F162" s="13" t="s">
        <v>21</v>
      </c>
      <c r="G162" s="14">
        <v>43952</v>
      </c>
      <c r="H162" s="14">
        <v>43936</v>
      </c>
      <c r="I162" s="14">
        <v>43961</v>
      </c>
      <c r="J162" s="15">
        <f t="shared" si="10"/>
        <v>26</v>
      </c>
      <c r="K162" s="16">
        <f t="shared" si="8"/>
        <v>197.19230769230768</v>
      </c>
      <c r="L162" s="17">
        <f t="shared" si="9"/>
        <v>19.719230769230769</v>
      </c>
      <c r="M162" s="18">
        <v>10</v>
      </c>
      <c r="N162" s="18">
        <v>5127</v>
      </c>
      <c r="O162" s="19" t="s">
        <v>39</v>
      </c>
      <c r="P162" s="19">
        <v>5000</v>
      </c>
    </row>
    <row r="163" ht="15.6">
      <c r="A163" s="12" t="s">
        <v>41</v>
      </c>
      <c r="B163" s="12">
        <v>22</v>
      </c>
      <c r="C163" s="13">
        <v>248.80000000000001</v>
      </c>
      <c r="D163" s="13" t="s">
        <v>25</v>
      </c>
      <c r="E163" s="13">
        <v>2020</v>
      </c>
      <c r="F163" s="13" t="s">
        <v>21</v>
      </c>
      <c r="G163" s="14">
        <v>43983</v>
      </c>
      <c r="H163" s="14">
        <v>43969</v>
      </c>
      <c r="I163" s="14">
        <v>43990</v>
      </c>
      <c r="J163" s="15">
        <f t="shared" si="10"/>
        <v>22</v>
      </c>
      <c r="K163" s="16">
        <f t="shared" si="8"/>
        <v>307.90909090909093</v>
      </c>
      <c r="L163" s="17">
        <f t="shared" si="9"/>
        <v>30.790909090909089</v>
      </c>
      <c r="M163" s="18">
        <v>10</v>
      </c>
      <c r="N163" s="18">
        <v>6774</v>
      </c>
      <c r="O163" s="19" t="s">
        <v>39</v>
      </c>
      <c r="P163" s="19">
        <v>5000</v>
      </c>
    </row>
    <row r="164" ht="15.6">
      <c r="A164" s="12" t="s">
        <v>41</v>
      </c>
      <c r="B164" s="12">
        <v>22</v>
      </c>
      <c r="C164" s="13">
        <v>151.59999999999999</v>
      </c>
      <c r="D164" s="13" t="s">
        <v>26</v>
      </c>
      <c r="E164" s="13">
        <v>2020</v>
      </c>
      <c r="F164" s="13" t="s">
        <v>27</v>
      </c>
      <c r="G164" s="14">
        <v>44013</v>
      </c>
      <c r="H164" s="14">
        <v>43999</v>
      </c>
      <c r="I164" s="14">
        <v>44024</v>
      </c>
      <c r="J164" s="15">
        <f t="shared" si="10"/>
        <v>26</v>
      </c>
      <c r="K164" s="16">
        <f t="shared" si="8"/>
        <v>218.76923076923077</v>
      </c>
      <c r="L164" s="17">
        <f t="shared" si="9"/>
        <v>21.876923076923077</v>
      </c>
      <c r="M164" s="18">
        <v>10</v>
      </c>
      <c r="N164" s="18">
        <v>5688</v>
      </c>
      <c r="O164" s="19" t="s">
        <v>39</v>
      </c>
      <c r="P164" s="19">
        <v>5000</v>
      </c>
    </row>
    <row r="165" ht="15.6">
      <c r="A165" s="12" t="s">
        <v>41</v>
      </c>
      <c r="B165" s="12">
        <v>22</v>
      </c>
      <c r="C165" s="13">
        <v>110.8</v>
      </c>
      <c r="D165" s="13" t="s">
        <v>28</v>
      </c>
      <c r="E165" s="13">
        <v>2020</v>
      </c>
      <c r="F165" s="13" t="s">
        <v>29</v>
      </c>
      <c r="G165" s="14">
        <v>44044</v>
      </c>
      <c r="H165" s="14">
        <v>44040</v>
      </c>
      <c r="I165" s="14">
        <v>44053</v>
      </c>
      <c r="J165" s="15">
        <f t="shared" si="10"/>
        <v>14</v>
      </c>
      <c r="K165" s="16">
        <f t="shared" si="8"/>
        <v>442.85714285714283</v>
      </c>
      <c r="L165" s="17">
        <f t="shared" si="9"/>
        <v>44.285714285714285</v>
      </c>
      <c r="M165" s="18">
        <v>10</v>
      </c>
      <c r="N165" s="18">
        <v>6200</v>
      </c>
      <c r="O165" s="19" t="s">
        <v>39</v>
      </c>
      <c r="P165" s="19">
        <v>5000</v>
      </c>
    </row>
    <row r="166" ht="15.6">
      <c r="A166" s="12" t="s">
        <v>41</v>
      </c>
      <c r="B166" s="12">
        <v>22</v>
      </c>
      <c r="C166" s="13">
        <v>151.59999999999999</v>
      </c>
      <c r="D166" s="13" t="s">
        <v>30</v>
      </c>
      <c r="E166" s="13">
        <v>2020</v>
      </c>
      <c r="F166" s="13" t="s">
        <v>27</v>
      </c>
      <c r="G166" s="14">
        <v>44075</v>
      </c>
      <c r="H166" s="14">
        <v>44057</v>
      </c>
      <c r="I166" s="14">
        <v>44085</v>
      </c>
      <c r="J166" s="15">
        <f t="shared" si="10"/>
        <v>29</v>
      </c>
      <c r="K166" s="16">
        <f t="shared" si="8"/>
        <v>231.48275862068965</v>
      </c>
      <c r="L166" s="17">
        <f t="shared" si="9"/>
        <v>23.148275862068967</v>
      </c>
      <c r="M166" s="18">
        <v>10</v>
      </c>
      <c r="N166" s="18">
        <v>6713</v>
      </c>
      <c r="O166" s="19" t="s">
        <v>39</v>
      </c>
      <c r="P166" s="19">
        <v>5000</v>
      </c>
    </row>
    <row r="167" ht="15.6">
      <c r="A167" s="12" t="s">
        <v>41</v>
      </c>
      <c r="B167" s="12">
        <v>22</v>
      </c>
      <c r="C167" s="13">
        <v>295</v>
      </c>
      <c r="D167" s="13" t="s">
        <v>31</v>
      </c>
      <c r="E167" s="13">
        <v>2020</v>
      </c>
      <c r="F167" s="13" t="s">
        <v>27</v>
      </c>
      <c r="G167" s="14">
        <v>44105</v>
      </c>
      <c r="H167" s="14">
        <v>44104</v>
      </c>
      <c r="I167" s="14">
        <v>44121</v>
      </c>
      <c r="J167" s="15">
        <f t="shared" si="10"/>
        <v>18</v>
      </c>
      <c r="K167" s="16">
        <f t="shared" si="8"/>
        <v>455.55555555555554</v>
      </c>
      <c r="L167" s="17">
        <f t="shared" si="9"/>
        <v>45.555555555555557</v>
      </c>
      <c r="M167" s="18">
        <v>10</v>
      </c>
      <c r="N167" s="18">
        <v>8200</v>
      </c>
      <c r="O167" s="19" t="s">
        <v>39</v>
      </c>
      <c r="P167" s="19">
        <v>5000</v>
      </c>
    </row>
    <row r="168" ht="15.6">
      <c r="A168" s="12" t="s">
        <v>41</v>
      </c>
      <c r="B168" s="12">
        <v>22</v>
      </c>
      <c r="C168" s="13">
        <v>414.80000000000001</v>
      </c>
      <c r="D168" s="13" t="s">
        <v>32</v>
      </c>
      <c r="E168" s="13">
        <v>2020</v>
      </c>
      <c r="F168" s="13" t="s">
        <v>27</v>
      </c>
      <c r="G168" s="14">
        <v>44136</v>
      </c>
      <c r="H168" s="14">
        <v>44129</v>
      </c>
      <c r="I168" s="14">
        <v>44148</v>
      </c>
      <c r="J168" s="15">
        <f t="shared" si="10"/>
        <v>20</v>
      </c>
      <c r="K168" s="16">
        <f t="shared" si="8"/>
        <v>495.55000000000001</v>
      </c>
      <c r="L168" s="17">
        <f t="shared" si="9"/>
        <v>49.555</v>
      </c>
      <c r="M168" s="18">
        <v>10</v>
      </c>
      <c r="N168" s="18">
        <v>9911</v>
      </c>
      <c r="O168" s="19" t="s">
        <v>39</v>
      </c>
      <c r="P168" s="19">
        <v>5000</v>
      </c>
    </row>
    <row r="169" ht="15.6">
      <c r="A169" s="12" t="s">
        <v>41</v>
      </c>
      <c r="B169" s="12">
        <v>22</v>
      </c>
      <c r="C169" s="13">
        <v>226.80000000000001</v>
      </c>
      <c r="D169" s="13" t="s">
        <v>33</v>
      </c>
      <c r="E169" s="13">
        <v>2020</v>
      </c>
      <c r="F169" s="13" t="s">
        <v>27</v>
      </c>
      <c r="G169" s="14">
        <v>44166</v>
      </c>
      <c r="H169" s="14">
        <v>44153</v>
      </c>
      <c r="I169" s="14">
        <v>44179</v>
      </c>
      <c r="J169" s="15">
        <f t="shared" si="10"/>
        <v>27</v>
      </c>
      <c r="K169" s="16">
        <f t="shared" si="8"/>
        <v>327.88888888888891</v>
      </c>
      <c r="L169" s="17">
        <f t="shared" si="9"/>
        <v>32.788888888888891</v>
      </c>
      <c r="M169" s="18">
        <v>10</v>
      </c>
      <c r="N169" s="18">
        <v>8853</v>
      </c>
      <c r="O169" s="19" t="s">
        <v>39</v>
      </c>
      <c r="P169" s="19">
        <v>5000</v>
      </c>
    </row>
    <row r="170" ht="15.6">
      <c r="A170" s="12" t="s">
        <v>16</v>
      </c>
      <c r="B170" s="12">
        <v>16</v>
      </c>
      <c r="C170" s="13">
        <v>352.39999999999998</v>
      </c>
      <c r="D170" s="13" t="s">
        <v>17</v>
      </c>
      <c r="E170" s="13">
        <v>2021</v>
      </c>
      <c r="F170" s="13" t="s">
        <v>18</v>
      </c>
      <c r="G170" s="14">
        <v>44197</v>
      </c>
      <c r="H170" s="14">
        <v>44206</v>
      </c>
      <c r="I170" s="14">
        <v>44221</v>
      </c>
      <c r="J170" s="15">
        <f t="shared" si="10"/>
        <v>16</v>
      </c>
      <c r="K170" s="16">
        <f t="shared" si="8"/>
        <v>281.9375</v>
      </c>
      <c r="L170" s="17">
        <f t="shared" si="9"/>
        <v>28.193750000000001</v>
      </c>
      <c r="M170" s="18">
        <v>10</v>
      </c>
      <c r="N170" s="18">
        <v>4511</v>
      </c>
      <c r="O170" s="19" t="s">
        <v>19</v>
      </c>
      <c r="P170" s="19">
        <v>15000</v>
      </c>
    </row>
    <row r="171" ht="15.6">
      <c r="A171" s="12" t="s">
        <v>16</v>
      </c>
      <c r="B171" s="12">
        <v>16</v>
      </c>
      <c r="C171" s="13">
        <v>635.20000000000005</v>
      </c>
      <c r="D171" s="13" t="s">
        <v>20</v>
      </c>
      <c r="E171" s="13">
        <v>2021</v>
      </c>
      <c r="F171" s="13" t="s">
        <v>21</v>
      </c>
      <c r="G171" s="14">
        <v>44228</v>
      </c>
      <c r="H171" s="14">
        <v>44228</v>
      </c>
      <c r="I171" s="14">
        <v>44250</v>
      </c>
      <c r="J171" s="15">
        <f t="shared" si="10"/>
        <v>23</v>
      </c>
      <c r="K171" s="16">
        <f t="shared" si="8"/>
        <v>239.69565217391303</v>
      </c>
      <c r="L171" s="17">
        <f t="shared" si="9"/>
        <v>23.969565217391306</v>
      </c>
      <c r="M171" s="18">
        <v>10</v>
      </c>
      <c r="N171" s="18">
        <v>5513</v>
      </c>
      <c r="O171" s="19" t="s">
        <v>19</v>
      </c>
      <c r="P171" s="19">
        <v>15000</v>
      </c>
    </row>
    <row r="172" ht="15.6">
      <c r="A172" s="12" t="s">
        <v>16</v>
      </c>
      <c r="B172" s="12">
        <v>16</v>
      </c>
      <c r="C172" s="13">
        <v>469.19999999999999</v>
      </c>
      <c r="D172" s="13" t="s">
        <v>22</v>
      </c>
      <c r="E172" s="13">
        <v>2021</v>
      </c>
      <c r="F172" s="13" t="s">
        <v>21</v>
      </c>
      <c r="G172" s="14">
        <v>44256</v>
      </c>
      <c r="H172" s="14">
        <v>44255</v>
      </c>
      <c r="I172" s="14">
        <v>44268</v>
      </c>
      <c r="J172" s="15">
        <f t="shared" si="10"/>
        <v>14</v>
      </c>
      <c r="K172" s="16">
        <f t="shared" si="8"/>
        <v>408.57142857142856</v>
      </c>
      <c r="L172" s="17">
        <f t="shared" si="9"/>
        <v>40.857142857142854</v>
      </c>
      <c r="M172" s="18">
        <v>10</v>
      </c>
      <c r="N172" s="18">
        <v>5720</v>
      </c>
      <c r="O172" s="19" t="s">
        <v>19</v>
      </c>
      <c r="P172" s="19">
        <v>15000</v>
      </c>
    </row>
    <row r="173" ht="15.6">
      <c r="A173" s="12" t="s">
        <v>16</v>
      </c>
      <c r="B173" s="12">
        <v>16</v>
      </c>
      <c r="C173" s="13">
        <v>479</v>
      </c>
      <c r="D173" s="13" t="s">
        <v>23</v>
      </c>
      <c r="E173" s="13">
        <v>2021</v>
      </c>
      <c r="F173" s="13" t="s">
        <v>21</v>
      </c>
      <c r="G173" s="14">
        <v>44287</v>
      </c>
      <c r="H173" s="14">
        <v>44274</v>
      </c>
      <c r="I173" s="14">
        <v>44290</v>
      </c>
      <c r="J173" s="15">
        <f t="shared" si="10"/>
        <v>17</v>
      </c>
      <c r="K173" s="16">
        <f t="shared" si="8"/>
        <v>411.8235294117647</v>
      </c>
      <c r="L173" s="17">
        <f t="shared" si="9"/>
        <v>41.182352941176468</v>
      </c>
      <c r="M173" s="18">
        <v>10</v>
      </c>
      <c r="N173" s="18">
        <v>7001</v>
      </c>
      <c r="O173" s="19" t="s">
        <v>19</v>
      </c>
      <c r="P173" s="19">
        <v>15000</v>
      </c>
    </row>
    <row r="174" ht="15.6">
      <c r="A174" s="12" t="s">
        <v>16</v>
      </c>
      <c r="B174" s="12">
        <v>16</v>
      </c>
      <c r="C174" s="13">
        <v>497.80000000000001</v>
      </c>
      <c r="D174" s="13" t="s">
        <v>24</v>
      </c>
      <c r="E174" s="13">
        <v>2021</v>
      </c>
      <c r="F174" s="13" t="s">
        <v>21</v>
      </c>
      <c r="G174" s="14">
        <v>44317</v>
      </c>
      <c r="H174" s="14">
        <v>44298</v>
      </c>
      <c r="I174" s="14">
        <v>44321</v>
      </c>
      <c r="J174" s="15">
        <f t="shared" si="10"/>
        <v>24</v>
      </c>
      <c r="K174" s="16">
        <f t="shared" si="8"/>
        <v>236.41666666666666</v>
      </c>
      <c r="L174" s="17">
        <f t="shared" si="9"/>
        <v>23.641666666666666</v>
      </c>
      <c r="M174" s="18">
        <v>10</v>
      </c>
      <c r="N174" s="18">
        <v>5674</v>
      </c>
      <c r="O174" s="19" t="s">
        <v>19</v>
      </c>
      <c r="P174" s="19">
        <v>15000</v>
      </c>
    </row>
    <row r="175" ht="15.6">
      <c r="A175" s="12" t="s">
        <v>16</v>
      </c>
      <c r="B175" s="12">
        <v>16</v>
      </c>
      <c r="C175" s="13">
        <v>191</v>
      </c>
      <c r="D175" s="13" t="s">
        <v>25</v>
      </c>
      <c r="E175" s="13">
        <v>2021</v>
      </c>
      <c r="F175" s="13" t="s">
        <v>21</v>
      </c>
      <c r="G175" s="14">
        <v>44348</v>
      </c>
      <c r="H175" s="14">
        <v>44331</v>
      </c>
      <c r="I175" s="14">
        <v>44350</v>
      </c>
      <c r="J175" s="15">
        <f t="shared" si="10"/>
        <v>20</v>
      </c>
      <c r="K175" s="16">
        <f t="shared" si="8"/>
        <v>443.85000000000002</v>
      </c>
      <c r="L175" s="17">
        <f t="shared" si="9"/>
        <v>44.384999999999998</v>
      </c>
      <c r="M175" s="18">
        <v>10</v>
      </c>
      <c r="N175" s="18">
        <v>8877</v>
      </c>
      <c r="O175" s="19" t="s">
        <v>19</v>
      </c>
      <c r="P175" s="19">
        <v>15000</v>
      </c>
    </row>
    <row r="176" ht="15.6">
      <c r="A176" s="12" t="s">
        <v>16</v>
      </c>
      <c r="B176" s="12">
        <v>16</v>
      </c>
      <c r="C176" s="13">
        <v>222.80000000000001</v>
      </c>
      <c r="D176" s="13" t="s">
        <v>26</v>
      </c>
      <c r="E176" s="13">
        <v>2021</v>
      </c>
      <c r="F176" s="13" t="s">
        <v>27</v>
      </c>
      <c r="G176" s="14">
        <v>44378</v>
      </c>
      <c r="H176" s="14">
        <v>44357</v>
      </c>
      <c r="I176" s="14">
        <v>44378</v>
      </c>
      <c r="J176" s="15">
        <f t="shared" si="10"/>
        <v>22</v>
      </c>
      <c r="K176" s="16">
        <f t="shared" si="8"/>
        <v>227.22727272727272</v>
      </c>
      <c r="L176" s="17">
        <f t="shared" si="9"/>
        <v>22.722727272727273</v>
      </c>
      <c r="M176" s="18">
        <v>10</v>
      </c>
      <c r="N176" s="18">
        <v>4999</v>
      </c>
      <c r="O176" s="19" t="s">
        <v>19</v>
      </c>
      <c r="P176" s="19">
        <v>15000</v>
      </c>
    </row>
    <row r="177" ht="15.6">
      <c r="A177" s="12" t="s">
        <v>16</v>
      </c>
      <c r="B177" s="12">
        <v>16</v>
      </c>
      <c r="C177" s="13">
        <v>273.39999999999998</v>
      </c>
      <c r="D177" s="13" t="s">
        <v>28</v>
      </c>
      <c r="E177" s="13">
        <v>2021</v>
      </c>
      <c r="F177" s="13" t="s">
        <v>29</v>
      </c>
      <c r="G177" s="14">
        <v>44409</v>
      </c>
      <c r="H177" s="14">
        <v>44394</v>
      </c>
      <c r="I177" s="14">
        <v>44416</v>
      </c>
      <c r="J177" s="15">
        <f t="shared" si="10"/>
        <v>23</v>
      </c>
      <c r="K177" s="16">
        <f t="shared" si="8"/>
        <v>439.86956521739131</v>
      </c>
      <c r="L177" s="17">
        <f t="shared" si="9"/>
        <v>43.986956521739131</v>
      </c>
      <c r="M177" s="18">
        <v>10</v>
      </c>
      <c r="N177" s="18">
        <v>10117</v>
      </c>
      <c r="O177" s="19" t="s">
        <v>19</v>
      </c>
      <c r="P177" s="19">
        <v>15000</v>
      </c>
    </row>
    <row r="178" ht="15.6">
      <c r="A178" s="12" t="s">
        <v>16</v>
      </c>
      <c r="B178" s="12">
        <v>16</v>
      </c>
      <c r="C178" s="13">
        <v>254</v>
      </c>
      <c r="D178" s="13" t="s">
        <v>30</v>
      </c>
      <c r="E178" s="13">
        <v>2021</v>
      </c>
      <c r="F178" s="13" t="s">
        <v>27</v>
      </c>
      <c r="G178" s="14">
        <v>44440</v>
      </c>
      <c r="H178" s="14">
        <v>44426</v>
      </c>
      <c r="I178" s="14">
        <v>44451</v>
      </c>
      <c r="J178" s="15">
        <f t="shared" si="10"/>
        <v>26</v>
      </c>
      <c r="K178" s="16">
        <f t="shared" si="8"/>
        <v>385.65384615384613</v>
      </c>
      <c r="L178" s="17">
        <f t="shared" si="9"/>
        <v>38.565384615384616</v>
      </c>
      <c r="M178" s="18">
        <v>10</v>
      </c>
      <c r="N178" s="18">
        <v>10027</v>
      </c>
      <c r="O178" s="19" t="s">
        <v>19</v>
      </c>
      <c r="P178" s="19">
        <v>15000</v>
      </c>
    </row>
    <row r="179" ht="15.6">
      <c r="A179" s="12" t="s">
        <v>16</v>
      </c>
      <c r="B179" s="12">
        <v>16</v>
      </c>
      <c r="C179" s="13">
        <v>298.80000000000001</v>
      </c>
      <c r="D179" s="13" t="s">
        <v>31</v>
      </c>
      <c r="E179" s="13">
        <v>2021</v>
      </c>
      <c r="F179" s="13" t="s">
        <v>27</v>
      </c>
      <c r="G179" s="14">
        <v>44470</v>
      </c>
      <c r="H179" s="14">
        <v>44468</v>
      </c>
      <c r="I179" s="14">
        <v>44484</v>
      </c>
      <c r="J179" s="15">
        <f t="shared" si="10"/>
        <v>17</v>
      </c>
      <c r="K179" s="16">
        <f t="shared" si="8"/>
        <v>399.94117647058823</v>
      </c>
      <c r="L179" s="17">
        <f t="shared" si="9"/>
        <v>39.994117647058822</v>
      </c>
      <c r="M179" s="18">
        <v>10</v>
      </c>
      <c r="N179" s="18">
        <v>6799</v>
      </c>
      <c r="O179" s="19" t="s">
        <v>19</v>
      </c>
      <c r="P179" s="19">
        <v>15000</v>
      </c>
    </row>
    <row r="180" ht="15.6">
      <c r="A180" s="12" t="s">
        <v>16</v>
      </c>
      <c r="B180" s="12">
        <v>16</v>
      </c>
      <c r="C180" s="13">
        <v>328.19999999999999</v>
      </c>
      <c r="D180" s="13" t="s">
        <v>32</v>
      </c>
      <c r="E180" s="13">
        <v>2021</v>
      </c>
      <c r="F180" s="13" t="s">
        <v>27</v>
      </c>
      <c r="G180" s="14">
        <v>44501</v>
      </c>
      <c r="H180" s="14">
        <v>44489</v>
      </c>
      <c r="I180" s="14">
        <v>44511</v>
      </c>
      <c r="J180" s="15">
        <f t="shared" si="10"/>
        <v>23</v>
      </c>
      <c r="K180" s="16">
        <f t="shared" si="8"/>
        <v>396.73913043478262</v>
      </c>
      <c r="L180" s="17">
        <f t="shared" si="9"/>
        <v>39.673913043478258</v>
      </c>
      <c r="M180" s="18">
        <v>10</v>
      </c>
      <c r="N180" s="20">
        <v>9125</v>
      </c>
      <c r="O180" s="19" t="s">
        <v>19</v>
      </c>
      <c r="P180" s="19">
        <v>15000</v>
      </c>
    </row>
    <row r="181" ht="15.6">
      <c r="A181" s="12" t="s">
        <v>16</v>
      </c>
      <c r="B181" s="12">
        <v>16</v>
      </c>
      <c r="C181" s="13">
        <v>293.39999999999998</v>
      </c>
      <c r="D181" s="13" t="s">
        <v>33</v>
      </c>
      <c r="E181" s="13">
        <v>2021</v>
      </c>
      <c r="F181" s="13" t="s">
        <v>27</v>
      </c>
      <c r="G181" s="14">
        <v>44531</v>
      </c>
      <c r="H181" s="14">
        <v>44520</v>
      </c>
      <c r="I181" s="14">
        <v>44542</v>
      </c>
      <c r="J181" s="15">
        <f t="shared" si="10"/>
        <v>23</v>
      </c>
      <c r="K181" s="16">
        <f t="shared" si="8"/>
        <v>338.08695652173913</v>
      </c>
      <c r="L181" s="17">
        <f t="shared" si="9"/>
        <v>33.80869565217391</v>
      </c>
      <c r="M181" s="18">
        <v>10</v>
      </c>
      <c r="N181" s="18">
        <v>7776</v>
      </c>
      <c r="O181" s="19" t="s">
        <v>19</v>
      </c>
      <c r="P181" s="19">
        <v>15000</v>
      </c>
    </row>
    <row r="182" ht="15.6">
      <c r="A182" s="12" t="s">
        <v>34</v>
      </c>
      <c r="B182" s="12">
        <v>18</v>
      </c>
      <c r="C182" s="13">
        <v>352.39999999999998</v>
      </c>
      <c r="D182" s="13" t="s">
        <v>17</v>
      </c>
      <c r="E182" s="13">
        <v>2021</v>
      </c>
      <c r="F182" s="13" t="s">
        <v>18</v>
      </c>
      <c r="G182" s="14">
        <v>44197</v>
      </c>
      <c r="H182" s="14">
        <v>44206</v>
      </c>
      <c r="I182" s="14">
        <v>44221</v>
      </c>
      <c r="J182" s="15">
        <f t="shared" si="10"/>
        <v>16</v>
      </c>
      <c r="K182" s="16">
        <f t="shared" si="8"/>
        <v>550.6875</v>
      </c>
      <c r="L182" s="17">
        <f t="shared" si="9"/>
        <v>55.068750000000001</v>
      </c>
      <c r="M182" s="18">
        <v>10</v>
      </c>
      <c r="N182" s="18">
        <v>8811</v>
      </c>
      <c r="O182" s="19" t="s">
        <v>39</v>
      </c>
      <c r="P182" s="19">
        <v>4000</v>
      </c>
    </row>
    <row r="183" ht="15.6">
      <c r="A183" s="12" t="s">
        <v>34</v>
      </c>
      <c r="B183" s="12">
        <v>18</v>
      </c>
      <c r="C183" s="13">
        <v>635.20000000000005</v>
      </c>
      <c r="D183" s="13" t="s">
        <v>20</v>
      </c>
      <c r="E183" s="13">
        <v>2021</v>
      </c>
      <c r="F183" s="13" t="s">
        <v>21</v>
      </c>
      <c r="G183" s="14">
        <v>44228</v>
      </c>
      <c r="H183" s="14">
        <v>44229</v>
      </c>
      <c r="I183" s="14">
        <v>44245</v>
      </c>
      <c r="J183" s="15">
        <f t="shared" si="10"/>
        <v>17</v>
      </c>
      <c r="K183" s="16">
        <f t="shared" si="8"/>
        <v>235.23529411764707</v>
      </c>
      <c r="L183" s="17">
        <f t="shared" si="9"/>
        <v>23.523529411764706</v>
      </c>
      <c r="M183" s="18">
        <v>10</v>
      </c>
      <c r="N183" s="20">
        <v>3999</v>
      </c>
      <c r="O183" s="19" t="s">
        <v>39</v>
      </c>
      <c r="P183" s="19">
        <v>4000</v>
      </c>
    </row>
    <row r="184" ht="15.6">
      <c r="A184" s="12" t="s">
        <v>34</v>
      </c>
      <c r="B184" s="12">
        <v>18</v>
      </c>
      <c r="C184" s="13">
        <v>469.19999999999999</v>
      </c>
      <c r="D184" s="13" t="s">
        <v>22</v>
      </c>
      <c r="E184" s="13">
        <v>2021</v>
      </c>
      <c r="F184" s="13" t="s">
        <v>21</v>
      </c>
      <c r="G184" s="14">
        <v>44256</v>
      </c>
      <c r="H184" s="14">
        <v>44252</v>
      </c>
      <c r="I184" s="14">
        <v>44270</v>
      </c>
      <c r="J184" s="15">
        <f t="shared" si="10"/>
        <v>19</v>
      </c>
      <c r="K184" s="16">
        <f t="shared" si="8"/>
        <v>236.36842105263159</v>
      </c>
      <c r="L184" s="17">
        <f t="shared" si="9"/>
        <v>23.63684210526316</v>
      </c>
      <c r="M184" s="18">
        <v>10</v>
      </c>
      <c r="N184" s="18">
        <v>4491</v>
      </c>
      <c r="O184" s="19" t="s">
        <v>39</v>
      </c>
      <c r="P184" s="19">
        <v>4000</v>
      </c>
    </row>
    <row r="185" ht="15.6">
      <c r="A185" s="12" t="s">
        <v>34</v>
      </c>
      <c r="B185" s="12">
        <v>18</v>
      </c>
      <c r="C185" s="13">
        <v>479</v>
      </c>
      <c r="D185" s="13" t="s">
        <v>23</v>
      </c>
      <c r="E185" s="13">
        <v>2021</v>
      </c>
      <c r="F185" s="13" t="s">
        <v>21</v>
      </c>
      <c r="G185" s="14">
        <v>44287</v>
      </c>
      <c r="H185" s="14">
        <v>44275</v>
      </c>
      <c r="I185" s="14">
        <v>44302</v>
      </c>
      <c r="J185" s="15">
        <f t="shared" si="10"/>
        <v>28</v>
      </c>
      <c r="K185" s="16">
        <f t="shared" si="8"/>
        <v>294.10714285714283</v>
      </c>
      <c r="L185" s="17">
        <f t="shared" si="9"/>
        <v>29.410714285714285</v>
      </c>
      <c r="M185" s="18">
        <v>10</v>
      </c>
      <c r="N185" s="18">
        <v>8235</v>
      </c>
      <c r="O185" s="19" t="s">
        <v>39</v>
      </c>
      <c r="P185" s="19">
        <v>4000</v>
      </c>
    </row>
    <row r="186" ht="15.6">
      <c r="A186" s="12" t="s">
        <v>34</v>
      </c>
      <c r="B186" s="12">
        <v>18</v>
      </c>
      <c r="C186" s="13">
        <v>497.80000000000001</v>
      </c>
      <c r="D186" s="13" t="s">
        <v>24</v>
      </c>
      <c r="E186" s="13">
        <v>2021</v>
      </c>
      <c r="F186" s="13" t="s">
        <v>21</v>
      </c>
      <c r="G186" s="14">
        <v>44317</v>
      </c>
      <c r="H186" s="14">
        <v>44313</v>
      </c>
      <c r="I186" s="14">
        <v>44333</v>
      </c>
      <c r="J186" s="15">
        <f t="shared" si="10"/>
        <v>21</v>
      </c>
      <c r="K186" s="16">
        <f t="shared" si="8"/>
        <v>295.8095238095238</v>
      </c>
      <c r="L186" s="17">
        <f t="shared" si="9"/>
        <v>29.580952380952382</v>
      </c>
      <c r="M186" s="18">
        <v>10</v>
      </c>
      <c r="N186" s="18">
        <v>6212</v>
      </c>
      <c r="O186" s="19" t="s">
        <v>39</v>
      </c>
      <c r="P186" s="19">
        <v>4000</v>
      </c>
    </row>
    <row r="187" ht="15.6">
      <c r="A187" s="12" t="s">
        <v>34</v>
      </c>
      <c r="B187" s="12">
        <v>18</v>
      </c>
      <c r="C187" s="13">
        <v>191</v>
      </c>
      <c r="D187" s="13" t="s">
        <v>25</v>
      </c>
      <c r="E187" s="13">
        <v>2021</v>
      </c>
      <c r="F187" s="13" t="s">
        <v>21</v>
      </c>
      <c r="G187" s="14">
        <v>44348</v>
      </c>
      <c r="H187" s="14">
        <v>44347</v>
      </c>
      <c r="I187" s="14">
        <v>44366</v>
      </c>
      <c r="J187" s="15">
        <f t="shared" si="10"/>
        <v>20</v>
      </c>
      <c r="K187" s="16">
        <f t="shared" ref="K187:K250" si="11">N187/J187</f>
        <v>416</v>
      </c>
      <c r="L187" s="17">
        <f t="shared" ref="L187:L250" si="12">N187/(M187*J187)</f>
        <v>41.600000000000001</v>
      </c>
      <c r="M187" s="18">
        <v>10</v>
      </c>
      <c r="N187" s="18">
        <v>8320</v>
      </c>
      <c r="O187" s="19" t="s">
        <v>39</v>
      </c>
      <c r="P187" s="19">
        <v>4000</v>
      </c>
    </row>
    <row r="188" ht="15.6">
      <c r="A188" s="12" t="s">
        <v>34</v>
      </c>
      <c r="B188" s="12">
        <v>18</v>
      </c>
      <c r="C188" s="13">
        <v>222.80000000000001</v>
      </c>
      <c r="D188" s="13" t="s">
        <v>26</v>
      </c>
      <c r="E188" s="13">
        <v>2021</v>
      </c>
      <c r="F188" s="13" t="s">
        <v>27</v>
      </c>
      <c r="G188" s="14">
        <v>44378</v>
      </c>
      <c r="H188" s="14">
        <v>44374</v>
      </c>
      <c r="I188" s="14">
        <v>44396</v>
      </c>
      <c r="J188" s="15">
        <f t="shared" si="10"/>
        <v>23</v>
      </c>
      <c r="K188" s="16">
        <f t="shared" si="11"/>
        <v>260.30434782608694</v>
      </c>
      <c r="L188" s="17">
        <f t="shared" si="12"/>
        <v>26.030434782608694</v>
      </c>
      <c r="M188" s="18">
        <v>10</v>
      </c>
      <c r="N188" s="18">
        <v>5987</v>
      </c>
      <c r="O188" s="19" t="s">
        <v>39</v>
      </c>
      <c r="P188" s="19">
        <v>4000</v>
      </c>
    </row>
    <row r="189" ht="15.6">
      <c r="A189" s="12" t="s">
        <v>34</v>
      </c>
      <c r="B189" s="12">
        <v>18</v>
      </c>
      <c r="C189" s="13">
        <v>273.39999999999998</v>
      </c>
      <c r="D189" s="13" t="s">
        <v>28</v>
      </c>
      <c r="E189" s="13">
        <v>2021</v>
      </c>
      <c r="F189" s="13" t="s">
        <v>29</v>
      </c>
      <c r="G189" s="14">
        <v>44409</v>
      </c>
      <c r="H189" s="14">
        <v>44402</v>
      </c>
      <c r="I189" s="14">
        <v>44428</v>
      </c>
      <c r="J189" s="15">
        <f t="shared" si="10"/>
        <v>27</v>
      </c>
      <c r="K189" s="16">
        <f t="shared" si="11"/>
        <v>259.18518518518516</v>
      </c>
      <c r="L189" s="17">
        <f t="shared" si="12"/>
        <v>25.918518518518518</v>
      </c>
      <c r="M189" s="18">
        <v>10</v>
      </c>
      <c r="N189" s="18">
        <v>6998</v>
      </c>
      <c r="O189" s="19" t="s">
        <v>39</v>
      </c>
      <c r="P189" s="19">
        <v>4000</v>
      </c>
    </row>
    <row r="190" ht="15.6">
      <c r="A190" s="12" t="s">
        <v>34</v>
      </c>
      <c r="B190" s="12">
        <v>18</v>
      </c>
      <c r="C190" s="13">
        <v>254</v>
      </c>
      <c r="D190" s="13" t="s">
        <v>30</v>
      </c>
      <c r="E190" s="13">
        <v>2021</v>
      </c>
      <c r="F190" s="13" t="s">
        <v>27</v>
      </c>
      <c r="G190" s="14">
        <v>44440</v>
      </c>
      <c r="H190" s="14">
        <v>44448</v>
      </c>
      <c r="I190" s="14">
        <v>44464</v>
      </c>
      <c r="J190" s="15">
        <f t="shared" si="10"/>
        <v>17</v>
      </c>
      <c r="K190" s="16">
        <f t="shared" si="11"/>
        <v>554.29411764705878</v>
      </c>
      <c r="L190" s="17">
        <f t="shared" si="12"/>
        <v>55.429411764705883</v>
      </c>
      <c r="M190" s="18">
        <v>10</v>
      </c>
      <c r="N190" s="18">
        <v>9423</v>
      </c>
      <c r="O190" s="19" t="s">
        <v>39</v>
      </c>
      <c r="P190" s="19">
        <v>4000</v>
      </c>
    </row>
    <row r="191" ht="15.6">
      <c r="A191" s="12" t="s">
        <v>34</v>
      </c>
      <c r="B191" s="12">
        <v>18</v>
      </c>
      <c r="C191" s="13">
        <v>298.80000000000001</v>
      </c>
      <c r="D191" s="13" t="s">
        <v>31</v>
      </c>
      <c r="E191" s="13">
        <v>2021</v>
      </c>
      <c r="F191" s="13" t="s">
        <v>27</v>
      </c>
      <c r="G191" s="14">
        <v>44470</v>
      </c>
      <c r="H191" s="14">
        <v>44476</v>
      </c>
      <c r="I191" s="14">
        <v>44491</v>
      </c>
      <c r="J191" s="15">
        <f t="shared" si="10"/>
        <v>16</v>
      </c>
      <c r="K191" s="16">
        <f t="shared" si="11"/>
        <v>582.625</v>
      </c>
      <c r="L191" s="17">
        <f t="shared" si="12"/>
        <v>58.262500000000003</v>
      </c>
      <c r="M191" s="18">
        <v>10</v>
      </c>
      <c r="N191" s="18">
        <v>9322</v>
      </c>
      <c r="O191" s="19" t="s">
        <v>39</v>
      </c>
      <c r="P191" s="19">
        <v>4000</v>
      </c>
    </row>
    <row r="192" ht="15.6">
      <c r="A192" s="12" t="s">
        <v>34</v>
      </c>
      <c r="B192" s="12">
        <v>18</v>
      </c>
      <c r="C192" s="13">
        <v>328.19999999999999</v>
      </c>
      <c r="D192" s="13" t="s">
        <v>32</v>
      </c>
      <c r="E192" s="13">
        <v>2021</v>
      </c>
      <c r="F192" s="13" t="s">
        <v>27</v>
      </c>
      <c r="G192" s="14">
        <v>44501</v>
      </c>
      <c r="H192" s="14">
        <v>44497</v>
      </c>
      <c r="I192" s="14">
        <v>44523</v>
      </c>
      <c r="J192" s="15">
        <f t="shared" si="10"/>
        <v>27</v>
      </c>
      <c r="K192" s="16">
        <f t="shared" si="11"/>
        <v>324.25925925925924</v>
      </c>
      <c r="L192" s="17">
        <f t="shared" si="12"/>
        <v>32.425925925925924</v>
      </c>
      <c r="M192" s="18">
        <v>10</v>
      </c>
      <c r="N192" s="18">
        <v>8755</v>
      </c>
      <c r="O192" s="19" t="s">
        <v>39</v>
      </c>
      <c r="P192" s="19">
        <v>4000</v>
      </c>
    </row>
    <row r="193" ht="15.6">
      <c r="A193" s="12" t="s">
        <v>34</v>
      </c>
      <c r="B193" s="12">
        <v>18</v>
      </c>
      <c r="C193" s="13">
        <v>293.39999999999998</v>
      </c>
      <c r="D193" s="13" t="s">
        <v>33</v>
      </c>
      <c r="E193" s="13">
        <v>2021</v>
      </c>
      <c r="F193" s="13" t="s">
        <v>27</v>
      </c>
      <c r="G193" s="14">
        <v>44531</v>
      </c>
      <c r="H193" s="14">
        <v>44532</v>
      </c>
      <c r="I193" s="14">
        <v>44554</v>
      </c>
      <c r="J193" s="15">
        <f t="shared" si="10"/>
        <v>23</v>
      </c>
      <c r="K193" s="16">
        <f t="shared" si="11"/>
        <v>429.43478260869563</v>
      </c>
      <c r="L193" s="17">
        <f t="shared" si="12"/>
        <v>42.943478260869568</v>
      </c>
      <c r="M193" s="18">
        <v>10</v>
      </c>
      <c r="N193" s="18">
        <v>9877</v>
      </c>
      <c r="O193" s="19" t="s">
        <v>39</v>
      </c>
      <c r="P193" s="19">
        <v>4000</v>
      </c>
    </row>
    <row r="194" ht="15.6">
      <c r="A194" s="12" t="s">
        <v>36</v>
      </c>
      <c r="B194" s="12">
        <v>18</v>
      </c>
      <c r="C194" s="13">
        <v>352.39999999999998</v>
      </c>
      <c r="D194" s="13" t="s">
        <v>17</v>
      </c>
      <c r="E194" s="13">
        <v>2021</v>
      </c>
      <c r="F194" s="13" t="s">
        <v>18</v>
      </c>
      <c r="G194" s="14">
        <v>44197</v>
      </c>
      <c r="H194" s="14">
        <v>44209</v>
      </c>
      <c r="I194" s="14">
        <v>44223</v>
      </c>
      <c r="J194" s="15">
        <f t="shared" si="10"/>
        <v>15</v>
      </c>
      <c r="K194" s="16">
        <f t="shared" si="11"/>
        <v>582.73333333333335</v>
      </c>
      <c r="L194" s="17">
        <f t="shared" si="12"/>
        <v>58.273333333333333</v>
      </c>
      <c r="M194" s="18">
        <v>10</v>
      </c>
      <c r="N194" s="18">
        <v>8741</v>
      </c>
      <c r="O194" s="19" t="s">
        <v>39</v>
      </c>
      <c r="P194" s="19">
        <v>4500</v>
      </c>
    </row>
    <row r="195" ht="15.6">
      <c r="A195" s="12" t="s">
        <v>36</v>
      </c>
      <c r="B195" s="12">
        <v>18</v>
      </c>
      <c r="C195" s="13">
        <v>635.20000000000005</v>
      </c>
      <c r="D195" s="13" t="s">
        <v>20</v>
      </c>
      <c r="E195" s="13">
        <v>2021</v>
      </c>
      <c r="F195" s="13" t="s">
        <v>21</v>
      </c>
      <c r="G195" s="14">
        <v>44228</v>
      </c>
      <c r="H195" s="14">
        <v>44231</v>
      </c>
      <c r="I195" s="14">
        <v>44253</v>
      </c>
      <c r="J195" s="15">
        <f t="shared" si="10"/>
        <v>23</v>
      </c>
      <c r="K195" s="16">
        <f t="shared" si="11"/>
        <v>395.73913043478262</v>
      </c>
      <c r="L195" s="17">
        <f t="shared" si="12"/>
        <v>39.573913043478264</v>
      </c>
      <c r="M195" s="18">
        <v>10</v>
      </c>
      <c r="N195" s="18">
        <v>9102</v>
      </c>
      <c r="O195" s="19" t="s">
        <v>39</v>
      </c>
      <c r="P195" s="19">
        <v>4500</v>
      </c>
    </row>
    <row r="196" ht="15.6">
      <c r="A196" s="12" t="s">
        <v>36</v>
      </c>
      <c r="B196" s="12">
        <v>18</v>
      </c>
      <c r="C196" s="13">
        <v>469.19999999999999</v>
      </c>
      <c r="D196" s="13" t="s">
        <v>22</v>
      </c>
      <c r="E196" s="13">
        <v>2021</v>
      </c>
      <c r="F196" s="13" t="s">
        <v>21</v>
      </c>
      <c r="G196" s="14">
        <v>44256</v>
      </c>
      <c r="H196" s="14">
        <v>44264</v>
      </c>
      <c r="I196" s="14">
        <v>44282</v>
      </c>
      <c r="J196" s="15">
        <f t="shared" si="10"/>
        <v>19</v>
      </c>
      <c r="K196" s="16">
        <f t="shared" si="11"/>
        <v>485.31578947368422</v>
      </c>
      <c r="L196" s="17">
        <f t="shared" si="12"/>
        <v>48.531578947368423</v>
      </c>
      <c r="M196" s="18">
        <v>10</v>
      </c>
      <c r="N196" s="18">
        <v>9221</v>
      </c>
      <c r="O196" s="19" t="s">
        <v>39</v>
      </c>
      <c r="P196" s="19">
        <v>4500</v>
      </c>
    </row>
    <row r="197" ht="15.6">
      <c r="A197" s="12" t="s">
        <v>36</v>
      </c>
      <c r="B197" s="12">
        <v>18</v>
      </c>
      <c r="C197" s="13">
        <v>479</v>
      </c>
      <c r="D197" s="13" t="s">
        <v>23</v>
      </c>
      <c r="E197" s="13">
        <v>2021</v>
      </c>
      <c r="F197" s="13" t="s">
        <v>21</v>
      </c>
      <c r="G197" s="14">
        <v>44287</v>
      </c>
      <c r="H197" s="14">
        <v>44292</v>
      </c>
      <c r="I197" s="14">
        <v>44309</v>
      </c>
      <c r="J197" s="15">
        <f t="shared" si="10"/>
        <v>18</v>
      </c>
      <c r="K197" s="16">
        <f t="shared" si="11"/>
        <v>534.05555555555554</v>
      </c>
      <c r="L197" s="17">
        <f t="shared" si="12"/>
        <v>53.405555555555559</v>
      </c>
      <c r="M197" s="18">
        <v>10</v>
      </c>
      <c r="N197" s="18">
        <v>9613</v>
      </c>
      <c r="O197" s="19" t="s">
        <v>39</v>
      </c>
      <c r="P197" s="19">
        <v>4500</v>
      </c>
    </row>
    <row r="198" ht="15.6">
      <c r="A198" s="12" t="s">
        <v>36</v>
      </c>
      <c r="B198" s="12">
        <v>18</v>
      </c>
      <c r="C198" s="13">
        <v>497.80000000000001</v>
      </c>
      <c r="D198" s="13" t="s">
        <v>24</v>
      </c>
      <c r="E198" s="13">
        <v>2021</v>
      </c>
      <c r="F198" s="13" t="s">
        <v>21</v>
      </c>
      <c r="G198" s="14">
        <v>44317</v>
      </c>
      <c r="H198" s="14">
        <v>44315</v>
      </c>
      <c r="I198" s="14">
        <v>44341</v>
      </c>
      <c r="J198" s="15">
        <f t="shared" si="10"/>
        <v>27</v>
      </c>
      <c r="K198" s="16">
        <f t="shared" si="11"/>
        <v>308.25925925925924</v>
      </c>
      <c r="L198" s="17">
        <f t="shared" si="12"/>
        <v>30.825925925925926</v>
      </c>
      <c r="M198" s="18">
        <v>10</v>
      </c>
      <c r="N198" s="18">
        <v>8323</v>
      </c>
      <c r="O198" s="19" t="s">
        <v>39</v>
      </c>
      <c r="P198" s="19">
        <v>4500</v>
      </c>
    </row>
    <row r="199" ht="15.6">
      <c r="A199" s="12" t="s">
        <v>36</v>
      </c>
      <c r="B199" s="12">
        <v>18</v>
      </c>
      <c r="C199" s="13">
        <v>191</v>
      </c>
      <c r="D199" s="13" t="s">
        <v>25</v>
      </c>
      <c r="E199" s="13">
        <v>2021</v>
      </c>
      <c r="F199" s="13" t="s">
        <v>21</v>
      </c>
      <c r="G199" s="14">
        <v>44348</v>
      </c>
      <c r="H199" s="14">
        <v>44357</v>
      </c>
      <c r="I199" s="14">
        <v>44377</v>
      </c>
      <c r="J199" s="15">
        <f t="shared" si="10"/>
        <v>21</v>
      </c>
      <c r="K199" s="16">
        <f t="shared" si="11"/>
        <v>454.95238095238096</v>
      </c>
      <c r="L199" s="17">
        <f t="shared" si="12"/>
        <v>45.495238095238093</v>
      </c>
      <c r="M199" s="18">
        <v>10</v>
      </c>
      <c r="N199" s="18">
        <v>9554</v>
      </c>
      <c r="O199" s="19" t="s">
        <v>39</v>
      </c>
      <c r="P199" s="19">
        <v>4500</v>
      </c>
    </row>
    <row r="200" ht="15.6">
      <c r="A200" s="12" t="s">
        <v>36</v>
      </c>
      <c r="B200" s="12">
        <v>18</v>
      </c>
      <c r="C200" s="13">
        <v>222.80000000000001</v>
      </c>
      <c r="D200" s="13" t="s">
        <v>26</v>
      </c>
      <c r="E200" s="13">
        <v>2021</v>
      </c>
      <c r="F200" s="13" t="s">
        <v>27</v>
      </c>
      <c r="G200" s="14">
        <v>44378</v>
      </c>
      <c r="H200" s="14">
        <v>44382</v>
      </c>
      <c r="I200" s="14">
        <v>44395</v>
      </c>
      <c r="J200" s="15">
        <f t="shared" si="10"/>
        <v>14</v>
      </c>
      <c r="K200" s="16">
        <f t="shared" si="11"/>
        <v>709.5</v>
      </c>
      <c r="L200" s="17">
        <f t="shared" si="12"/>
        <v>70.950000000000003</v>
      </c>
      <c r="M200" s="18">
        <v>10</v>
      </c>
      <c r="N200" s="18">
        <v>9933</v>
      </c>
      <c r="O200" s="19" t="s">
        <v>39</v>
      </c>
      <c r="P200" s="19">
        <v>4500</v>
      </c>
    </row>
    <row r="201" ht="15.6">
      <c r="A201" s="12" t="s">
        <v>36</v>
      </c>
      <c r="B201" s="12">
        <v>18</v>
      </c>
      <c r="C201" s="13">
        <v>273.39999999999998</v>
      </c>
      <c r="D201" s="13" t="s">
        <v>28</v>
      </c>
      <c r="E201" s="13">
        <v>2021</v>
      </c>
      <c r="F201" s="13" t="s">
        <v>29</v>
      </c>
      <c r="G201" s="14">
        <v>44409</v>
      </c>
      <c r="H201" s="14">
        <v>44397</v>
      </c>
      <c r="I201" s="14">
        <v>44417</v>
      </c>
      <c r="J201" s="15">
        <f t="shared" si="10"/>
        <v>21</v>
      </c>
      <c r="K201" s="16">
        <f t="shared" si="11"/>
        <v>352.90476190476193</v>
      </c>
      <c r="L201" s="17">
        <f t="shared" si="12"/>
        <v>35.290476190476191</v>
      </c>
      <c r="M201" s="18">
        <v>10</v>
      </c>
      <c r="N201" s="18">
        <v>7411</v>
      </c>
      <c r="O201" s="19" t="s">
        <v>39</v>
      </c>
      <c r="P201" s="19">
        <v>4500</v>
      </c>
    </row>
    <row r="202" ht="15.6">
      <c r="A202" s="12" t="s">
        <v>36</v>
      </c>
      <c r="B202" s="12">
        <v>18</v>
      </c>
      <c r="C202" s="13">
        <v>254</v>
      </c>
      <c r="D202" s="13" t="s">
        <v>30</v>
      </c>
      <c r="E202" s="13">
        <v>2021</v>
      </c>
      <c r="F202" s="13" t="s">
        <v>27</v>
      </c>
      <c r="G202" s="14">
        <v>44440</v>
      </c>
      <c r="H202" s="14">
        <v>44426</v>
      </c>
      <c r="I202" s="14">
        <v>44442</v>
      </c>
      <c r="J202" s="15">
        <f t="shared" si="10"/>
        <v>17</v>
      </c>
      <c r="K202" s="16">
        <f t="shared" si="11"/>
        <v>403</v>
      </c>
      <c r="L202" s="17">
        <f t="shared" si="12"/>
        <v>40.299999999999997</v>
      </c>
      <c r="M202" s="18">
        <v>10</v>
      </c>
      <c r="N202" s="18">
        <v>6851</v>
      </c>
      <c r="O202" s="19" t="s">
        <v>39</v>
      </c>
      <c r="P202" s="19">
        <v>4500</v>
      </c>
    </row>
    <row r="203" ht="15.6">
      <c r="A203" s="12" t="s">
        <v>36</v>
      </c>
      <c r="B203" s="12">
        <v>18</v>
      </c>
      <c r="C203" s="13">
        <v>298.80000000000001</v>
      </c>
      <c r="D203" s="13" t="s">
        <v>31</v>
      </c>
      <c r="E203" s="13">
        <v>2021</v>
      </c>
      <c r="F203" s="13" t="s">
        <v>27</v>
      </c>
      <c r="G203" s="14">
        <v>44470</v>
      </c>
      <c r="H203" s="14">
        <v>44451</v>
      </c>
      <c r="I203" s="14">
        <v>44470</v>
      </c>
      <c r="J203" s="15">
        <f t="shared" si="10"/>
        <v>20</v>
      </c>
      <c r="K203" s="16">
        <f t="shared" si="11"/>
        <v>428.60000000000002</v>
      </c>
      <c r="L203" s="17">
        <f t="shared" si="12"/>
        <v>42.859999999999999</v>
      </c>
      <c r="M203" s="18">
        <v>10</v>
      </c>
      <c r="N203" s="18">
        <v>8572</v>
      </c>
      <c r="O203" s="19" t="s">
        <v>39</v>
      </c>
      <c r="P203" s="19">
        <v>4500</v>
      </c>
    </row>
    <row r="204" ht="15.6">
      <c r="A204" s="12" t="s">
        <v>36</v>
      </c>
      <c r="B204" s="12">
        <v>18</v>
      </c>
      <c r="C204" s="13">
        <v>328.19999999999999</v>
      </c>
      <c r="D204" s="13" t="s">
        <v>32</v>
      </c>
      <c r="E204" s="13">
        <v>2021</v>
      </c>
      <c r="F204" s="13" t="s">
        <v>27</v>
      </c>
      <c r="G204" s="14">
        <v>44501</v>
      </c>
      <c r="H204" s="14">
        <v>44476</v>
      </c>
      <c r="I204" s="14">
        <v>44505</v>
      </c>
      <c r="J204" s="15">
        <f t="shared" si="10"/>
        <v>30</v>
      </c>
      <c r="K204" s="16">
        <f t="shared" si="11"/>
        <v>271.63333333333333</v>
      </c>
      <c r="L204" s="17">
        <f t="shared" si="12"/>
        <v>27.163333333333334</v>
      </c>
      <c r="M204" s="18">
        <v>10</v>
      </c>
      <c r="N204" s="18">
        <v>8149</v>
      </c>
      <c r="O204" s="19" t="s">
        <v>39</v>
      </c>
      <c r="P204" s="19">
        <v>4500</v>
      </c>
    </row>
    <row r="205" ht="15.6">
      <c r="A205" s="12" t="s">
        <v>36</v>
      </c>
      <c r="B205" s="12">
        <v>18</v>
      </c>
      <c r="C205" s="13">
        <v>293.39999999999998</v>
      </c>
      <c r="D205" s="13" t="s">
        <v>33</v>
      </c>
      <c r="E205" s="13">
        <v>2021</v>
      </c>
      <c r="F205" s="13" t="s">
        <v>27</v>
      </c>
      <c r="G205" s="14">
        <v>44531</v>
      </c>
      <c r="H205" s="14">
        <v>44524</v>
      </c>
      <c r="I205" s="14">
        <v>44546</v>
      </c>
      <c r="J205" s="15">
        <f t="shared" si="10"/>
        <v>23</v>
      </c>
      <c r="K205" s="16">
        <f t="shared" si="11"/>
        <v>377.69565217391306</v>
      </c>
      <c r="L205" s="17">
        <f t="shared" si="12"/>
        <v>37.769565217391303</v>
      </c>
      <c r="M205" s="18">
        <v>10</v>
      </c>
      <c r="N205" s="18">
        <v>8687</v>
      </c>
      <c r="O205" s="19" t="s">
        <v>39</v>
      </c>
      <c r="P205" s="19">
        <v>4500</v>
      </c>
    </row>
    <row r="206" ht="15.6">
      <c r="A206" s="12" t="s">
        <v>37</v>
      </c>
      <c r="B206" s="12">
        <v>16</v>
      </c>
      <c r="C206" s="13">
        <v>352.39999999999998</v>
      </c>
      <c r="D206" s="13" t="s">
        <v>17</v>
      </c>
      <c r="E206" s="13">
        <v>2021</v>
      </c>
      <c r="F206" s="13" t="s">
        <v>18</v>
      </c>
      <c r="G206" s="14">
        <v>44197</v>
      </c>
      <c r="H206" s="14">
        <v>44204</v>
      </c>
      <c r="I206" s="14">
        <v>44223</v>
      </c>
      <c r="J206" s="15">
        <f t="shared" ref="J206:J253" si="13">(I206-H206)+1</f>
        <v>20</v>
      </c>
      <c r="K206" s="16">
        <f t="shared" si="11"/>
        <v>418.44999999999999</v>
      </c>
      <c r="L206" s="17">
        <f t="shared" si="12"/>
        <v>41.844999999999999</v>
      </c>
      <c r="M206" s="18">
        <v>10</v>
      </c>
      <c r="N206" s="18">
        <v>8369</v>
      </c>
      <c r="O206" s="19" t="s">
        <v>19</v>
      </c>
      <c r="P206" s="19">
        <v>7500</v>
      </c>
    </row>
    <row r="207" ht="15.6">
      <c r="A207" s="12" t="s">
        <v>37</v>
      </c>
      <c r="B207" s="12">
        <v>16</v>
      </c>
      <c r="C207" s="13">
        <v>635.20000000000005</v>
      </c>
      <c r="D207" s="13" t="s">
        <v>20</v>
      </c>
      <c r="E207" s="13">
        <v>2021</v>
      </c>
      <c r="F207" s="13" t="s">
        <v>21</v>
      </c>
      <c r="G207" s="14">
        <v>44228</v>
      </c>
      <c r="H207" s="14">
        <v>44233</v>
      </c>
      <c r="I207" s="14">
        <v>44255</v>
      </c>
      <c r="J207" s="15">
        <f t="shared" si="13"/>
        <v>23</v>
      </c>
      <c r="K207" s="16">
        <f t="shared" si="11"/>
        <v>411.43478260869563</v>
      </c>
      <c r="L207" s="17">
        <f t="shared" si="12"/>
        <v>41.143478260869564</v>
      </c>
      <c r="M207" s="18">
        <v>10</v>
      </c>
      <c r="N207" s="18">
        <v>9463</v>
      </c>
      <c r="O207" s="19" t="s">
        <v>19</v>
      </c>
      <c r="P207" s="19">
        <v>7500</v>
      </c>
    </row>
    <row r="208" ht="15.6">
      <c r="A208" s="12" t="s">
        <v>37</v>
      </c>
      <c r="B208" s="12">
        <v>16</v>
      </c>
      <c r="C208" s="13">
        <v>469.19999999999999</v>
      </c>
      <c r="D208" s="13" t="s">
        <v>22</v>
      </c>
      <c r="E208" s="13">
        <v>2021</v>
      </c>
      <c r="F208" s="13" t="s">
        <v>21</v>
      </c>
      <c r="G208" s="14">
        <v>44256</v>
      </c>
      <c r="H208" s="14">
        <v>44262</v>
      </c>
      <c r="I208" s="14">
        <v>44284</v>
      </c>
      <c r="J208" s="15">
        <f t="shared" si="13"/>
        <v>23</v>
      </c>
      <c r="K208" s="16">
        <f t="shared" si="11"/>
        <v>397.91304347826087</v>
      </c>
      <c r="L208" s="17">
        <f t="shared" si="12"/>
        <v>39.791304347826085</v>
      </c>
      <c r="M208" s="18">
        <v>10</v>
      </c>
      <c r="N208" s="18">
        <v>9152</v>
      </c>
      <c r="O208" s="19" t="s">
        <v>19</v>
      </c>
      <c r="P208" s="19">
        <v>7500</v>
      </c>
    </row>
    <row r="209" ht="15.6">
      <c r="A209" s="12" t="s">
        <v>37</v>
      </c>
      <c r="B209" s="12">
        <v>16</v>
      </c>
      <c r="C209" s="13">
        <v>479</v>
      </c>
      <c r="D209" s="13" t="s">
        <v>23</v>
      </c>
      <c r="E209" s="13">
        <v>2021</v>
      </c>
      <c r="F209" s="13" t="s">
        <v>21</v>
      </c>
      <c r="G209" s="14">
        <v>44287</v>
      </c>
      <c r="H209" s="14">
        <v>44291</v>
      </c>
      <c r="I209" s="14">
        <v>44306</v>
      </c>
      <c r="J209" s="15">
        <f t="shared" si="13"/>
        <v>16</v>
      </c>
      <c r="K209" s="16">
        <f t="shared" si="11"/>
        <v>617.0625</v>
      </c>
      <c r="L209" s="17">
        <f t="shared" si="12"/>
        <v>61.706249999999997</v>
      </c>
      <c r="M209" s="18">
        <v>10</v>
      </c>
      <c r="N209" s="18">
        <v>9873</v>
      </c>
      <c r="O209" s="19" t="s">
        <v>19</v>
      </c>
      <c r="P209" s="19">
        <v>7500</v>
      </c>
    </row>
    <row r="210" ht="15.6">
      <c r="A210" s="12" t="s">
        <v>37</v>
      </c>
      <c r="B210" s="12">
        <v>16</v>
      </c>
      <c r="C210" s="13">
        <v>497.80000000000001</v>
      </c>
      <c r="D210" s="13" t="s">
        <v>24</v>
      </c>
      <c r="E210" s="13">
        <v>2021</v>
      </c>
      <c r="F210" s="13" t="s">
        <v>21</v>
      </c>
      <c r="G210" s="14">
        <v>44317</v>
      </c>
      <c r="H210" s="14">
        <v>44315</v>
      </c>
      <c r="I210" s="14">
        <v>44335</v>
      </c>
      <c r="J210" s="15">
        <f t="shared" si="13"/>
        <v>21</v>
      </c>
      <c r="K210" s="16">
        <f t="shared" si="11"/>
        <v>427.42857142857144</v>
      </c>
      <c r="L210" s="17">
        <f t="shared" si="12"/>
        <v>42.74285714285714</v>
      </c>
      <c r="M210" s="18">
        <v>10</v>
      </c>
      <c r="N210" s="18">
        <v>8976</v>
      </c>
      <c r="O210" s="19" t="s">
        <v>19</v>
      </c>
      <c r="P210" s="19">
        <v>7500</v>
      </c>
    </row>
    <row r="211" ht="15.6">
      <c r="A211" s="12" t="s">
        <v>37</v>
      </c>
      <c r="B211" s="12">
        <v>16</v>
      </c>
      <c r="C211" s="13">
        <v>191</v>
      </c>
      <c r="D211" s="13" t="s">
        <v>25</v>
      </c>
      <c r="E211" s="13">
        <v>2021</v>
      </c>
      <c r="F211" s="13" t="s">
        <v>21</v>
      </c>
      <c r="G211" s="14">
        <v>44348</v>
      </c>
      <c r="H211" s="14">
        <v>44341</v>
      </c>
      <c r="I211" s="14">
        <v>44359</v>
      </c>
      <c r="J211" s="15">
        <f t="shared" si="13"/>
        <v>19</v>
      </c>
      <c r="K211" s="16">
        <f t="shared" si="11"/>
        <v>525.57894736842104</v>
      </c>
      <c r="L211" s="17">
        <f t="shared" si="12"/>
        <v>52.557894736842108</v>
      </c>
      <c r="M211" s="18">
        <v>10</v>
      </c>
      <c r="N211" s="18">
        <v>9986</v>
      </c>
      <c r="O211" s="19" t="s">
        <v>19</v>
      </c>
      <c r="P211" s="19">
        <v>7500</v>
      </c>
    </row>
    <row r="212" ht="15.6">
      <c r="A212" s="12" t="s">
        <v>37</v>
      </c>
      <c r="B212" s="12">
        <v>16</v>
      </c>
      <c r="C212" s="13">
        <v>222.80000000000001</v>
      </c>
      <c r="D212" s="13" t="s">
        <v>26</v>
      </c>
      <c r="E212" s="13">
        <v>2021</v>
      </c>
      <c r="F212" s="13" t="s">
        <v>27</v>
      </c>
      <c r="G212" s="14">
        <v>44378</v>
      </c>
      <c r="H212" s="14">
        <v>44366</v>
      </c>
      <c r="I212" s="14">
        <v>44390</v>
      </c>
      <c r="J212" s="15">
        <f t="shared" si="13"/>
        <v>25</v>
      </c>
      <c r="K212" s="16">
        <f t="shared" si="11"/>
        <v>417.04000000000002</v>
      </c>
      <c r="L212" s="17">
        <f t="shared" si="12"/>
        <v>41.704000000000001</v>
      </c>
      <c r="M212" s="18">
        <v>10</v>
      </c>
      <c r="N212" s="18">
        <v>10426</v>
      </c>
      <c r="O212" s="19" t="s">
        <v>19</v>
      </c>
      <c r="P212" s="19">
        <v>7500</v>
      </c>
    </row>
    <row r="213" ht="15.6">
      <c r="A213" s="12" t="s">
        <v>37</v>
      </c>
      <c r="B213" s="12">
        <v>16</v>
      </c>
      <c r="C213" s="13">
        <v>273.39999999999998</v>
      </c>
      <c r="D213" s="13" t="s">
        <v>28</v>
      </c>
      <c r="E213" s="13">
        <v>2021</v>
      </c>
      <c r="F213" s="13" t="s">
        <v>29</v>
      </c>
      <c r="G213" s="14">
        <v>44409</v>
      </c>
      <c r="H213" s="14">
        <v>44410</v>
      </c>
      <c r="I213" s="14">
        <v>44425</v>
      </c>
      <c r="J213" s="15">
        <f t="shared" si="13"/>
        <v>16</v>
      </c>
      <c r="K213" s="16">
        <f t="shared" si="11"/>
        <v>620.625</v>
      </c>
      <c r="L213" s="17">
        <f t="shared" si="12"/>
        <v>62.0625</v>
      </c>
      <c r="M213" s="18">
        <v>10</v>
      </c>
      <c r="N213" s="18">
        <v>9930</v>
      </c>
      <c r="O213" s="19" t="s">
        <v>19</v>
      </c>
      <c r="P213" s="19">
        <v>7500</v>
      </c>
    </row>
    <row r="214" ht="15.6">
      <c r="A214" s="12" t="s">
        <v>37</v>
      </c>
      <c r="B214" s="12">
        <v>16</v>
      </c>
      <c r="C214" s="13">
        <v>254</v>
      </c>
      <c r="D214" s="13" t="s">
        <v>30</v>
      </c>
      <c r="E214" s="13">
        <v>2021</v>
      </c>
      <c r="F214" s="13" t="s">
        <v>27</v>
      </c>
      <c r="G214" s="14">
        <v>44440</v>
      </c>
      <c r="H214" s="14">
        <v>44442</v>
      </c>
      <c r="I214" s="14">
        <v>44464</v>
      </c>
      <c r="J214" s="15">
        <f t="shared" si="13"/>
        <v>23</v>
      </c>
      <c r="K214" s="16">
        <f t="shared" si="11"/>
        <v>394.39130434782606</v>
      </c>
      <c r="L214" s="17">
        <f t="shared" si="12"/>
        <v>39.439130434782612</v>
      </c>
      <c r="M214" s="18">
        <v>10</v>
      </c>
      <c r="N214" s="18">
        <v>9071</v>
      </c>
      <c r="O214" s="19" t="s">
        <v>19</v>
      </c>
      <c r="P214" s="19">
        <v>7500</v>
      </c>
    </row>
    <row r="215" ht="15.6">
      <c r="A215" s="12" t="s">
        <v>37</v>
      </c>
      <c r="B215" s="12">
        <v>16</v>
      </c>
      <c r="C215" s="13">
        <v>298.80000000000001</v>
      </c>
      <c r="D215" s="13" t="s">
        <v>31</v>
      </c>
      <c r="E215" s="13">
        <v>2021</v>
      </c>
      <c r="F215" s="13" t="s">
        <v>27</v>
      </c>
      <c r="G215" s="14">
        <v>44470</v>
      </c>
      <c r="H215" s="14">
        <v>44469</v>
      </c>
      <c r="I215" s="14">
        <v>44485</v>
      </c>
      <c r="J215" s="15">
        <f t="shared" si="13"/>
        <v>17</v>
      </c>
      <c r="K215" s="16">
        <f t="shared" si="11"/>
        <v>528.05882352941171</v>
      </c>
      <c r="L215" s="17">
        <f t="shared" si="12"/>
        <v>52.805882352941175</v>
      </c>
      <c r="M215" s="18">
        <v>10</v>
      </c>
      <c r="N215" s="18">
        <v>8977</v>
      </c>
      <c r="O215" s="19" t="s">
        <v>19</v>
      </c>
      <c r="P215" s="19">
        <v>7500</v>
      </c>
    </row>
    <row r="216" ht="15.6">
      <c r="A216" s="12" t="s">
        <v>37</v>
      </c>
      <c r="B216" s="12">
        <v>16</v>
      </c>
      <c r="C216" s="13">
        <v>328.19999999999999</v>
      </c>
      <c r="D216" s="13" t="s">
        <v>32</v>
      </c>
      <c r="E216" s="13">
        <v>2021</v>
      </c>
      <c r="F216" s="13" t="s">
        <v>27</v>
      </c>
      <c r="G216" s="14">
        <v>44501</v>
      </c>
      <c r="H216" s="14">
        <v>44494</v>
      </c>
      <c r="I216" s="14">
        <v>44517</v>
      </c>
      <c r="J216" s="15">
        <f t="shared" si="13"/>
        <v>24</v>
      </c>
      <c r="K216" s="16">
        <f t="shared" si="11"/>
        <v>403.625</v>
      </c>
      <c r="L216" s="17">
        <f t="shared" si="12"/>
        <v>40.362499999999997</v>
      </c>
      <c r="M216" s="18">
        <v>10</v>
      </c>
      <c r="N216" s="21">
        <v>9687</v>
      </c>
      <c r="O216" s="19" t="s">
        <v>19</v>
      </c>
      <c r="P216" s="19">
        <v>7500</v>
      </c>
    </row>
    <row r="217" ht="15.6">
      <c r="A217" s="12" t="s">
        <v>37</v>
      </c>
      <c r="B217" s="12">
        <v>16</v>
      </c>
      <c r="C217" s="13">
        <v>293.39999999999998</v>
      </c>
      <c r="D217" s="13" t="s">
        <v>33</v>
      </c>
      <c r="E217" s="13">
        <v>2021</v>
      </c>
      <c r="F217" s="13" t="s">
        <v>27</v>
      </c>
      <c r="G217" s="14">
        <v>44531</v>
      </c>
      <c r="H217" s="14">
        <v>44522</v>
      </c>
      <c r="I217" s="14">
        <v>44548</v>
      </c>
      <c r="J217" s="15">
        <f t="shared" si="13"/>
        <v>27</v>
      </c>
      <c r="K217" s="16">
        <f t="shared" si="11"/>
        <v>377.55555555555554</v>
      </c>
      <c r="L217" s="17">
        <f t="shared" si="12"/>
        <v>37.755555555555553</v>
      </c>
      <c r="M217" s="18">
        <v>10</v>
      </c>
      <c r="N217" s="18">
        <v>10194</v>
      </c>
      <c r="O217" s="19" t="s">
        <v>19</v>
      </c>
      <c r="P217" s="19">
        <v>7500</v>
      </c>
    </row>
    <row r="218" ht="15.6">
      <c r="A218" s="12" t="s">
        <v>38</v>
      </c>
      <c r="B218" s="12">
        <v>16</v>
      </c>
      <c r="C218" s="13">
        <v>352.39999999999998</v>
      </c>
      <c r="D218" s="13" t="s">
        <v>17</v>
      </c>
      <c r="E218" s="13">
        <v>2021</v>
      </c>
      <c r="F218" s="13" t="s">
        <v>18</v>
      </c>
      <c r="G218" s="14">
        <v>44197</v>
      </c>
      <c r="H218" s="14">
        <v>44203</v>
      </c>
      <c r="I218" s="14">
        <v>44221</v>
      </c>
      <c r="J218" s="15">
        <f t="shared" si="13"/>
        <v>19</v>
      </c>
      <c r="K218" s="16">
        <f t="shared" si="11"/>
        <v>627.42105263157896</v>
      </c>
      <c r="L218" s="17">
        <f t="shared" si="12"/>
        <v>62.742105263157896</v>
      </c>
      <c r="M218" s="18">
        <v>10</v>
      </c>
      <c r="N218" s="18">
        <v>11921</v>
      </c>
      <c r="O218" s="19" t="s">
        <v>39</v>
      </c>
      <c r="P218" s="19">
        <v>3500</v>
      </c>
    </row>
    <row r="219" ht="15.6">
      <c r="A219" s="12" t="s">
        <v>38</v>
      </c>
      <c r="B219" s="12">
        <v>17</v>
      </c>
      <c r="C219" s="13">
        <v>635.20000000000005</v>
      </c>
      <c r="D219" s="13" t="s">
        <v>20</v>
      </c>
      <c r="E219" s="13">
        <v>2021</v>
      </c>
      <c r="F219" s="13" t="s">
        <v>21</v>
      </c>
      <c r="G219" s="14">
        <v>44228</v>
      </c>
      <c r="H219" s="14">
        <v>44235</v>
      </c>
      <c r="I219" s="14">
        <v>44247</v>
      </c>
      <c r="J219" s="15">
        <f t="shared" si="13"/>
        <v>13</v>
      </c>
      <c r="K219" s="16">
        <f t="shared" si="11"/>
        <v>771</v>
      </c>
      <c r="L219" s="17">
        <f t="shared" si="12"/>
        <v>77.099999999999994</v>
      </c>
      <c r="M219" s="18">
        <v>10</v>
      </c>
      <c r="N219" s="18">
        <v>10023</v>
      </c>
      <c r="O219" s="19" t="s">
        <v>39</v>
      </c>
      <c r="P219" s="19">
        <v>3500</v>
      </c>
    </row>
    <row r="220" ht="15.6">
      <c r="A220" s="12" t="s">
        <v>38</v>
      </c>
      <c r="B220" s="12">
        <v>17</v>
      </c>
      <c r="C220" s="13">
        <v>469.19999999999999</v>
      </c>
      <c r="D220" s="13" t="s">
        <v>22</v>
      </c>
      <c r="E220" s="13">
        <v>2021</v>
      </c>
      <c r="F220" s="13" t="s">
        <v>21</v>
      </c>
      <c r="G220" s="14">
        <v>44256</v>
      </c>
      <c r="H220" s="14">
        <v>44254</v>
      </c>
      <c r="I220" s="14">
        <v>44276</v>
      </c>
      <c r="J220" s="15">
        <f t="shared" si="13"/>
        <v>23</v>
      </c>
      <c r="K220" s="16">
        <f t="shared" si="11"/>
        <v>478.39130434782606</v>
      </c>
      <c r="L220" s="17">
        <f t="shared" si="12"/>
        <v>47.839130434782611</v>
      </c>
      <c r="M220" s="18">
        <v>10</v>
      </c>
      <c r="N220" s="18">
        <v>11003</v>
      </c>
      <c r="O220" s="19" t="s">
        <v>39</v>
      </c>
      <c r="P220" s="19">
        <v>3500</v>
      </c>
    </row>
    <row r="221" ht="15.6">
      <c r="A221" s="12" t="s">
        <v>38</v>
      </c>
      <c r="B221" s="12">
        <v>17</v>
      </c>
      <c r="C221" s="13">
        <v>479</v>
      </c>
      <c r="D221" s="13" t="s">
        <v>23</v>
      </c>
      <c r="E221" s="13">
        <v>2021</v>
      </c>
      <c r="F221" s="13" t="s">
        <v>21</v>
      </c>
      <c r="G221" s="14">
        <v>44287</v>
      </c>
      <c r="H221" s="14">
        <v>44284</v>
      </c>
      <c r="I221" s="14">
        <v>44305</v>
      </c>
      <c r="J221" s="15">
        <f t="shared" si="13"/>
        <v>22</v>
      </c>
      <c r="K221" s="16">
        <f t="shared" si="11"/>
        <v>540.86363636363637</v>
      </c>
      <c r="L221" s="17">
        <f t="shared" si="12"/>
        <v>54.086363636363636</v>
      </c>
      <c r="M221" s="18">
        <v>10</v>
      </c>
      <c r="N221" s="18">
        <v>11899</v>
      </c>
      <c r="O221" s="19" t="s">
        <v>39</v>
      </c>
      <c r="P221" s="19">
        <v>3500</v>
      </c>
    </row>
    <row r="222" ht="15.6">
      <c r="A222" s="12" t="s">
        <v>38</v>
      </c>
      <c r="B222" s="12">
        <v>17</v>
      </c>
      <c r="C222" s="13">
        <v>497.80000000000001</v>
      </c>
      <c r="D222" s="13" t="s">
        <v>24</v>
      </c>
      <c r="E222" s="13">
        <v>2021</v>
      </c>
      <c r="F222" s="13" t="s">
        <v>21</v>
      </c>
      <c r="G222" s="14">
        <v>44317</v>
      </c>
      <c r="H222" s="14">
        <v>44309</v>
      </c>
      <c r="I222" s="14">
        <v>44334</v>
      </c>
      <c r="J222" s="15">
        <f t="shared" si="13"/>
        <v>26</v>
      </c>
      <c r="K222" s="16">
        <f t="shared" si="11"/>
        <v>456.96153846153845</v>
      </c>
      <c r="L222" s="17">
        <f t="shared" si="12"/>
        <v>45.696153846153848</v>
      </c>
      <c r="M222" s="18">
        <v>10</v>
      </c>
      <c r="N222" s="18">
        <v>11881</v>
      </c>
      <c r="O222" s="19" t="s">
        <v>39</v>
      </c>
      <c r="P222" s="19">
        <v>3500</v>
      </c>
    </row>
    <row r="223" ht="15.6">
      <c r="A223" s="12" t="s">
        <v>38</v>
      </c>
      <c r="B223" s="12">
        <v>17</v>
      </c>
      <c r="C223" s="13">
        <v>191</v>
      </c>
      <c r="D223" s="13" t="s">
        <v>25</v>
      </c>
      <c r="E223" s="13">
        <v>2021</v>
      </c>
      <c r="F223" s="13" t="s">
        <v>21</v>
      </c>
      <c r="G223" s="14">
        <v>44348</v>
      </c>
      <c r="H223" s="14">
        <v>44338</v>
      </c>
      <c r="I223" s="14">
        <v>44361</v>
      </c>
      <c r="J223" s="15">
        <f t="shared" si="13"/>
        <v>24</v>
      </c>
      <c r="K223" s="16">
        <f t="shared" si="11"/>
        <v>517.16666666666663</v>
      </c>
      <c r="L223" s="17">
        <f t="shared" si="12"/>
        <v>51.716666666666669</v>
      </c>
      <c r="M223" s="18">
        <v>10</v>
      </c>
      <c r="N223" s="18">
        <v>12412</v>
      </c>
      <c r="O223" s="19" t="s">
        <v>39</v>
      </c>
      <c r="P223" s="19">
        <v>3500</v>
      </c>
    </row>
    <row r="224" ht="15.6">
      <c r="A224" s="12" t="s">
        <v>38</v>
      </c>
      <c r="B224" s="12">
        <v>17</v>
      </c>
      <c r="C224" s="13">
        <v>222.80000000000001</v>
      </c>
      <c r="D224" s="13" t="s">
        <v>26</v>
      </c>
      <c r="E224" s="13">
        <v>2021</v>
      </c>
      <c r="F224" s="13" t="s">
        <v>27</v>
      </c>
      <c r="G224" s="14">
        <v>44378</v>
      </c>
      <c r="H224" s="14">
        <v>44365</v>
      </c>
      <c r="I224" s="14">
        <v>44389</v>
      </c>
      <c r="J224" s="15">
        <f t="shared" si="13"/>
        <v>25</v>
      </c>
      <c r="K224" s="16">
        <f t="shared" si="11"/>
        <v>277.88</v>
      </c>
      <c r="L224" s="17">
        <v>0</v>
      </c>
      <c r="M224" s="18">
        <v>10</v>
      </c>
      <c r="N224" s="18">
        <v>6947</v>
      </c>
      <c r="O224" s="19" t="s">
        <v>39</v>
      </c>
      <c r="P224" s="19">
        <v>3500</v>
      </c>
    </row>
    <row r="225" ht="15.6">
      <c r="A225" s="12" t="s">
        <v>38</v>
      </c>
      <c r="B225" s="12">
        <v>17</v>
      </c>
      <c r="C225" s="13">
        <v>273.39999999999998</v>
      </c>
      <c r="D225" s="13" t="s">
        <v>28</v>
      </c>
      <c r="E225" s="13">
        <v>2021</v>
      </c>
      <c r="F225" s="13" t="s">
        <v>29</v>
      </c>
      <c r="G225" s="14">
        <v>44409</v>
      </c>
      <c r="H225" s="14">
        <v>44397</v>
      </c>
      <c r="I225" s="14">
        <v>44424</v>
      </c>
      <c r="J225" s="15">
        <f t="shared" si="13"/>
        <v>28</v>
      </c>
      <c r="K225" s="16">
        <f t="shared" si="11"/>
        <v>254.60714285714286</v>
      </c>
      <c r="L225" s="17">
        <f t="shared" si="12"/>
        <v>25.460714285714285</v>
      </c>
      <c r="M225" s="18">
        <v>10</v>
      </c>
      <c r="N225" s="18">
        <v>7129</v>
      </c>
      <c r="O225" s="19" t="s">
        <v>39</v>
      </c>
      <c r="P225" s="19">
        <v>3500</v>
      </c>
    </row>
    <row r="226" ht="15.6">
      <c r="A226" s="12" t="s">
        <v>38</v>
      </c>
      <c r="B226" s="12">
        <v>17</v>
      </c>
      <c r="C226" s="13">
        <v>254</v>
      </c>
      <c r="D226" s="13" t="s">
        <v>30</v>
      </c>
      <c r="E226" s="13">
        <v>2021</v>
      </c>
      <c r="F226" s="13" t="s">
        <v>27</v>
      </c>
      <c r="G226" s="14">
        <v>44440</v>
      </c>
      <c r="H226" s="14">
        <v>44430</v>
      </c>
      <c r="I226" s="14">
        <v>44454</v>
      </c>
      <c r="J226" s="15">
        <f t="shared" si="13"/>
        <v>25</v>
      </c>
      <c r="K226" s="16">
        <f t="shared" si="11"/>
        <v>294.24000000000001</v>
      </c>
      <c r="L226" s="17">
        <f t="shared" si="12"/>
        <v>29.423999999999999</v>
      </c>
      <c r="M226" s="18">
        <v>10</v>
      </c>
      <c r="N226" s="18">
        <v>7356</v>
      </c>
      <c r="O226" s="19" t="s">
        <v>39</v>
      </c>
      <c r="P226" s="19">
        <v>3500</v>
      </c>
    </row>
    <row r="227" ht="15.6">
      <c r="A227" s="12" t="s">
        <v>38</v>
      </c>
      <c r="B227" s="12">
        <v>17</v>
      </c>
      <c r="C227" s="13">
        <v>298.80000000000001</v>
      </c>
      <c r="D227" s="13" t="s">
        <v>31</v>
      </c>
      <c r="E227" s="13">
        <v>2021</v>
      </c>
      <c r="F227" s="13" t="s">
        <v>27</v>
      </c>
      <c r="G227" s="14">
        <v>44470</v>
      </c>
      <c r="H227" s="14">
        <v>44460</v>
      </c>
      <c r="I227" s="14">
        <v>44479</v>
      </c>
      <c r="J227" s="15">
        <f t="shared" si="13"/>
        <v>20</v>
      </c>
      <c r="K227" s="16">
        <f t="shared" si="11"/>
        <v>350.75</v>
      </c>
      <c r="L227" s="17">
        <f t="shared" si="12"/>
        <v>35.075000000000003</v>
      </c>
      <c r="M227" s="18">
        <v>10</v>
      </c>
      <c r="N227" s="18">
        <v>7015</v>
      </c>
      <c r="O227" s="19" t="s">
        <v>39</v>
      </c>
      <c r="P227" s="19">
        <v>3500</v>
      </c>
    </row>
    <row r="228" ht="15.6">
      <c r="A228" s="12" t="s">
        <v>38</v>
      </c>
      <c r="B228" s="12">
        <v>17</v>
      </c>
      <c r="C228" s="13">
        <v>328.19999999999999</v>
      </c>
      <c r="D228" s="13" t="s">
        <v>32</v>
      </c>
      <c r="E228" s="13">
        <v>2021</v>
      </c>
      <c r="F228" s="13" t="s">
        <v>27</v>
      </c>
      <c r="G228" s="14">
        <v>44501</v>
      </c>
      <c r="H228" s="14">
        <v>44486</v>
      </c>
      <c r="I228" s="14">
        <v>44515</v>
      </c>
      <c r="J228" s="15">
        <f t="shared" si="13"/>
        <v>30</v>
      </c>
      <c r="K228" s="16">
        <f t="shared" si="11"/>
        <v>199.56666666666666</v>
      </c>
      <c r="L228" s="17">
        <f t="shared" si="12"/>
        <v>19.956666666666667</v>
      </c>
      <c r="M228" s="18">
        <v>10</v>
      </c>
      <c r="N228" s="18">
        <v>5987</v>
      </c>
      <c r="O228" s="19" t="s">
        <v>39</v>
      </c>
      <c r="P228" s="19">
        <v>3500</v>
      </c>
    </row>
    <row r="229" ht="15.6">
      <c r="A229" s="12" t="s">
        <v>38</v>
      </c>
      <c r="B229" s="12">
        <v>17</v>
      </c>
      <c r="C229" s="13">
        <v>293.39999999999998</v>
      </c>
      <c r="D229" s="13" t="s">
        <v>33</v>
      </c>
      <c r="E229" s="13">
        <v>2021</v>
      </c>
      <c r="F229" s="13" t="s">
        <v>27</v>
      </c>
      <c r="G229" s="14">
        <v>44531</v>
      </c>
      <c r="H229" s="14">
        <v>44518</v>
      </c>
      <c r="I229" s="14">
        <v>44544</v>
      </c>
      <c r="J229" s="15">
        <f t="shared" si="13"/>
        <v>27</v>
      </c>
      <c r="K229" s="16">
        <f t="shared" si="11"/>
        <v>259.7037037037037</v>
      </c>
      <c r="L229" s="17">
        <f t="shared" si="12"/>
        <v>25.970370370370372</v>
      </c>
      <c r="M229" s="18">
        <v>10</v>
      </c>
      <c r="N229" s="18">
        <v>7012</v>
      </c>
      <c r="O229" s="19" t="s">
        <v>39</v>
      </c>
      <c r="P229" s="19">
        <v>3500</v>
      </c>
    </row>
    <row r="230" ht="15.6">
      <c r="A230" s="12" t="s">
        <v>40</v>
      </c>
      <c r="B230" s="12">
        <v>17</v>
      </c>
      <c r="C230" s="13">
        <v>352.39999999999998</v>
      </c>
      <c r="D230" s="13" t="s">
        <v>17</v>
      </c>
      <c r="E230" s="13">
        <v>2021</v>
      </c>
      <c r="F230" s="13" t="s">
        <v>18</v>
      </c>
      <c r="G230" s="14">
        <v>44197</v>
      </c>
      <c r="H230" s="14">
        <v>44205</v>
      </c>
      <c r="I230" s="14">
        <v>44227</v>
      </c>
      <c r="J230" s="15">
        <f t="shared" si="13"/>
        <v>23</v>
      </c>
      <c r="K230" s="16">
        <f t="shared" si="11"/>
        <v>304.04347826086956</v>
      </c>
      <c r="L230" s="17">
        <f t="shared" si="12"/>
        <v>30.404347826086955</v>
      </c>
      <c r="M230" s="18">
        <v>10</v>
      </c>
      <c r="N230" s="18">
        <v>6993</v>
      </c>
      <c r="O230" s="19" t="s">
        <v>39</v>
      </c>
      <c r="P230" s="19">
        <v>4000</v>
      </c>
    </row>
    <row r="231" ht="15.6">
      <c r="A231" s="12" t="s">
        <v>40</v>
      </c>
      <c r="B231" s="12">
        <v>17</v>
      </c>
      <c r="C231" s="13">
        <v>635.20000000000005</v>
      </c>
      <c r="D231" s="13" t="s">
        <v>20</v>
      </c>
      <c r="E231" s="13">
        <v>2021</v>
      </c>
      <c r="F231" s="13" t="s">
        <v>21</v>
      </c>
      <c r="G231" s="14">
        <v>44228</v>
      </c>
      <c r="H231" s="14">
        <v>44232</v>
      </c>
      <c r="I231" s="14">
        <v>44248</v>
      </c>
      <c r="J231" s="15">
        <f t="shared" si="13"/>
        <v>17</v>
      </c>
      <c r="K231" s="16">
        <f t="shared" si="11"/>
        <v>458.1764705882353</v>
      </c>
      <c r="L231" s="17">
        <f t="shared" si="12"/>
        <v>45.817647058823532</v>
      </c>
      <c r="M231" s="18">
        <v>10</v>
      </c>
      <c r="N231" s="18">
        <v>7789</v>
      </c>
      <c r="O231" s="19" t="s">
        <v>39</v>
      </c>
      <c r="P231" s="19">
        <v>4000</v>
      </c>
    </row>
    <row r="232" ht="15.6">
      <c r="A232" s="12" t="s">
        <v>40</v>
      </c>
      <c r="B232" s="12">
        <v>17</v>
      </c>
      <c r="C232" s="13">
        <v>469.19999999999999</v>
      </c>
      <c r="D232" s="13" t="s">
        <v>22</v>
      </c>
      <c r="E232" s="13">
        <v>2021</v>
      </c>
      <c r="F232" s="13" t="s">
        <v>21</v>
      </c>
      <c r="G232" s="14">
        <v>44256</v>
      </c>
      <c r="H232" s="14">
        <v>44253</v>
      </c>
      <c r="I232" s="14">
        <v>44277</v>
      </c>
      <c r="J232" s="15">
        <f t="shared" si="13"/>
        <v>25</v>
      </c>
      <c r="K232" s="16">
        <f t="shared" si="11"/>
        <v>319.92000000000002</v>
      </c>
      <c r="L232" s="17">
        <f t="shared" si="12"/>
        <v>31.992000000000001</v>
      </c>
      <c r="M232" s="18">
        <v>10</v>
      </c>
      <c r="N232" s="18">
        <v>7998</v>
      </c>
      <c r="O232" s="19" t="s">
        <v>39</v>
      </c>
      <c r="P232" s="19">
        <v>4000</v>
      </c>
    </row>
    <row r="233" ht="15.6">
      <c r="A233" s="12" t="s">
        <v>40</v>
      </c>
      <c r="B233" s="12">
        <v>17</v>
      </c>
      <c r="C233" s="13">
        <v>479</v>
      </c>
      <c r="D233" s="13" t="s">
        <v>23</v>
      </c>
      <c r="E233" s="13">
        <v>2021</v>
      </c>
      <c r="F233" s="13" t="s">
        <v>21</v>
      </c>
      <c r="G233" s="14">
        <v>44287</v>
      </c>
      <c r="H233" s="14">
        <v>44285</v>
      </c>
      <c r="I233" s="14">
        <v>44299</v>
      </c>
      <c r="J233" s="15">
        <f t="shared" si="13"/>
        <v>15</v>
      </c>
      <c r="K233" s="16">
        <f t="shared" si="11"/>
        <v>550.60000000000002</v>
      </c>
      <c r="L233" s="17">
        <f t="shared" si="12"/>
        <v>55.060000000000002</v>
      </c>
      <c r="M233" s="18">
        <v>10</v>
      </c>
      <c r="N233" s="18">
        <v>8259</v>
      </c>
      <c r="O233" s="19" t="s">
        <v>39</v>
      </c>
      <c r="P233" s="19">
        <v>4000</v>
      </c>
    </row>
    <row r="234" ht="15.6">
      <c r="A234" s="12" t="s">
        <v>40</v>
      </c>
      <c r="B234" s="12">
        <v>17</v>
      </c>
      <c r="C234" s="13">
        <v>497.80000000000001</v>
      </c>
      <c r="D234" s="13" t="s">
        <v>24</v>
      </c>
      <c r="E234" s="13">
        <v>2021</v>
      </c>
      <c r="F234" s="13" t="s">
        <v>21</v>
      </c>
      <c r="G234" s="14">
        <v>44317</v>
      </c>
      <c r="H234" s="14">
        <v>44309</v>
      </c>
      <c r="I234" s="14">
        <v>44337</v>
      </c>
      <c r="J234" s="15">
        <f t="shared" si="13"/>
        <v>29</v>
      </c>
      <c r="K234" s="16">
        <f t="shared" si="11"/>
        <v>304.79310344827587</v>
      </c>
      <c r="L234" s="17">
        <f t="shared" si="12"/>
        <v>30.479310344827585</v>
      </c>
      <c r="M234" s="18">
        <v>10</v>
      </c>
      <c r="N234" s="18">
        <v>8839</v>
      </c>
      <c r="O234" s="19" t="s">
        <v>39</v>
      </c>
      <c r="P234" s="19">
        <v>4000</v>
      </c>
    </row>
    <row r="235" ht="15.6">
      <c r="A235" s="12" t="s">
        <v>40</v>
      </c>
      <c r="B235" s="12">
        <v>17</v>
      </c>
      <c r="C235" s="13">
        <v>191</v>
      </c>
      <c r="D235" s="13" t="s">
        <v>25</v>
      </c>
      <c r="E235" s="13">
        <v>2021</v>
      </c>
      <c r="F235" s="13" t="s">
        <v>21</v>
      </c>
      <c r="G235" s="14">
        <v>44348</v>
      </c>
      <c r="H235" s="14">
        <v>44351</v>
      </c>
      <c r="I235" s="14">
        <v>44365</v>
      </c>
      <c r="J235" s="15">
        <f t="shared" si="13"/>
        <v>15</v>
      </c>
      <c r="K235" s="16">
        <f t="shared" si="11"/>
        <v>608.39999999999998</v>
      </c>
      <c r="L235" s="17">
        <f t="shared" si="12"/>
        <v>60.840000000000003</v>
      </c>
      <c r="M235" s="18">
        <v>10</v>
      </c>
      <c r="N235" s="18">
        <v>9126</v>
      </c>
      <c r="O235" s="19" t="s">
        <v>39</v>
      </c>
      <c r="P235" s="19">
        <v>4000</v>
      </c>
    </row>
    <row r="236" ht="15.6">
      <c r="A236" s="12" t="s">
        <v>40</v>
      </c>
      <c r="B236" s="12">
        <v>17</v>
      </c>
      <c r="C236" s="13">
        <v>222.80000000000001</v>
      </c>
      <c r="D236" s="13" t="s">
        <v>26</v>
      </c>
      <c r="E236" s="13">
        <v>2021</v>
      </c>
      <c r="F236" s="13" t="s">
        <v>27</v>
      </c>
      <c r="G236" s="14">
        <v>44378</v>
      </c>
      <c r="H236" s="14">
        <v>44372</v>
      </c>
      <c r="I236" s="14">
        <v>44393</v>
      </c>
      <c r="J236" s="15">
        <f t="shared" si="13"/>
        <v>22</v>
      </c>
      <c r="K236" s="16">
        <f t="shared" si="11"/>
        <v>345.22727272727275</v>
      </c>
      <c r="L236" s="17">
        <f t="shared" si="12"/>
        <v>34.522727272727273</v>
      </c>
      <c r="M236" s="18">
        <v>10</v>
      </c>
      <c r="N236" s="18">
        <v>7595</v>
      </c>
      <c r="O236" s="19" t="s">
        <v>39</v>
      </c>
      <c r="P236" s="19">
        <v>4000</v>
      </c>
    </row>
    <row r="237" ht="15.6">
      <c r="A237" s="12" t="s">
        <v>40</v>
      </c>
      <c r="B237" s="12">
        <v>17</v>
      </c>
      <c r="C237" s="13">
        <v>273.39999999999998</v>
      </c>
      <c r="D237" s="13" t="s">
        <v>28</v>
      </c>
      <c r="E237" s="13">
        <v>2021</v>
      </c>
      <c r="F237" s="13" t="s">
        <v>29</v>
      </c>
      <c r="G237" s="14">
        <v>44409</v>
      </c>
      <c r="H237" s="14">
        <v>44398</v>
      </c>
      <c r="I237" s="14">
        <v>44415</v>
      </c>
      <c r="J237" s="15">
        <f t="shared" si="13"/>
        <v>18</v>
      </c>
      <c r="K237" s="16">
        <f t="shared" si="11"/>
        <v>518.72222222222217</v>
      </c>
      <c r="L237" s="17">
        <f t="shared" si="12"/>
        <v>51.87222222222222</v>
      </c>
      <c r="M237" s="18">
        <v>10</v>
      </c>
      <c r="N237" s="18">
        <v>9337</v>
      </c>
      <c r="O237" s="19" t="s">
        <v>39</v>
      </c>
      <c r="P237" s="19">
        <v>4000</v>
      </c>
    </row>
    <row r="238" ht="15.6">
      <c r="A238" s="12" t="s">
        <v>40</v>
      </c>
      <c r="B238" s="12">
        <v>17</v>
      </c>
      <c r="C238" s="13">
        <v>254</v>
      </c>
      <c r="D238" s="13" t="s">
        <v>30</v>
      </c>
      <c r="E238" s="13">
        <v>2021</v>
      </c>
      <c r="F238" s="13" t="s">
        <v>27</v>
      </c>
      <c r="G238" s="14">
        <v>44440</v>
      </c>
      <c r="H238" s="14">
        <v>44422</v>
      </c>
      <c r="I238" s="14">
        <v>44447</v>
      </c>
      <c r="J238" s="15">
        <f t="shared" si="13"/>
        <v>26</v>
      </c>
      <c r="K238" s="16">
        <f t="shared" si="11"/>
        <v>345.80769230769232</v>
      </c>
      <c r="L238" s="17">
        <f t="shared" si="12"/>
        <v>34.580769230769228</v>
      </c>
      <c r="M238" s="18">
        <v>10</v>
      </c>
      <c r="N238" s="18">
        <v>8991</v>
      </c>
      <c r="O238" s="19" t="s">
        <v>39</v>
      </c>
      <c r="P238" s="19">
        <v>4000</v>
      </c>
    </row>
    <row r="239" ht="15.6">
      <c r="A239" s="12" t="s">
        <v>40</v>
      </c>
      <c r="B239" s="12">
        <v>17</v>
      </c>
      <c r="C239" s="13">
        <v>298.80000000000001</v>
      </c>
      <c r="D239" s="13" t="s">
        <v>31</v>
      </c>
      <c r="E239" s="13">
        <v>2021</v>
      </c>
      <c r="F239" s="13" t="s">
        <v>27</v>
      </c>
      <c r="G239" s="14">
        <v>44470</v>
      </c>
      <c r="H239" s="14">
        <v>44457</v>
      </c>
      <c r="I239" s="14">
        <v>44486</v>
      </c>
      <c r="J239" s="15">
        <f t="shared" si="13"/>
        <v>30</v>
      </c>
      <c r="K239" s="16">
        <f t="shared" si="11"/>
        <v>253.16666666666666</v>
      </c>
      <c r="L239" s="17">
        <f t="shared" si="12"/>
        <v>25.316666666666666</v>
      </c>
      <c r="M239" s="18">
        <v>10</v>
      </c>
      <c r="N239" s="18">
        <v>7595</v>
      </c>
      <c r="O239" s="19" t="s">
        <v>39</v>
      </c>
      <c r="P239" s="19">
        <v>4000</v>
      </c>
    </row>
    <row r="240" ht="15.6">
      <c r="A240" s="12" t="s">
        <v>40</v>
      </c>
      <c r="B240" s="12">
        <v>17</v>
      </c>
      <c r="C240" s="13">
        <v>328.19999999999999</v>
      </c>
      <c r="D240" s="13" t="s">
        <v>32</v>
      </c>
      <c r="E240" s="13">
        <v>2021</v>
      </c>
      <c r="F240" s="13" t="s">
        <v>27</v>
      </c>
      <c r="G240" s="14">
        <v>44501</v>
      </c>
      <c r="H240" s="14">
        <v>44498</v>
      </c>
      <c r="I240" s="14">
        <v>44520</v>
      </c>
      <c r="J240" s="15">
        <f t="shared" si="13"/>
        <v>23</v>
      </c>
      <c r="K240" s="16">
        <f t="shared" si="11"/>
        <v>303.78260869565219</v>
      </c>
      <c r="L240" s="17">
        <f t="shared" si="12"/>
        <v>30.378260869565217</v>
      </c>
      <c r="M240" s="18">
        <v>10</v>
      </c>
      <c r="N240" s="18">
        <v>6987</v>
      </c>
      <c r="O240" s="19" t="s">
        <v>39</v>
      </c>
      <c r="P240" s="19">
        <v>4000</v>
      </c>
    </row>
    <row r="241" ht="15.6">
      <c r="A241" s="12" t="s">
        <v>40</v>
      </c>
      <c r="B241" s="12">
        <v>17</v>
      </c>
      <c r="C241" s="13">
        <v>293.39999999999998</v>
      </c>
      <c r="D241" s="13" t="s">
        <v>33</v>
      </c>
      <c r="E241" s="13">
        <v>2021</v>
      </c>
      <c r="F241" s="13" t="s">
        <v>27</v>
      </c>
      <c r="G241" s="14">
        <v>44531</v>
      </c>
      <c r="H241" s="14">
        <v>44525</v>
      </c>
      <c r="I241" s="14">
        <v>44546</v>
      </c>
      <c r="J241" s="15">
        <f t="shared" si="13"/>
        <v>22</v>
      </c>
      <c r="K241" s="16">
        <f t="shared" si="11"/>
        <v>237.31818181818181</v>
      </c>
      <c r="L241" s="17">
        <f t="shared" si="12"/>
        <v>23.731818181818181</v>
      </c>
      <c r="M241" s="18">
        <v>10</v>
      </c>
      <c r="N241" s="18">
        <v>5221</v>
      </c>
      <c r="O241" s="19" t="s">
        <v>39</v>
      </c>
      <c r="P241" s="19">
        <v>4000</v>
      </c>
    </row>
    <row r="242" ht="15.6">
      <c r="A242" s="12" t="s">
        <v>41</v>
      </c>
      <c r="B242" s="12">
        <v>22</v>
      </c>
      <c r="C242" s="13">
        <v>352.39999999999998</v>
      </c>
      <c r="D242" s="13" t="s">
        <v>17</v>
      </c>
      <c r="E242" s="13">
        <v>2021</v>
      </c>
      <c r="F242" s="13" t="s">
        <v>18</v>
      </c>
      <c r="G242" s="14">
        <v>44197</v>
      </c>
      <c r="H242" s="14">
        <v>44199</v>
      </c>
      <c r="I242" s="14">
        <v>44214</v>
      </c>
      <c r="J242" s="15">
        <f t="shared" si="13"/>
        <v>16</v>
      </c>
      <c r="K242" s="16">
        <f t="shared" si="11"/>
        <v>388.25</v>
      </c>
      <c r="L242" s="17">
        <f t="shared" si="12"/>
        <v>38.825000000000003</v>
      </c>
      <c r="M242" s="18">
        <v>10</v>
      </c>
      <c r="N242" s="18">
        <v>6212</v>
      </c>
      <c r="O242" s="19" t="s">
        <v>39</v>
      </c>
      <c r="P242" s="19">
        <v>5000</v>
      </c>
    </row>
    <row r="243" ht="15.6">
      <c r="A243" s="12" t="s">
        <v>41</v>
      </c>
      <c r="B243" s="12">
        <v>22</v>
      </c>
      <c r="C243" s="13">
        <v>635.20000000000005</v>
      </c>
      <c r="D243" s="13" t="s">
        <v>20</v>
      </c>
      <c r="E243" s="13">
        <v>2021</v>
      </c>
      <c r="F243" s="13" t="s">
        <v>21</v>
      </c>
      <c r="G243" s="14">
        <v>44228</v>
      </c>
      <c r="H243" s="14">
        <v>44220</v>
      </c>
      <c r="I243" s="14">
        <v>44240</v>
      </c>
      <c r="J243" s="15">
        <f t="shared" si="13"/>
        <v>21</v>
      </c>
      <c r="K243" s="16">
        <f t="shared" si="11"/>
        <v>354.52380952380952</v>
      </c>
      <c r="L243" s="17">
        <f t="shared" si="12"/>
        <v>35.452380952380949</v>
      </c>
      <c r="M243" s="18">
        <v>10</v>
      </c>
      <c r="N243" s="18">
        <v>7445</v>
      </c>
      <c r="O243" s="19" t="s">
        <v>39</v>
      </c>
      <c r="P243" s="19">
        <v>5000</v>
      </c>
    </row>
    <row r="244" ht="15.6">
      <c r="A244" s="12" t="s">
        <v>41</v>
      </c>
      <c r="B244" s="12">
        <v>22</v>
      </c>
      <c r="C244" s="13">
        <v>469.19999999999999</v>
      </c>
      <c r="D244" s="13" t="s">
        <v>22</v>
      </c>
      <c r="E244" s="13">
        <v>2021</v>
      </c>
      <c r="F244" s="13" t="s">
        <v>21</v>
      </c>
      <c r="G244" s="14">
        <v>44256</v>
      </c>
      <c r="H244" s="14">
        <v>44246</v>
      </c>
      <c r="I244" s="14">
        <v>44273</v>
      </c>
      <c r="J244" s="15">
        <f t="shared" si="13"/>
        <v>28</v>
      </c>
      <c r="K244" s="16">
        <f t="shared" si="11"/>
        <v>317.10714285714283</v>
      </c>
      <c r="L244" s="17">
        <f t="shared" si="12"/>
        <v>31.710714285714285</v>
      </c>
      <c r="M244" s="18">
        <v>10</v>
      </c>
      <c r="N244" s="18">
        <v>8879</v>
      </c>
      <c r="O244" s="19" t="s">
        <v>39</v>
      </c>
      <c r="P244" s="19">
        <v>5000</v>
      </c>
    </row>
    <row r="245" ht="15.6">
      <c r="A245" s="12" t="s">
        <v>41</v>
      </c>
      <c r="B245" s="12">
        <v>22</v>
      </c>
      <c r="C245" s="13">
        <v>479</v>
      </c>
      <c r="D245" s="13" t="s">
        <v>23</v>
      </c>
      <c r="E245" s="13">
        <v>2021</v>
      </c>
      <c r="F245" s="13" t="s">
        <v>21</v>
      </c>
      <c r="G245" s="14">
        <v>44287</v>
      </c>
      <c r="H245" s="14">
        <v>44280</v>
      </c>
      <c r="I245" s="14">
        <v>44301</v>
      </c>
      <c r="J245" s="15">
        <f t="shared" si="13"/>
        <v>22</v>
      </c>
      <c r="K245" s="16">
        <f t="shared" si="11"/>
        <v>287.5</v>
      </c>
      <c r="L245" s="17">
        <f t="shared" si="12"/>
        <v>28.75</v>
      </c>
      <c r="M245" s="18">
        <v>10</v>
      </c>
      <c r="N245" s="18">
        <v>6325</v>
      </c>
      <c r="O245" s="19" t="s">
        <v>39</v>
      </c>
      <c r="P245" s="19">
        <v>5000</v>
      </c>
    </row>
    <row r="246" ht="15.6">
      <c r="A246" s="12" t="s">
        <v>41</v>
      </c>
      <c r="B246" s="12">
        <v>22</v>
      </c>
      <c r="C246" s="13">
        <v>497.80000000000001</v>
      </c>
      <c r="D246" s="13" t="s">
        <v>24</v>
      </c>
      <c r="E246" s="13">
        <v>2021</v>
      </c>
      <c r="F246" s="13" t="s">
        <v>21</v>
      </c>
      <c r="G246" s="14">
        <v>44317</v>
      </c>
      <c r="H246" s="14">
        <v>44314</v>
      </c>
      <c r="I246" s="14">
        <v>44334</v>
      </c>
      <c r="J246" s="15">
        <f t="shared" si="13"/>
        <v>21</v>
      </c>
      <c r="K246" s="16">
        <f t="shared" si="11"/>
        <v>571.57142857142856</v>
      </c>
      <c r="L246" s="17">
        <f t="shared" si="12"/>
        <v>57.157142857142858</v>
      </c>
      <c r="M246" s="18">
        <v>10</v>
      </c>
      <c r="N246" s="18">
        <v>12003</v>
      </c>
      <c r="O246" s="19" t="s">
        <v>39</v>
      </c>
      <c r="P246" s="19">
        <v>5000</v>
      </c>
    </row>
    <row r="247" ht="15.6">
      <c r="A247" s="12" t="s">
        <v>41</v>
      </c>
      <c r="B247" s="12">
        <v>22</v>
      </c>
      <c r="C247" s="13">
        <v>191</v>
      </c>
      <c r="D247" s="13" t="s">
        <v>25</v>
      </c>
      <c r="E247" s="13">
        <v>2021</v>
      </c>
      <c r="F247" s="13" t="s">
        <v>21</v>
      </c>
      <c r="G247" s="14">
        <v>44348</v>
      </c>
      <c r="H247" s="14">
        <v>44346</v>
      </c>
      <c r="I247" s="14">
        <v>44374</v>
      </c>
      <c r="J247" s="15">
        <f t="shared" si="13"/>
        <v>29</v>
      </c>
      <c r="K247" s="16">
        <f t="shared" si="11"/>
        <v>378.93103448275861</v>
      </c>
      <c r="L247" s="17">
        <f t="shared" si="12"/>
        <v>37.893103448275859</v>
      </c>
      <c r="M247" s="18">
        <v>10</v>
      </c>
      <c r="N247" s="18">
        <v>10989</v>
      </c>
      <c r="O247" s="19" t="s">
        <v>39</v>
      </c>
      <c r="P247" s="19">
        <v>5000</v>
      </c>
    </row>
    <row r="248" ht="15.6">
      <c r="A248" s="12" t="s">
        <v>41</v>
      </c>
      <c r="B248" s="12">
        <v>22</v>
      </c>
      <c r="C248" s="13">
        <v>222.80000000000001</v>
      </c>
      <c r="D248" s="13" t="s">
        <v>26</v>
      </c>
      <c r="E248" s="13">
        <v>2021</v>
      </c>
      <c r="F248" s="13" t="s">
        <v>27</v>
      </c>
      <c r="G248" s="14">
        <v>44378</v>
      </c>
      <c r="H248" s="14">
        <v>44383</v>
      </c>
      <c r="I248" s="14">
        <v>44405</v>
      </c>
      <c r="J248" s="15">
        <f t="shared" si="13"/>
        <v>23</v>
      </c>
      <c r="K248" s="16">
        <f t="shared" si="11"/>
        <v>486.82608695652175</v>
      </c>
      <c r="L248" s="17">
        <f t="shared" si="12"/>
        <v>48.682608695652171</v>
      </c>
      <c r="M248" s="18">
        <v>10</v>
      </c>
      <c r="N248" s="18">
        <v>11197</v>
      </c>
      <c r="O248" s="19" t="s">
        <v>39</v>
      </c>
      <c r="P248" s="19">
        <v>5000</v>
      </c>
    </row>
    <row r="249" ht="15.6">
      <c r="A249" s="12" t="s">
        <v>41</v>
      </c>
      <c r="B249" s="12">
        <v>22</v>
      </c>
      <c r="C249" s="13">
        <v>273.39999999999998</v>
      </c>
      <c r="D249" s="13" t="s">
        <v>28</v>
      </c>
      <c r="E249" s="13">
        <v>2021</v>
      </c>
      <c r="F249" s="13" t="s">
        <v>29</v>
      </c>
      <c r="G249" s="14">
        <v>44409</v>
      </c>
      <c r="H249" s="14">
        <v>44413</v>
      </c>
      <c r="I249" s="14">
        <v>44427</v>
      </c>
      <c r="J249" s="15">
        <f t="shared" si="13"/>
        <v>15</v>
      </c>
      <c r="K249" s="16">
        <f t="shared" si="11"/>
        <v>702.93333333333328</v>
      </c>
      <c r="L249" s="17">
        <f t="shared" si="12"/>
        <v>70.293333333333337</v>
      </c>
      <c r="M249" s="18">
        <v>10</v>
      </c>
      <c r="N249" s="18">
        <v>10544</v>
      </c>
      <c r="O249" s="19" t="s">
        <v>39</v>
      </c>
      <c r="P249" s="19">
        <v>5000</v>
      </c>
    </row>
    <row r="250" ht="15.6">
      <c r="A250" s="12" t="s">
        <v>41</v>
      </c>
      <c r="B250" s="12">
        <v>22</v>
      </c>
      <c r="C250" s="13">
        <v>254</v>
      </c>
      <c r="D250" s="13" t="s">
        <v>30</v>
      </c>
      <c r="E250" s="13">
        <v>2021</v>
      </c>
      <c r="F250" s="13" t="s">
        <v>27</v>
      </c>
      <c r="G250" s="14">
        <v>44440</v>
      </c>
      <c r="H250" s="14">
        <v>44436</v>
      </c>
      <c r="I250" s="14">
        <v>44459</v>
      </c>
      <c r="J250" s="15">
        <f t="shared" si="13"/>
        <v>24</v>
      </c>
      <c r="K250" s="16">
        <f t="shared" si="11"/>
        <v>380.33333333333331</v>
      </c>
      <c r="L250" s="17">
        <f t="shared" si="12"/>
        <v>38.033333333333331</v>
      </c>
      <c r="M250" s="18">
        <v>10</v>
      </c>
      <c r="N250" s="18">
        <v>9128</v>
      </c>
      <c r="O250" s="19" t="s">
        <v>39</v>
      </c>
      <c r="P250" s="19">
        <v>5000</v>
      </c>
    </row>
    <row r="251" ht="15.6">
      <c r="A251" s="12" t="s">
        <v>41</v>
      </c>
      <c r="B251" s="12">
        <v>22</v>
      </c>
      <c r="C251" s="13">
        <v>298.80000000000001</v>
      </c>
      <c r="D251" s="13" t="s">
        <v>31</v>
      </c>
      <c r="E251" s="13">
        <v>2021</v>
      </c>
      <c r="F251" s="13" t="s">
        <v>27</v>
      </c>
      <c r="G251" s="14">
        <v>44470</v>
      </c>
      <c r="H251" s="14">
        <v>44468</v>
      </c>
      <c r="I251" s="14">
        <v>44490</v>
      </c>
      <c r="J251" s="15">
        <f t="shared" si="13"/>
        <v>23</v>
      </c>
      <c r="K251" s="16">
        <f t="shared" ref="K251:K253" si="14">N251/J251</f>
        <v>317.3478260869565</v>
      </c>
      <c r="L251" s="17">
        <f t="shared" ref="L251:L252" si="15">N251/(M251*J251)</f>
        <v>31.734782608695653</v>
      </c>
      <c r="M251" s="18">
        <v>10</v>
      </c>
      <c r="N251" s="18">
        <v>7299</v>
      </c>
      <c r="O251" s="19" t="s">
        <v>39</v>
      </c>
      <c r="P251" s="19">
        <v>5000</v>
      </c>
    </row>
    <row r="252" ht="15.6">
      <c r="A252" s="12" t="s">
        <v>41</v>
      </c>
      <c r="B252" s="12">
        <v>22</v>
      </c>
      <c r="C252" s="13">
        <v>328.19999999999999</v>
      </c>
      <c r="D252" s="13" t="s">
        <v>32</v>
      </c>
      <c r="E252" s="13">
        <v>2021</v>
      </c>
      <c r="F252" s="13" t="s">
        <v>27</v>
      </c>
      <c r="G252" s="14">
        <v>44501</v>
      </c>
      <c r="H252" s="14">
        <v>44500</v>
      </c>
      <c r="I252" s="14">
        <v>44522</v>
      </c>
      <c r="J252" s="15">
        <f t="shared" si="13"/>
        <v>23</v>
      </c>
      <c r="K252" s="16">
        <f t="shared" si="14"/>
        <v>259.86956521739131</v>
      </c>
      <c r="L252" s="17">
        <f t="shared" si="15"/>
        <v>25.986956521739131</v>
      </c>
      <c r="M252" s="18">
        <v>10</v>
      </c>
      <c r="N252" s="18">
        <v>5977</v>
      </c>
      <c r="O252" s="19" t="s">
        <v>39</v>
      </c>
      <c r="P252" s="19">
        <v>5000</v>
      </c>
    </row>
    <row r="253" ht="15.6">
      <c r="A253" s="12" t="s">
        <v>41</v>
      </c>
      <c r="B253" s="12">
        <v>22</v>
      </c>
      <c r="C253" s="13">
        <v>293.39999999999998</v>
      </c>
      <c r="D253" s="13" t="s">
        <v>33</v>
      </c>
      <c r="E253" s="13">
        <v>2021</v>
      </c>
      <c r="F253" s="13" t="s">
        <v>27</v>
      </c>
      <c r="G253" s="14">
        <v>44531</v>
      </c>
      <c r="H253" s="14">
        <v>44525</v>
      </c>
      <c r="I253" s="14">
        <v>44553</v>
      </c>
      <c r="J253" s="15">
        <f t="shared" si="13"/>
        <v>29</v>
      </c>
      <c r="K253" s="16">
        <f t="shared" si="14"/>
        <v>225.65517241379311</v>
      </c>
      <c r="L253" s="17">
        <f>N252/(M253*J253)</f>
        <v>20.610344827586207</v>
      </c>
      <c r="M253" s="18">
        <v>10</v>
      </c>
      <c r="N253" s="18">
        <v>6544</v>
      </c>
      <c r="O253" s="19" t="s">
        <v>39</v>
      </c>
      <c r="P253" s="19">
        <v>5000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MESQUITA</dc:creator>
  <cp:revision>1</cp:revision>
  <dcterms:created xsi:type="dcterms:W3CDTF">2022-08-23T20:16:57Z</dcterms:created>
  <dcterms:modified xsi:type="dcterms:W3CDTF">2026-06-23T21:28:02Z</dcterms:modified>
</cp:coreProperties>
</file>